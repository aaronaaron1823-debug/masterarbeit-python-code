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on\OneDrive\Dokumente\UNI\UNI 2025 SS\Masterarbeit\Python\Zeichnungen\"/>
    </mc:Choice>
  </mc:AlternateContent>
  <xr:revisionPtr revIDLastSave="0" documentId="13_ncr:1_{E3D4D32A-4093-4FAB-9DE1-2AB24DFC8AFD}" xr6:coauthVersionLast="47" xr6:coauthVersionMax="47" xr10:uidLastSave="{00000000-0000-0000-0000-000000000000}"/>
  <bookViews>
    <workbookView xWindow="-108" yWindow="-108" windowWidth="23256" windowHeight="12456" xr2:uid="{70A350E0-C988-450E-AD08-C257198B167E}"/>
  </bookViews>
  <sheets>
    <sheet name="Daten Training Regression" sheetId="2" r:id="rId1"/>
    <sheet name="Quellen" sheetId="5" r:id="rId2"/>
    <sheet name="Kommentare" sheetId="6" r:id="rId3"/>
    <sheet name="Legende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2" l="1"/>
  <c r="U4" i="2" s="1"/>
  <c r="T178" i="2"/>
  <c r="U178" i="2" s="1"/>
  <c r="T158" i="2"/>
  <c r="T152" i="2"/>
  <c r="U152" i="2" s="1"/>
  <c r="T141" i="2"/>
  <c r="U141" i="2" s="1"/>
  <c r="T136" i="2"/>
  <c r="U136" i="2" s="1"/>
  <c r="T130" i="2"/>
  <c r="V130" i="2" s="1"/>
  <c r="T129" i="2"/>
  <c r="U129" i="2" s="1"/>
  <c r="T122" i="2"/>
  <c r="V122" i="2" s="1"/>
  <c r="T113" i="2"/>
  <c r="U113" i="2" s="1"/>
  <c r="T110" i="2"/>
  <c r="U110" i="2" s="1"/>
  <c r="T109" i="2"/>
  <c r="V109" i="2" s="1"/>
  <c r="T105" i="2"/>
  <c r="U105" i="2" s="1"/>
  <c r="T93" i="2"/>
  <c r="U93" i="2" s="1"/>
  <c r="T89" i="2"/>
  <c r="V89" i="2" s="1"/>
  <c r="T88" i="2"/>
  <c r="U88" i="2" s="1"/>
  <c r="T83" i="2"/>
  <c r="U83" i="2" s="1"/>
  <c r="T82" i="2"/>
  <c r="U82" i="2" s="1"/>
  <c r="T75" i="2"/>
  <c r="T72" i="2"/>
  <c r="V72" i="2" s="1"/>
  <c r="T68" i="2"/>
  <c r="V68" i="2" s="1"/>
  <c r="T66" i="2"/>
  <c r="U66" i="2" s="1"/>
  <c r="T65" i="2"/>
  <c r="U65" i="2" s="1"/>
  <c r="T62" i="2"/>
  <c r="U62" i="2" s="1"/>
  <c r="T60" i="2"/>
  <c r="V60" i="2" s="1"/>
  <c r="T59" i="2"/>
  <c r="U59" i="2" s="1"/>
  <c r="T58" i="2"/>
  <c r="U58" i="2" s="1"/>
  <c r="T55" i="2"/>
  <c r="U55" i="2" s="1"/>
  <c r="T52" i="2"/>
  <c r="T50" i="2"/>
  <c r="U50" i="2" s="1"/>
  <c r="T49" i="2"/>
  <c r="T48" i="2"/>
  <c r="V48" i="2" s="1"/>
  <c r="T47" i="2"/>
  <c r="U47" i="2" s="1"/>
  <c r="T46" i="2"/>
  <c r="V46" i="2" s="1"/>
  <c r="T44" i="2"/>
  <c r="U44" i="2" s="1"/>
  <c r="T41" i="2"/>
  <c r="U41" i="2" s="1"/>
  <c r="T36" i="2"/>
  <c r="V36" i="2" s="1"/>
  <c r="T34" i="2"/>
  <c r="V34" i="2" s="1"/>
  <c r="T33" i="2"/>
  <c r="U33" i="2" s="1"/>
  <c r="T31" i="2"/>
  <c r="U31" i="2" s="1"/>
  <c r="T27" i="2"/>
  <c r="V27" i="2" s="1"/>
  <c r="T15" i="2"/>
  <c r="U15" i="2" s="1"/>
  <c r="T14" i="2"/>
  <c r="U14" i="2" s="1"/>
  <c r="T10" i="2"/>
  <c r="U10" i="2" s="1"/>
  <c r="T8" i="2"/>
  <c r="U8" i="2" s="1"/>
  <c r="T186" i="2"/>
  <c r="U186" i="2" s="1"/>
  <c r="T183" i="2"/>
  <c r="U183" i="2" s="1"/>
  <c r="T179" i="2"/>
  <c r="U179" i="2" s="1"/>
  <c r="T171" i="2"/>
  <c r="U171" i="2" s="1"/>
  <c r="T161" i="2"/>
  <c r="U161" i="2" s="1"/>
  <c r="T151" i="2"/>
  <c r="T144" i="2"/>
  <c r="U144" i="2" s="1"/>
  <c r="T133" i="2"/>
  <c r="T131" i="2"/>
  <c r="U131" i="2" s="1"/>
  <c r="T126" i="2"/>
  <c r="U126" i="2" s="1"/>
  <c r="T117" i="2"/>
  <c r="U117" i="2" s="1"/>
  <c r="T106" i="2"/>
  <c r="U106" i="2" s="1"/>
  <c r="T94" i="2"/>
  <c r="U94" i="2" s="1"/>
  <c r="T78" i="2"/>
  <c r="U78" i="2" s="1"/>
  <c r="T63" i="2"/>
  <c r="U63" i="2" s="1"/>
  <c r="V52" i="2"/>
  <c r="T39" i="2"/>
  <c r="U39" i="2" s="1"/>
  <c r="T35" i="2"/>
  <c r="U35" i="2" s="1"/>
  <c r="T25" i="2"/>
  <c r="U25" i="2" s="1"/>
  <c r="T16" i="2"/>
  <c r="U16" i="2" s="1"/>
  <c r="T13" i="2"/>
  <c r="U13" i="2" s="1"/>
  <c r="T7" i="2"/>
  <c r="U7" i="2" s="1"/>
  <c r="T5" i="2"/>
  <c r="U5" i="2" s="1"/>
  <c r="T3" i="2"/>
  <c r="U3" i="2" s="1"/>
  <c r="T2" i="2"/>
  <c r="U2" i="2" s="1"/>
  <c r="T6" i="2"/>
  <c r="U6" i="2" s="1"/>
  <c r="T9" i="2"/>
  <c r="U9" i="2" s="1"/>
  <c r="T11" i="2"/>
  <c r="U11" i="2" s="1"/>
  <c r="T12" i="2"/>
  <c r="U12" i="2" s="1"/>
  <c r="T17" i="2"/>
  <c r="U17" i="2" s="1"/>
  <c r="T18" i="2"/>
  <c r="T19" i="2"/>
  <c r="T20" i="2"/>
  <c r="U20" i="2" s="1"/>
  <c r="T21" i="2"/>
  <c r="U21" i="2" s="1"/>
  <c r="T22" i="2"/>
  <c r="U22" i="2" s="1"/>
  <c r="T23" i="2"/>
  <c r="U23" i="2" s="1"/>
  <c r="T24" i="2"/>
  <c r="U24" i="2" s="1"/>
  <c r="T26" i="2"/>
  <c r="U26" i="2" s="1"/>
  <c r="T28" i="2"/>
  <c r="U28" i="2" s="1"/>
  <c r="T29" i="2"/>
  <c r="U29" i="2" s="1"/>
  <c r="T30" i="2"/>
  <c r="U30" i="2" s="1"/>
  <c r="T32" i="2"/>
  <c r="U32" i="2" s="1"/>
  <c r="T37" i="2"/>
  <c r="U37" i="2" s="1"/>
  <c r="T38" i="2"/>
  <c r="U38" i="2" s="1"/>
  <c r="T40" i="2"/>
  <c r="U40" i="2" s="1"/>
  <c r="T42" i="2"/>
  <c r="U42" i="2" s="1"/>
  <c r="T43" i="2"/>
  <c r="U43" i="2" s="1"/>
  <c r="T45" i="2"/>
  <c r="U45" i="2" s="1"/>
  <c r="V49" i="2"/>
  <c r="T51" i="2"/>
  <c r="U51" i="2" s="1"/>
  <c r="T53" i="2"/>
  <c r="U53" i="2" s="1"/>
  <c r="T54" i="2"/>
  <c r="U54" i="2" s="1"/>
  <c r="T56" i="2"/>
  <c r="U56" i="2" s="1"/>
  <c r="T57" i="2"/>
  <c r="U57" i="2" s="1"/>
  <c r="T61" i="2"/>
  <c r="U61" i="2" s="1"/>
  <c r="T64" i="2"/>
  <c r="U64" i="2" s="1"/>
  <c r="T67" i="2"/>
  <c r="U67" i="2" s="1"/>
  <c r="T69" i="2"/>
  <c r="U69" i="2" s="1"/>
  <c r="T70" i="2"/>
  <c r="T71" i="2"/>
  <c r="T73" i="2"/>
  <c r="U73" i="2" s="1"/>
  <c r="T74" i="2"/>
  <c r="U74" i="2" s="1"/>
  <c r="V75" i="2"/>
  <c r="T76" i="2"/>
  <c r="U76" i="2" s="1"/>
  <c r="T77" i="2"/>
  <c r="U77" i="2" s="1"/>
  <c r="T79" i="2"/>
  <c r="U79" i="2" s="1"/>
  <c r="T80" i="2"/>
  <c r="U80" i="2" s="1"/>
  <c r="T81" i="2"/>
  <c r="U81" i="2" s="1"/>
  <c r="T84" i="2"/>
  <c r="U84" i="2" s="1"/>
  <c r="T85" i="2"/>
  <c r="U85" i="2" s="1"/>
  <c r="T86" i="2"/>
  <c r="U86" i="2" s="1"/>
  <c r="T87" i="2"/>
  <c r="T90" i="2"/>
  <c r="U90" i="2" s="1"/>
  <c r="T91" i="2"/>
  <c r="U91" i="2" s="1"/>
  <c r="T92" i="2"/>
  <c r="U92" i="2" s="1"/>
  <c r="T95" i="2"/>
  <c r="U95" i="2" s="1"/>
  <c r="T96" i="2"/>
  <c r="U96" i="2" s="1"/>
  <c r="T97" i="2"/>
  <c r="U97" i="2" s="1"/>
  <c r="T98" i="2"/>
  <c r="U98" i="2" s="1"/>
  <c r="T99" i="2"/>
  <c r="U99" i="2" s="1"/>
  <c r="T100" i="2"/>
  <c r="T101" i="2"/>
  <c r="U101" i="2" s="1"/>
  <c r="T102" i="2"/>
  <c r="U102" i="2" s="1"/>
  <c r="T103" i="2"/>
  <c r="U103" i="2" s="1"/>
  <c r="T104" i="2"/>
  <c r="U104" i="2" s="1"/>
  <c r="T107" i="2"/>
  <c r="U107" i="2" s="1"/>
  <c r="T108" i="2"/>
  <c r="U108" i="2" s="1"/>
  <c r="T111" i="2"/>
  <c r="U111" i="2" s="1"/>
  <c r="T112" i="2"/>
  <c r="U112" i="2" s="1"/>
  <c r="T114" i="2"/>
  <c r="U114" i="2" s="1"/>
  <c r="T115" i="2"/>
  <c r="U115" i="2" s="1"/>
  <c r="T116" i="2"/>
  <c r="U116" i="2" s="1"/>
  <c r="T118" i="2"/>
  <c r="U118" i="2" s="1"/>
  <c r="T119" i="2"/>
  <c r="U119" i="2" s="1"/>
  <c r="T120" i="2"/>
  <c r="U120" i="2" s="1"/>
  <c r="T121" i="2"/>
  <c r="U121" i="2" s="1"/>
  <c r="T123" i="2"/>
  <c r="U123" i="2" s="1"/>
  <c r="T124" i="2"/>
  <c r="U124" i="2" s="1"/>
  <c r="T125" i="2"/>
  <c r="U125" i="2" s="1"/>
  <c r="T127" i="2"/>
  <c r="U127" i="2" s="1"/>
  <c r="T128" i="2"/>
  <c r="U128" i="2" s="1"/>
  <c r="T132" i="2"/>
  <c r="U132" i="2" s="1"/>
  <c r="U133" i="2"/>
  <c r="T134" i="2"/>
  <c r="U134" i="2" s="1"/>
  <c r="T135" i="2"/>
  <c r="U135" i="2" s="1"/>
  <c r="T137" i="2"/>
  <c r="U137" i="2" s="1"/>
  <c r="T138" i="2"/>
  <c r="U138" i="2" s="1"/>
  <c r="T139" i="2"/>
  <c r="U139" i="2" s="1"/>
  <c r="T140" i="2"/>
  <c r="U140" i="2" s="1"/>
  <c r="T142" i="2"/>
  <c r="U142" i="2" s="1"/>
  <c r="T143" i="2"/>
  <c r="U143" i="2" s="1"/>
  <c r="T145" i="2"/>
  <c r="U145" i="2" s="1"/>
  <c r="T146" i="2"/>
  <c r="U146" i="2" s="1"/>
  <c r="T147" i="2"/>
  <c r="U147" i="2" s="1"/>
  <c r="T148" i="2"/>
  <c r="U148" i="2" s="1"/>
  <c r="T149" i="2"/>
  <c r="T150" i="2"/>
  <c r="U150" i="2" s="1"/>
  <c r="T153" i="2"/>
  <c r="U153" i="2" s="1"/>
  <c r="T154" i="2"/>
  <c r="U154" i="2" s="1"/>
  <c r="T155" i="2"/>
  <c r="U155" i="2" s="1"/>
  <c r="T156" i="2"/>
  <c r="U156" i="2" s="1"/>
  <c r="T157" i="2"/>
  <c r="U157" i="2" s="1"/>
  <c r="U158" i="2"/>
  <c r="T159" i="2"/>
  <c r="U159" i="2" s="1"/>
  <c r="T160" i="2"/>
  <c r="U160" i="2" s="1"/>
  <c r="T162" i="2"/>
  <c r="U162" i="2" s="1"/>
  <c r="T163" i="2"/>
  <c r="U163" i="2" s="1"/>
  <c r="T164" i="2"/>
  <c r="T165" i="2"/>
  <c r="U165" i="2" s="1"/>
  <c r="T166" i="2"/>
  <c r="U166" i="2" s="1"/>
  <c r="T167" i="2"/>
  <c r="U167" i="2" s="1"/>
  <c r="T168" i="2"/>
  <c r="U168" i="2" s="1"/>
  <c r="T169" i="2"/>
  <c r="U169" i="2" s="1"/>
  <c r="T170" i="2"/>
  <c r="U170" i="2" s="1"/>
  <c r="T172" i="2"/>
  <c r="U172" i="2" s="1"/>
  <c r="T173" i="2"/>
  <c r="U173" i="2" s="1"/>
  <c r="T174" i="2"/>
  <c r="U174" i="2" s="1"/>
  <c r="T175" i="2"/>
  <c r="U175" i="2" s="1"/>
  <c r="T176" i="2"/>
  <c r="U176" i="2" s="1"/>
  <c r="T177" i="2"/>
  <c r="T180" i="2"/>
  <c r="U180" i="2" s="1"/>
  <c r="T181" i="2"/>
  <c r="U181" i="2" s="1"/>
  <c r="T182" i="2"/>
  <c r="U182" i="2" s="1"/>
  <c r="T184" i="2"/>
  <c r="U184" i="2" s="1"/>
  <c r="T185" i="2"/>
  <c r="U185" i="2" s="1"/>
  <c r="T187" i="2"/>
  <c r="U187" i="2" s="1"/>
  <c r="T188" i="2"/>
  <c r="U188" i="2" s="1"/>
  <c r="T189" i="2"/>
  <c r="U189" i="2" s="1"/>
  <c r="T190" i="2"/>
  <c r="U190" i="2" s="1"/>
  <c r="T191" i="2"/>
  <c r="U191" i="2" s="1"/>
  <c r="T192" i="2"/>
  <c r="U192" i="2" s="1"/>
  <c r="T193" i="2"/>
  <c r="U193" i="2" s="1"/>
  <c r="T194" i="2"/>
  <c r="U194" i="2" s="1"/>
  <c r="T195" i="2"/>
  <c r="U195" i="2" s="1"/>
  <c r="T196" i="2"/>
  <c r="U196" i="2" s="1"/>
  <c r="T197" i="2"/>
  <c r="U197" i="2" s="1"/>
  <c r="T198" i="2"/>
  <c r="U198" i="2" s="1"/>
  <c r="V2" i="2"/>
  <c r="V3" i="2"/>
  <c r="V6" i="2"/>
  <c r="V7" i="2"/>
  <c r="V8" i="2"/>
  <c r="V9" i="2"/>
  <c r="V11" i="2"/>
  <c r="V12" i="2"/>
  <c r="V13" i="2"/>
  <c r="V16" i="2"/>
  <c r="V17" i="2"/>
  <c r="V18" i="2"/>
  <c r="V19" i="2"/>
  <c r="V20" i="2"/>
  <c r="V21" i="2"/>
  <c r="V22" i="2"/>
  <c r="V23" i="2"/>
  <c r="V24" i="2"/>
  <c r="V25" i="2"/>
  <c r="V26" i="2"/>
  <c r="V28" i="2"/>
  <c r="V29" i="2"/>
  <c r="V30" i="2"/>
  <c r="V32" i="2"/>
  <c r="V35" i="2"/>
  <c r="V37" i="2"/>
  <c r="V38" i="2"/>
  <c r="V39" i="2"/>
  <c r="V40" i="2"/>
  <c r="V42" i="2"/>
  <c r="V43" i="2"/>
  <c r="V45" i="2"/>
  <c r="V47" i="2"/>
  <c r="V51" i="2"/>
  <c r="V53" i="2"/>
  <c r="V54" i="2"/>
  <c r="V56" i="2"/>
  <c r="V57" i="2"/>
  <c r="V61" i="2"/>
  <c r="V63" i="2"/>
  <c r="V64" i="2"/>
  <c r="V67" i="2"/>
  <c r="V69" i="2"/>
  <c r="V70" i="2"/>
  <c r="V71" i="2"/>
  <c r="V73" i="2"/>
  <c r="V74" i="2"/>
  <c r="V76" i="2"/>
  <c r="V77" i="2"/>
  <c r="V78" i="2"/>
  <c r="V79" i="2"/>
  <c r="V80" i="2"/>
  <c r="V81" i="2"/>
  <c r="V84" i="2"/>
  <c r="V85" i="2"/>
  <c r="V86" i="2"/>
  <c r="V87" i="2"/>
  <c r="V90" i="2"/>
  <c r="V91" i="2"/>
  <c r="V92" i="2"/>
  <c r="V94" i="2"/>
  <c r="V95" i="2"/>
  <c r="V96" i="2"/>
  <c r="V97" i="2"/>
  <c r="V98" i="2"/>
  <c r="V99" i="2"/>
  <c r="V100" i="2"/>
  <c r="V101" i="2"/>
  <c r="V102" i="2"/>
  <c r="V103" i="2"/>
  <c r="V104" i="2"/>
  <c r="V106" i="2"/>
  <c r="V107" i="2"/>
  <c r="V108" i="2"/>
  <c r="V111" i="2"/>
  <c r="V112" i="2"/>
  <c r="V114" i="2"/>
  <c r="V115" i="2"/>
  <c r="V116" i="2"/>
  <c r="V117" i="2"/>
  <c r="V118" i="2"/>
  <c r="V119" i="2"/>
  <c r="V120" i="2"/>
  <c r="V121" i="2"/>
  <c r="V123" i="2"/>
  <c r="V124" i="2"/>
  <c r="V125" i="2"/>
  <c r="V126" i="2"/>
  <c r="V127" i="2"/>
  <c r="V128" i="2"/>
  <c r="V131" i="2"/>
  <c r="V132" i="2"/>
  <c r="V133" i="2"/>
  <c r="V134" i="2"/>
  <c r="V135" i="2"/>
  <c r="V137" i="2"/>
  <c r="V138" i="2"/>
  <c r="V139" i="2"/>
  <c r="V140" i="2"/>
  <c r="V142" i="2"/>
  <c r="V143" i="2"/>
  <c r="V144" i="2"/>
  <c r="V145" i="2"/>
  <c r="V146" i="2"/>
  <c r="V147" i="2"/>
  <c r="V148" i="2"/>
  <c r="V149" i="2"/>
  <c r="V150" i="2"/>
  <c r="V151" i="2"/>
  <c r="V153" i="2"/>
  <c r="V154" i="2"/>
  <c r="V155" i="2"/>
  <c r="V156" i="2"/>
  <c r="V157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U18" i="2"/>
  <c r="U19" i="2"/>
  <c r="U27" i="2"/>
  <c r="U70" i="2"/>
  <c r="U71" i="2"/>
  <c r="U87" i="2"/>
  <c r="U89" i="2"/>
  <c r="U100" i="2"/>
  <c r="U149" i="2"/>
  <c r="U151" i="2"/>
  <c r="U164" i="2"/>
  <c r="U177" i="2"/>
  <c r="Q2" i="2"/>
  <c r="R2" i="2" s="1"/>
  <c r="Q3" i="2"/>
  <c r="R3" i="2" s="1"/>
  <c r="Q4" i="2"/>
  <c r="S4" i="2" s="1"/>
  <c r="Q5" i="2"/>
  <c r="S5" i="2" s="1"/>
  <c r="Q6" i="2"/>
  <c r="R6" i="2" s="1"/>
  <c r="Q7" i="2"/>
  <c r="R7" i="2" s="1"/>
  <c r="Q8" i="2"/>
  <c r="R8" i="2" s="1"/>
  <c r="Q9" i="2"/>
  <c r="R9" i="2" s="1"/>
  <c r="Q10" i="2"/>
  <c r="R10" i="2" s="1"/>
  <c r="Q11" i="2"/>
  <c r="R11" i="2" s="1"/>
  <c r="Q12" i="2"/>
  <c r="R12" i="2" s="1"/>
  <c r="Q13" i="2"/>
  <c r="R13" i="2" s="1"/>
  <c r="Q14" i="2"/>
  <c r="S14" i="2" s="1"/>
  <c r="Q15" i="2"/>
  <c r="S15" i="2" s="1"/>
  <c r="Q16" i="2"/>
  <c r="R16" i="2" s="1"/>
  <c r="Q17" i="2"/>
  <c r="R17" i="2" s="1"/>
  <c r="Q18" i="2"/>
  <c r="R18" i="2" s="1"/>
  <c r="Q19" i="2"/>
  <c r="R19" i="2" s="1"/>
  <c r="Q20" i="2"/>
  <c r="R20" i="2" s="1"/>
  <c r="Q21" i="2"/>
  <c r="R21" i="2" s="1"/>
  <c r="Q22" i="2"/>
  <c r="R22" i="2" s="1"/>
  <c r="Q23" i="2"/>
  <c r="R23" i="2" s="1"/>
  <c r="Q24" i="2"/>
  <c r="R24" i="2" s="1"/>
  <c r="Q25" i="2"/>
  <c r="R25" i="2" s="1"/>
  <c r="Q26" i="2"/>
  <c r="R26" i="2" s="1"/>
  <c r="Q27" i="2"/>
  <c r="S27" i="2" s="1"/>
  <c r="Q28" i="2"/>
  <c r="R28" i="2" s="1"/>
  <c r="Q29" i="2"/>
  <c r="R29" i="2" s="1"/>
  <c r="Q30" i="2"/>
  <c r="R30" i="2" s="1"/>
  <c r="Q31" i="2"/>
  <c r="R31" i="2" s="1"/>
  <c r="Q32" i="2"/>
  <c r="R32" i="2" s="1"/>
  <c r="Q33" i="2"/>
  <c r="R33" i="2" s="1"/>
  <c r="Q34" i="2"/>
  <c r="R34" i="2" s="1"/>
  <c r="Q35" i="2"/>
  <c r="R35" i="2" s="1"/>
  <c r="Q36" i="2"/>
  <c r="R36" i="2" s="1"/>
  <c r="Q37" i="2"/>
  <c r="R37" i="2" s="1"/>
  <c r="Q38" i="2"/>
  <c r="R38" i="2" s="1"/>
  <c r="Q39" i="2"/>
  <c r="R39" i="2" s="1"/>
  <c r="Q40" i="2"/>
  <c r="R40" i="2" s="1"/>
  <c r="Q41" i="2"/>
  <c r="Q42" i="2"/>
  <c r="R42" i="2" s="1"/>
  <c r="Q43" i="2"/>
  <c r="R43" i="2" s="1"/>
  <c r="Q44" i="2"/>
  <c r="Q45" i="2"/>
  <c r="R45" i="2" s="1"/>
  <c r="Q46" i="2"/>
  <c r="R46" i="2" s="1"/>
  <c r="Q47" i="2"/>
  <c r="S47" i="2" s="1"/>
  <c r="Q48" i="2"/>
  <c r="R48" i="2" s="1"/>
  <c r="Q49" i="2"/>
  <c r="R49" i="2" s="1"/>
  <c r="Q50" i="2"/>
  <c r="S50" i="2" s="1"/>
  <c r="Q51" i="2"/>
  <c r="R51" i="2" s="1"/>
  <c r="Q52" i="2"/>
  <c r="S52" i="2" s="1"/>
  <c r="Q53" i="2"/>
  <c r="R53" i="2" s="1"/>
  <c r="Q54" i="2"/>
  <c r="R54" i="2" s="1"/>
  <c r="Q55" i="2"/>
  <c r="Q56" i="2"/>
  <c r="R56" i="2" s="1"/>
  <c r="Q57" i="2"/>
  <c r="R57" i="2" s="1"/>
  <c r="Q58" i="2"/>
  <c r="R58" i="2" s="1"/>
  <c r="Q59" i="2"/>
  <c r="S59" i="2" s="1"/>
  <c r="Q60" i="2"/>
  <c r="R60" i="2" s="1"/>
  <c r="Q61" i="2"/>
  <c r="R61" i="2" s="1"/>
  <c r="Q62" i="2"/>
  <c r="R62" i="2" s="1"/>
  <c r="Q63" i="2"/>
  <c r="R63" i="2" s="1"/>
  <c r="Q64" i="2"/>
  <c r="R64" i="2" s="1"/>
  <c r="Q65" i="2"/>
  <c r="S65" i="2" s="1"/>
  <c r="Q66" i="2"/>
  <c r="S66" i="2" s="1"/>
  <c r="Q67" i="2"/>
  <c r="R67" i="2" s="1"/>
  <c r="Q68" i="2"/>
  <c r="Q69" i="2"/>
  <c r="R69" i="2" s="1"/>
  <c r="Q70" i="2"/>
  <c r="R70" i="2" s="1"/>
  <c r="Q71" i="2"/>
  <c r="R71" i="2" s="1"/>
  <c r="Q72" i="2"/>
  <c r="R72" i="2" s="1"/>
  <c r="Q73" i="2"/>
  <c r="R73" i="2" s="1"/>
  <c r="Q74" i="2"/>
  <c r="R74" i="2" s="1"/>
  <c r="Q75" i="2"/>
  <c r="S75" i="2" s="1"/>
  <c r="Q76" i="2"/>
  <c r="R76" i="2" s="1"/>
  <c r="Q77" i="2"/>
  <c r="R77" i="2" s="1"/>
  <c r="Q78" i="2"/>
  <c r="R78" i="2" s="1"/>
  <c r="Q79" i="2"/>
  <c r="R79" i="2" s="1"/>
  <c r="Q80" i="2"/>
  <c r="R80" i="2" s="1"/>
  <c r="Q81" i="2"/>
  <c r="R81" i="2" s="1"/>
  <c r="Q82" i="2"/>
  <c r="R82" i="2" s="1"/>
  <c r="Q83" i="2"/>
  <c r="S83" i="2" s="1"/>
  <c r="Q84" i="2"/>
  <c r="R84" i="2" s="1"/>
  <c r="Q85" i="2"/>
  <c r="R85" i="2" s="1"/>
  <c r="Q86" i="2"/>
  <c r="R86" i="2" s="1"/>
  <c r="Q87" i="2"/>
  <c r="R87" i="2" s="1"/>
  <c r="Q88" i="2"/>
  <c r="R88" i="2" s="1"/>
  <c r="Q89" i="2"/>
  <c r="Q90" i="2"/>
  <c r="R90" i="2" s="1"/>
  <c r="Q91" i="2"/>
  <c r="R91" i="2" s="1"/>
  <c r="Q92" i="2"/>
  <c r="R92" i="2" s="1"/>
  <c r="Q93" i="2"/>
  <c r="Q94" i="2"/>
  <c r="R94" i="2" s="1"/>
  <c r="Q95" i="2"/>
  <c r="R95" i="2" s="1"/>
  <c r="Q96" i="2"/>
  <c r="R96" i="2" s="1"/>
  <c r="Q97" i="2"/>
  <c r="R97" i="2" s="1"/>
  <c r="Q98" i="2"/>
  <c r="R98" i="2" s="1"/>
  <c r="Q99" i="2"/>
  <c r="R99" i="2" s="1"/>
  <c r="Q100" i="2"/>
  <c r="R100" i="2" s="1"/>
  <c r="Q101" i="2"/>
  <c r="R101" i="2" s="1"/>
  <c r="Q102" i="2"/>
  <c r="R102" i="2" s="1"/>
  <c r="Q103" i="2"/>
  <c r="R103" i="2" s="1"/>
  <c r="Q104" i="2"/>
  <c r="R104" i="2" s="1"/>
  <c r="Q105" i="2"/>
  <c r="Q106" i="2"/>
  <c r="R106" i="2" s="1"/>
  <c r="Q107" i="2"/>
  <c r="R107" i="2" s="1"/>
  <c r="Q108" i="2"/>
  <c r="R108" i="2" s="1"/>
  <c r="Q109" i="2"/>
  <c r="R109" i="2" s="1"/>
  <c r="Q110" i="2"/>
  <c r="S110" i="2" s="1"/>
  <c r="Q111" i="2"/>
  <c r="R111" i="2" s="1"/>
  <c r="Q112" i="2"/>
  <c r="R112" i="2" s="1"/>
  <c r="Q113" i="2"/>
  <c r="R113" i="2" s="1"/>
  <c r="Q114" i="2"/>
  <c r="R114" i="2" s="1"/>
  <c r="Q115" i="2"/>
  <c r="R115" i="2" s="1"/>
  <c r="Q116" i="2"/>
  <c r="R116" i="2" s="1"/>
  <c r="Q117" i="2"/>
  <c r="R117" i="2" s="1"/>
  <c r="Q118" i="2"/>
  <c r="R118" i="2" s="1"/>
  <c r="Q119" i="2"/>
  <c r="R119" i="2" s="1"/>
  <c r="Q120" i="2"/>
  <c r="R120" i="2" s="1"/>
  <c r="Q121" i="2"/>
  <c r="R121" i="2" s="1"/>
  <c r="Q122" i="2"/>
  <c r="R122" i="2" s="1"/>
  <c r="Q123" i="2"/>
  <c r="R123" i="2" s="1"/>
  <c r="Q124" i="2"/>
  <c r="R124" i="2" s="1"/>
  <c r="Q125" i="2"/>
  <c r="R125" i="2" s="1"/>
  <c r="Q126" i="2"/>
  <c r="R126" i="2" s="1"/>
  <c r="Q127" i="2"/>
  <c r="R127" i="2" s="1"/>
  <c r="Q128" i="2"/>
  <c r="R128" i="2" s="1"/>
  <c r="Q129" i="2"/>
  <c r="Q130" i="2"/>
  <c r="Q131" i="2"/>
  <c r="R131" i="2" s="1"/>
  <c r="Q132" i="2"/>
  <c r="R132" i="2" s="1"/>
  <c r="Q133" i="2"/>
  <c r="R133" i="2" s="1"/>
  <c r="Q134" i="2"/>
  <c r="R134" i="2" s="1"/>
  <c r="Q135" i="2"/>
  <c r="R135" i="2" s="1"/>
  <c r="Q136" i="2"/>
  <c r="R136" i="2" s="1"/>
  <c r="Q137" i="2"/>
  <c r="R137" i="2" s="1"/>
  <c r="Q138" i="2"/>
  <c r="R138" i="2" s="1"/>
  <c r="Q139" i="2"/>
  <c r="R139" i="2" s="1"/>
  <c r="Q140" i="2"/>
  <c r="R140" i="2" s="1"/>
  <c r="Q141" i="2"/>
  <c r="Q142" i="2"/>
  <c r="R142" i="2" s="1"/>
  <c r="Q143" i="2"/>
  <c r="R143" i="2" s="1"/>
  <c r="Q144" i="2"/>
  <c r="R144" i="2" s="1"/>
  <c r="Q145" i="2"/>
  <c r="R145" i="2" s="1"/>
  <c r="Q146" i="2"/>
  <c r="R146" i="2" s="1"/>
  <c r="Q147" i="2"/>
  <c r="R147" i="2" s="1"/>
  <c r="Q148" i="2"/>
  <c r="R148" i="2" s="1"/>
  <c r="Q149" i="2"/>
  <c r="R149" i="2" s="1"/>
  <c r="Q150" i="2"/>
  <c r="R150" i="2" s="1"/>
  <c r="Q151" i="2"/>
  <c r="R151" i="2" s="1"/>
  <c r="Q152" i="2"/>
  <c r="S152" i="2" s="1"/>
  <c r="Q153" i="2"/>
  <c r="R153" i="2" s="1"/>
  <c r="Q154" i="2"/>
  <c r="R154" i="2" s="1"/>
  <c r="Q155" i="2"/>
  <c r="R155" i="2" s="1"/>
  <c r="Q156" i="2"/>
  <c r="R156" i="2" s="1"/>
  <c r="Q157" i="2"/>
  <c r="R157" i="2" s="1"/>
  <c r="Q158" i="2"/>
  <c r="R158" i="2" s="1"/>
  <c r="Q159" i="2"/>
  <c r="R159" i="2" s="1"/>
  <c r="Q160" i="2"/>
  <c r="R160" i="2" s="1"/>
  <c r="Q161" i="2"/>
  <c r="R161" i="2" s="1"/>
  <c r="Q162" i="2"/>
  <c r="R162" i="2" s="1"/>
  <c r="Q163" i="2"/>
  <c r="R163" i="2" s="1"/>
  <c r="Q164" i="2"/>
  <c r="R164" i="2" s="1"/>
  <c r="Q165" i="2"/>
  <c r="R165" i="2" s="1"/>
  <c r="Q166" i="2"/>
  <c r="R166" i="2" s="1"/>
  <c r="Q167" i="2"/>
  <c r="R167" i="2" s="1"/>
  <c r="Q168" i="2"/>
  <c r="R168" i="2" s="1"/>
  <c r="Q169" i="2"/>
  <c r="R169" i="2" s="1"/>
  <c r="Q170" i="2"/>
  <c r="R170" i="2" s="1"/>
  <c r="Q171" i="2"/>
  <c r="R171" i="2" s="1"/>
  <c r="Q172" i="2"/>
  <c r="R172" i="2" s="1"/>
  <c r="Q173" i="2"/>
  <c r="Q174" i="2"/>
  <c r="R174" i="2" s="1"/>
  <c r="Q175" i="2"/>
  <c r="R175" i="2" s="1"/>
  <c r="Q176" i="2"/>
  <c r="R176" i="2" s="1"/>
  <c r="Q177" i="2"/>
  <c r="R177" i="2" s="1"/>
  <c r="Q178" i="2"/>
  <c r="S178" i="2" s="1"/>
  <c r="Q179" i="2"/>
  <c r="R179" i="2" s="1"/>
  <c r="Q180" i="2"/>
  <c r="R180" i="2" s="1"/>
  <c r="Q181" i="2"/>
  <c r="R181" i="2" s="1"/>
  <c r="Q182" i="2"/>
  <c r="R182" i="2" s="1"/>
  <c r="Q183" i="2"/>
  <c r="R183" i="2" s="1"/>
  <c r="Q184" i="2"/>
  <c r="R184" i="2" s="1"/>
  <c r="Q185" i="2"/>
  <c r="R185" i="2" s="1"/>
  <c r="Q186" i="2"/>
  <c r="R186" i="2" s="1"/>
  <c r="Q187" i="2"/>
  <c r="R187" i="2" s="1"/>
  <c r="Q188" i="2"/>
  <c r="R188" i="2" s="1"/>
  <c r="Q189" i="2"/>
  <c r="R189" i="2" s="1"/>
  <c r="Q190" i="2"/>
  <c r="R190" i="2" s="1"/>
  <c r="Q191" i="2"/>
  <c r="R191" i="2" s="1"/>
  <c r="Q192" i="2"/>
  <c r="R192" i="2" s="1"/>
  <c r="Q193" i="2"/>
  <c r="R193" i="2" s="1"/>
  <c r="Q194" i="2"/>
  <c r="R194" i="2" s="1"/>
  <c r="Q195" i="2"/>
  <c r="R195" i="2" s="1"/>
  <c r="Q196" i="2"/>
  <c r="R196" i="2" s="1"/>
  <c r="Q197" i="2"/>
  <c r="R197" i="2" s="1"/>
  <c r="Q198" i="2"/>
  <c r="R198" i="2" s="1"/>
  <c r="X163" i="2"/>
  <c r="Y163" i="2" s="1"/>
  <c r="X150" i="2"/>
  <c r="Z150" i="2" s="1"/>
  <c r="X130" i="2"/>
  <c r="Z130" i="2" s="1"/>
  <c r="X128" i="2"/>
  <c r="Z128" i="2" s="1"/>
  <c r="X70" i="2"/>
  <c r="Y70" i="2" s="1"/>
  <c r="X58" i="2"/>
  <c r="Z58" i="2" s="1"/>
  <c r="X55" i="2"/>
  <c r="Z55" i="2" s="1"/>
  <c r="X52" i="2"/>
  <c r="Z52" i="2" s="1"/>
  <c r="X51" i="2"/>
  <c r="Z51" i="2" s="1"/>
  <c r="X48" i="2"/>
  <c r="Z48" i="2" s="1"/>
  <c r="X39" i="2"/>
  <c r="Z39" i="2" s="1"/>
  <c r="X37" i="2"/>
  <c r="Y37" i="2" s="1"/>
  <c r="X20" i="2"/>
  <c r="Z20" i="2" s="1"/>
  <c r="X19" i="2"/>
  <c r="Y19" i="2" s="1"/>
  <c r="X14" i="2"/>
  <c r="Z14" i="2" s="1"/>
  <c r="X4" i="2"/>
  <c r="Y4" i="2" s="1"/>
  <c r="Z198" i="2"/>
  <c r="X198" i="2"/>
  <c r="Y198" i="2" s="1"/>
  <c r="Z193" i="2"/>
  <c r="X193" i="2"/>
  <c r="Y193" i="2" s="1"/>
  <c r="Z192" i="2"/>
  <c r="X192" i="2"/>
  <c r="Y192" i="2" s="1"/>
  <c r="Z186" i="2"/>
  <c r="X186" i="2"/>
  <c r="Y186" i="2" s="1"/>
  <c r="Z185" i="2"/>
  <c r="X185" i="2"/>
  <c r="Y185" i="2" s="1"/>
  <c r="Z180" i="2"/>
  <c r="X180" i="2"/>
  <c r="Y180" i="2" s="1"/>
  <c r="Z179" i="2"/>
  <c r="X179" i="2"/>
  <c r="Y179" i="2" s="1"/>
  <c r="Z178" i="2"/>
  <c r="X178" i="2"/>
  <c r="Y178" i="2" s="1"/>
  <c r="Z165" i="2"/>
  <c r="X165" i="2"/>
  <c r="Y165" i="2" s="1"/>
  <c r="Z160" i="2"/>
  <c r="X160" i="2"/>
  <c r="Y160" i="2" s="1"/>
  <c r="Z158" i="2"/>
  <c r="X158" i="2"/>
  <c r="Y158" i="2" s="1"/>
  <c r="Z157" i="2"/>
  <c r="X157" i="2"/>
  <c r="Y157" i="2" s="1"/>
  <c r="Z156" i="2"/>
  <c r="X156" i="2"/>
  <c r="Y156" i="2" s="1"/>
  <c r="Z152" i="2"/>
  <c r="X152" i="2"/>
  <c r="Y152" i="2" s="1"/>
  <c r="Z149" i="2"/>
  <c r="X149" i="2"/>
  <c r="Y149" i="2" s="1"/>
  <c r="Z148" i="2"/>
  <c r="X148" i="2"/>
  <c r="Y148" i="2" s="1"/>
  <c r="Z141" i="2"/>
  <c r="X141" i="2"/>
  <c r="Y141" i="2" s="1"/>
  <c r="Z139" i="2"/>
  <c r="X139" i="2"/>
  <c r="Y139" i="2" s="1"/>
  <c r="Z138" i="2"/>
  <c r="X138" i="2"/>
  <c r="Y138" i="2" s="1"/>
  <c r="Z136" i="2"/>
  <c r="X136" i="2"/>
  <c r="Y136" i="2" s="1"/>
  <c r="Z135" i="2"/>
  <c r="X135" i="2"/>
  <c r="Y135" i="2" s="1"/>
  <c r="Z129" i="2"/>
  <c r="X129" i="2"/>
  <c r="Y129" i="2" s="1"/>
  <c r="Z124" i="2"/>
  <c r="X124" i="2"/>
  <c r="Y124" i="2" s="1"/>
  <c r="Z122" i="2"/>
  <c r="X122" i="2"/>
  <c r="Y122" i="2" s="1"/>
  <c r="Z116" i="2"/>
  <c r="X116" i="2"/>
  <c r="Y116" i="2" s="1"/>
  <c r="Z113" i="2"/>
  <c r="X113" i="2"/>
  <c r="Y113" i="2" s="1"/>
  <c r="Z111" i="2"/>
  <c r="X111" i="2"/>
  <c r="Y111" i="2" s="1"/>
  <c r="Z110" i="2"/>
  <c r="X110" i="2"/>
  <c r="Y110" i="2" s="1"/>
  <c r="Z109" i="2"/>
  <c r="X109" i="2"/>
  <c r="Y109" i="2" s="1"/>
  <c r="Z105" i="2"/>
  <c r="X105" i="2"/>
  <c r="Y105" i="2" s="1"/>
  <c r="Z103" i="2"/>
  <c r="X103" i="2"/>
  <c r="Y103" i="2" s="1"/>
  <c r="Z102" i="2"/>
  <c r="X102" i="2"/>
  <c r="Y102" i="2" s="1"/>
  <c r="Z101" i="2"/>
  <c r="X101" i="2"/>
  <c r="Y101" i="2" s="1"/>
  <c r="Z99" i="2"/>
  <c r="X99" i="2"/>
  <c r="Y99" i="2" s="1"/>
  <c r="Z98" i="2"/>
  <c r="X98" i="2"/>
  <c r="Y98" i="2" s="1"/>
  <c r="Z93" i="2"/>
  <c r="X93" i="2"/>
  <c r="Y93" i="2" s="1"/>
  <c r="Z89" i="2"/>
  <c r="X89" i="2"/>
  <c r="Y89" i="2" s="1"/>
  <c r="Z88" i="2"/>
  <c r="X88" i="2"/>
  <c r="Y88" i="2" s="1"/>
  <c r="Z82" i="2"/>
  <c r="X82" i="2"/>
  <c r="Y82" i="2" s="1"/>
  <c r="Z75" i="2"/>
  <c r="X75" i="2"/>
  <c r="Y75" i="2" s="1"/>
  <c r="Z72" i="2"/>
  <c r="X72" i="2"/>
  <c r="Y72" i="2" s="1"/>
  <c r="Z69" i="2"/>
  <c r="X69" i="2"/>
  <c r="Y69" i="2" s="1"/>
  <c r="Z68" i="2"/>
  <c r="X68" i="2"/>
  <c r="Y68" i="2" s="1"/>
  <c r="Z66" i="2"/>
  <c r="X66" i="2"/>
  <c r="Y66" i="2" s="1"/>
  <c r="Z65" i="2"/>
  <c r="X65" i="2"/>
  <c r="Y65" i="2" s="1"/>
  <c r="Z62" i="2"/>
  <c r="X62" i="2"/>
  <c r="Y62" i="2" s="1"/>
  <c r="Z60" i="2"/>
  <c r="X60" i="2"/>
  <c r="Y60" i="2" s="1"/>
  <c r="Z59" i="2"/>
  <c r="X59" i="2"/>
  <c r="Y59" i="2" s="1"/>
  <c r="Z53" i="2"/>
  <c r="X53" i="2"/>
  <c r="Y53" i="2" s="1"/>
  <c r="Z49" i="2"/>
  <c r="X49" i="2"/>
  <c r="Y49" i="2" s="1"/>
  <c r="Z47" i="2"/>
  <c r="X47" i="2"/>
  <c r="Y47" i="2" s="1"/>
  <c r="Z44" i="2"/>
  <c r="X44" i="2"/>
  <c r="Y44" i="2" s="1"/>
  <c r="Z41" i="2"/>
  <c r="X41" i="2"/>
  <c r="Y41" i="2" s="1"/>
  <c r="Z36" i="2"/>
  <c r="X36" i="2"/>
  <c r="Y36" i="2" s="1"/>
  <c r="Z34" i="2"/>
  <c r="X34" i="2"/>
  <c r="Y34" i="2" s="1"/>
  <c r="Z31" i="2"/>
  <c r="X31" i="2"/>
  <c r="Y31" i="2" s="1"/>
  <c r="Z29" i="2"/>
  <c r="X29" i="2"/>
  <c r="Y29" i="2" s="1"/>
  <c r="Z28" i="2"/>
  <c r="X28" i="2"/>
  <c r="Y28" i="2" s="1"/>
  <c r="Z26" i="2"/>
  <c r="X26" i="2"/>
  <c r="Y26" i="2" s="1"/>
  <c r="Z24" i="2"/>
  <c r="X24" i="2"/>
  <c r="Y24" i="2" s="1"/>
  <c r="Z16" i="2"/>
  <c r="X16" i="2"/>
  <c r="Y16" i="2" s="1"/>
  <c r="Z15" i="2"/>
  <c r="X15" i="2"/>
  <c r="Y15" i="2" s="1"/>
  <c r="Z13" i="2"/>
  <c r="X13" i="2"/>
  <c r="Y13" i="2" s="1"/>
  <c r="Z10" i="2"/>
  <c r="X10" i="2"/>
  <c r="Y10" i="2" s="1"/>
  <c r="Z7" i="2"/>
  <c r="X7" i="2"/>
  <c r="Y7" i="2" s="1"/>
  <c r="Z6" i="2"/>
  <c r="X6" i="2"/>
  <c r="Y6" i="2" s="1"/>
  <c r="Z5" i="2"/>
  <c r="X5" i="2"/>
  <c r="Y5" i="2" s="1"/>
  <c r="Y2" i="2"/>
  <c r="Y3" i="2"/>
  <c r="Y8" i="2"/>
  <c r="Y9" i="2"/>
  <c r="Y11" i="2"/>
  <c r="Y12" i="2"/>
  <c r="Y17" i="2"/>
  <c r="Y18" i="2"/>
  <c r="Y21" i="2"/>
  <c r="Y22" i="2"/>
  <c r="Y23" i="2"/>
  <c r="Y25" i="2"/>
  <c r="Y27" i="2"/>
  <c r="Y30" i="2"/>
  <c r="Y32" i="2"/>
  <c r="Y33" i="2"/>
  <c r="Y35" i="2"/>
  <c r="Y38" i="2"/>
  <c r="Y40" i="2"/>
  <c r="Y42" i="2"/>
  <c r="Y43" i="2"/>
  <c r="Y45" i="2"/>
  <c r="Y46" i="2"/>
  <c r="Y50" i="2"/>
  <c r="Y54" i="2"/>
  <c r="Y56" i="2"/>
  <c r="Y57" i="2"/>
  <c r="Y61" i="2"/>
  <c r="Y63" i="2"/>
  <c r="Y64" i="2"/>
  <c r="Y67" i="2"/>
  <c r="Y71" i="2"/>
  <c r="Y73" i="2"/>
  <c r="Y74" i="2"/>
  <c r="Y76" i="2"/>
  <c r="Y77" i="2"/>
  <c r="Y78" i="2"/>
  <c r="Y79" i="2"/>
  <c r="Y80" i="2"/>
  <c r="Y81" i="2"/>
  <c r="Y83" i="2"/>
  <c r="Y84" i="2"/>
  <c r="Y85" i="2"/>
  <c r="Y86" i="2"/>
  <c r="Y87" i="2"/>
  <c r="Y90" i="2"/>
  <c r="Y91" i="2"/>
  <c r="Y92" i="2"/>
  <c r="Y94" i="2"/>
  <c r="Y95" i="2"/>
  <c r="Y96" i="2"/>
  <c r="Y97" i="2"/>
  <c r="Y100" i="2"/>
  <c r="Y104" i="2"/>
  <c r="Y106" i="2"/>
  <c r="Y107" i="2"/>
  <c r="Y108" i="2"/>
  <c r="Y112" i="2"/>
  <c r="Y114" i="2"/>
  <c r="Y115" i="2"/>
  <c r="Y117" i="2"/>
  <c r="Y118" i="2"/>
  <c r="Y119" i="2"/>
  <c r="Y120" i="2"/>
  <c r="Y121" i="2"/>
  <c r="Y123" i="2"/>
  <c r="Y125" i="2"/>
  <c r="Y126" i="2"/>
  <c r="Y127" i="2"/>
  <c r="Y131" i="2"/>
  <c r="Y132" i="2"/>
  <c r="Y133" i="2"/>
  <c r="Y134" i="2"/>
  <c r="Y137" i="2"/>
  <c r="Y140" i="2"/>
  <c r="Y142" i="2"/>
  <c r="Y143" i="2"/>
  <c r="Y144" i="2"/>
  <c r="Y145" i="2"/>
  <c r="Y146" i="2"/>
  <c r="Y147" i="2"/>
  <c r="Y151" i="2"/>
  <c r="Y153" i="2"/>
  <c r="Y154" i="2"/>
  <c r="Y155" i="2"/>
  <c r="Y159" i="2"/>
  <c r="Y161" i="2"/>
  <c r="Y162" i="2"/>
  <c r="Y164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81" i="2"/>
  <c r="Y182" i="2"/>
  <c r="Y183" i="2"/>
  <c r="Y184" i="2"/>
  <c r="Y187" i="2"/>
  <c r="Y188" i="2"/>
  <c r="Y189" i="2"/>
  <c r="Y190" i="2"/>
  <c r="Y191" i="2"/>
  <c r="Y194" i="2"/>
  <c r="Y195" i="2"/>
  <c r="Y196" i="2"/>
  <c r="Y197" i="2"/>
  <c r="Z2" i="2"/>
  <c r="Z3" i="2"/>
  <c r="Z8" i="2"/>
  <c r="Z9" i="2"/>
  <c r="Z11" i="2"/>
  <c r="Z12" i="2"/>
  <c r="Z17" i="2"/>
  <c r="Z18" i="2"/>
  <c r="Z21" i="2"/>
  <c r="Z22" i="2"/>
  <c r="Z23" i="2"/>
  <c r="Z25" i="2"/>
  <c r="Z27" i="2"/>
  <c r="Z30" i="2"/>
  <c r="Z32" i="2"/>
  <c r="Z33" i="2"/>
  <c r="Z35" i="2"/>
  <c r="Z38" i="2"/>
  <c r="Z40" i="2"/>
  <c r="Z42" i="2"/>
  <c r="Z43" i="2"/>
  <c r="Z45" i="2"/>
  <c r="Z46" i="2"/>
  <c r="Z50" i="2"/>
  <c r="Z54" i="2"/>
  <c r="Z56" i="2"/>
  <c r="Z57" i="2"/>
  <c r="Z61" i="2"/>
  <c r="Z63" i="2"/>
  <c r="Z64" i="2"/>
  <c r="Z67" i="2"/>
  <c r="Z71" i="2"/>
  <c r="Z73" i="2"/>
  <c r="Z74" i="2"/>
  <c r="Z76" i="2"/>
  <c r="Z77" i="2"/>
  <c r="Z78" i="2"/>
  <c r="Z79" i="2"/>
  <c r="Z80" i="2"/>
  <c r="Z81" i="2"/>
  <c r="Z83" i="2"/>
  <c r="Z84" i="2"/>
  <c r="Z85" i="2"/>
  <c r="Z86" i="2"/>
  <c r="Z87" i="2"/>
  <c r="Z90" i="2"/>
  <c r="Z91" i="2"/>
  <c r="Z92" i="2"/>
  <c r="Z94" i="2"/>
  <c r="Z95" i="2"/>
  <c r="Z96" i="2"/>
  <c r="Z97" i="2"/>
  <c r="Z100" i="2"/>
  <c r="Z104" i="2"/>
  <c r="Z106" i="2"/>
  <c r="Z107" i="2"/>
  <c r="Z108" i="2"/>
  <c r="Z112" i="2"/>
  <c r="Z114" i="2"/>
  <c r="Z115" i="2"/>
  <c r="Z117" i="2"/>
  <c r="Z118" i="2"/>
  <c r="Z119" i="2"/>
  <c r="Z120" i="2"/>
  <c r="Z121" i="2"/>
  <c r="Z123" i="2"/>
  <c r="Z125" i="2"/>
  <c r="Z126" i="2"/>
  <c r="Z127" i="2"/>
  <c r="Z131" i="2"/>
  <c r="Z132" i="2"/>
  <c r="Z133" i="2"/>
  <c r="Z134" i="2"/>
  <c r="Z137" i="2"/>
  <c r="Z140" i="2"/>
  <c r="Z142" i="2"/>
  <c r="Z143" i="2"/>
  <c r="Z144" i="2"/>
  <c r="Z145" i="2"/>
  <c r="Z146" i="2"/>
  <c r="Z147" i="2"/>
  <c r="Z151" i="2"/>
  <c r="Z153" i="2"/>
  <c r="Z154" i="2"/>
  <c r="Z155" i="2"/>
  <c r="Z159" i="2"/>
  <c r="Z161" i="2"/>
  <c r="Z162" i="2"/>
  <c r="Z164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81" i="2"/>
  <c r="Z182" i="2"/>
  <c r="Z183" i="2"/>
  <c r="Z184" i="2"/>
  <c r="Z187" i="2"/>
  <c r="Z188" i="2"/>
  <c r="Z189" i="2"/>
  <c r="Z190" i="2"/>
  <c r="Z191" i="2"/>
  <c r="Z194" i="2"/>
  <c r="Z195" i="2"/>
  <c r="Z196" i="2"/>
  <c r="Z197" i="2"/>
  <c r="S93" i="2"/>
  <c r="S105" i="2"/>
  <c r="R173" i="2"/>
  <c r="S2" i="2"/>
  <c r="S3" i="2"/>
  <c r="S6" i="2"/>
  <c r="S7" i="2"/>
  <c r="S9" i="2"/>
  <c r="S11" i="2"/>
  <c r="S12" i="2"/>
  <c r="S13" i="2"/>
  <c r="S16" i="2"/>
  <c r="S17" i="2"/>
  <c r="S18" i="2"/>
  <c r="S19" i="2"/>
  <c r="S20" i="2"/>
  <c r="S21" i="2"/>
  <c r="S22" i="2"/>
  <c r="S23" i="2"/>
  <c r="S24" i="2"/>
  <c r="S25" i="2"/>
  <c r="S26" i="2"/>
  <c r="S28" i="2"/>
  <c r="S29" i="2"/>
  <c r="S30" i="2"/>
  <c r="S32" i="2"/>
  <c r="S35" i="2"/>
  <c r="S37" i="2"/>
  <c r="S38" i="2"/>
  <c r="S39" i="2"/>
  <c r="S40" i="2"/>
  <c r="S42" i="2"/>
  <c r="S43" i="2"/>
  <c r="S45" i="2"/>
  <c r="S51" i="2"/>
  <c r="S53" i="2"/>
  <c r="S54" i="2"/>
  <c r="S56" i="2"/>
  <c r="S57" i="2"/>
  <c r="S61" i="2"/>
  <c r="S63" i="2"/>
  <c r="S64" i="2"/>
  <c r="S67" i="2"/>
  <c r="S69" i="2"/>
  <c r="S70" i="2"/>
  <c r="S71" i="2"/>
  <c r="S73" i="2"/>
  <c r="S74" i="2"/>
  <c r="S76" i="2"/>
  <c r="S77" i="2"/>
  <c r="S78" i="2"/>
  <c r="S79" i="2"/>
  <c r="S80" i="2"/>
  <c r="S81" i="2"/>
  <c r="S84" i="2"/>
  <c r="S85" i="2"/>
  <c r="S86" i="2"/>
  <c r="S87" i="2"/>
  <c r="S90" i="2"/>
  <c r="S91" i="2"/>
  <c r="S92" i="2"/>
  <c r="S94" i="2"/>
  <c r="S95" i="2"/>
  <c r="S96" i="2"/>
  <c r="S97" i="2"/>
  <c r="S98" i="2"/>
  <c r="S99" i="2"/>
  <c r="S100" i="2"/>
  <c r="S101" i="2"/>
  <c r="S102" i="2"/>
  <c r="S103" i="2"/>
  <c r="S104" i="2"/>
  <c r="S106" i="2"/>
  <c r="S107" i="2"/>
  <c r="S108" i="2"/>
  <c r="S111" i="2"/>
  <c r="S112" i="2"/>
  <c r="S114" i="2"/>
  <c r="S115" i="2"/>
  <c r="S116" i="2"/>
  <c r="S117" i="2"/>
  <c r="S118" i="2"/>
  <c r="S119" i="2"/>
  <c r="S120" i="2"/>
  <c r="S121" i="2"/>
  <c r="S123" i="2"/>
  <c r="S124" i="2"/>
  <c r="S125" i="2"/>
  <c r="S126" i="2"/>
  <c r="S127" i="2"/>
  <c r="S128" i="2"/>
  <c r="S131" i="2"/>
  <c r="S132" i="2"/>
  <c r="S133" i="2"/>
  <c r="S134" i="2"/>
  <c r="S135" i="2"/>
  <c r="S137" i="2"/>
  <c r="S138" i="2"/>
  <c r="S139" i="2"/>
  <c r="S140" i="2"/>
  <c r="S142" i="2"/>
  <c r="S143" i="2"/>
  <c r="S144" i="2"/>
  <c r="S145" i="2"/>
  <c r="S146" i="2"/>
  <c r="S147" i="2"/>
  <c r="S148" i="2"/>
  <c r="S149" i="2"/>
  <c r="S150" i="2"/>
  <c r="S151" i="2"/>
  <c r="S153" i="2"/>
  <c r="S154" i="2"/>
  <c r="S155" i="2"/>
  <c r="S156" i="2"/>
  <c r="S157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L6" i="2"/>
  <c r="N6" i="2" s="1"/>
  <c r="N2" i="2"/>
  <c r="N3" i="2"/>
  <c r="N4" i="2"/>
  <c r="N5" i="2"/>
  <c r="N7" i="2"/>
  <c r="N8" i="2"/>
  <c r="N9" i="2"/>
  <c r="N10" i="2"/>
  <c r="N13" i="2"/>
  <c r="N14" i="2"/>
  <c r="N16" i="2"/>
  <c r="N17" i="2"/>
  <c r="N18" i="2"/>
  <c r="N20" i="2"/>
  <c r="N21" i="2"/>
  <c r="N22" i="2"/>
  <c r="N23" i="2"/>
  <c r="N24" i="2"/>
  <c r="N25" i="2"/>
  <c r="N26" i="2"/>
  <c r="N27" i="2"/>
  <c r="N29" i="2"/>
  <c r="N30" i="2"/>
  <c r="N31" i="2"/>
  <c r="N32" i="2"/>
  <c r="N33" i="2"/>
  <c r="N34" i="2"/>
  <c r="N35" i="2"/>
  <c r="N38" i="2"/>
  <c r="N39" i="2"/>
  <c r="N40" i="2"/>
  <c r="N41" i="2"/>
  <c r="N42" i="2"/>
  <c r="N43" i="2"/>
  <c r="N46" i="2"/>
  <c r="N49" i="2"/>
  <c r="N50" i="2"/>
  <c r="N51" i="2"/>
  <c r="N53" i="2"/>
  <c r="N55" i="2"/>
  <c r="N56" i="2"/>
  <c r="N57" i="2"/>
  <c r="N58" i="2"/>
  <c r="N59" i="2"/>
  <c r="N60" i="2"/>
  <c r="N61" i="2"/>
  <c r="N62" i="2"/>
  <c r="N63" i="2"/>
  <c r="N64" i="2"/>
  <c r="N66" i="2"/>
  <c r="N67" i="2"/>
  <c r="N70" i="2"/>
  <c r="N71" i="2"/>
  <c r="N72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9" i="2"/>
  <c r="N90" i="2"/>
  <c r="N91" i="2"/>
  <c r="N92" i="2"/>
  <c r="N94" i="2"/>
  <c r="N95" i="2"/>
  <c r="N96" i="2"/>
  <c r="N97" i="2"/>
  <c r="N100" i="2"/>
  <c r="N101" i="2"/>
  <c r="N102" i="2"/>
  <c r="N103" i="2"/>
  <c r="N104" i="2"/>
  <c r="N106" i="2"/>
  <c r="N107" i="2"/>
  <c r="N108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5" i="2"/>
  <c r="N126" i="2"/>
  <c r="N127" i="2"/>
  <c r="N131" i="2"/>
  <c r="N132" i="2"/>
  <c r="N133" i="2"/>
  <c r="N134" i="2"/>
  <c r="N135" i="2"/>
  <c r="N136" i="2"/>
  <c r="N137" i="2"/>
  <c r="N138" i="2"/>
  <c r="N140" i="2"/>
  <c r="N142" i="2"/>
  <c r="N143" i="2"/>
  <c r="N144" i="2"/>
  <c r="N145" i="2"/>
  <c r="N146" i="2"/>
  <c r="N147" i="2"/>
  <c r="N148" i="2"/>
  <c r="N151" i="2"/>
  <c r="N152" i="2"/>
  <c r="N153" i="2"/>
  <c r="N154" i="2"/>
  <c r="N155" i="2"/>
  <c r="N156" i="2"/>
  <c r="N159" i="2"/>
  <c r="N161" i="2"/>
  <c r="N162" i="2"/>
  <c r="N163" i="2"/>
  <c r="N164" i="2"/>
  <c r="N165" i="2"/>
  <c r="N166" i="2"/>
  <c r="N167" i="2"/>
  <c r="N168" i="2"/>
  <c r="N169" i="2"/>
  <c r="N170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L198" i="2"/>
  <c r="N198" i="2" s="1"/>
  <c r="L193" i="2"/>
  <c r="M193" i="2" s="1"/>
  <c r="L192" i="2"/>
  <c r="M192" i="2" s="1"/>
  <c r="L186" i="2"/>
  <c r="M186" i="2" s="1"/>
  <c r="L185" i="2"/>
  <c r="M185" i="2" s="1"/>
  <c r="L180" i="2"/>
  <c r="M180" i="2" s="1"/>
  <c r="L179" i="2"/>
  <c r="M179" i="2" s="1"/>
  <c r="L178" i="2"/>
  <c r="M178" i="2" s="1"/>
  <c r="L165" i="2"/>
  <c r="M165" i="2" s="1"/>
  <c r="L163" i="2"/>
  <c r="M163" i="2" s="1"/>
  <c r="L160" i="2"/>
  <c r="N160" i="2" s="1"/>
  <c r="L158" i="2"/>
  <c r="N158" i="2" s="1"/>
  <c r="L157" i="2"/>
  <c r="N157" i="2" s="1"/>
  <c r="L156" i="2"/>
  <c r="M156" i="2" s="1"/>
  <c r="L152" i="2"/>
  <c r="M152" i="2" s="1"/>
  <c r="L150" i="2"/>
  <c r="N150" i="2" s="1"/>
  <c r="L149" i="2"/>
  <c r="M149" i="2" s="1"/>
  <c r="L148" i="2"/>
  <c r="M148" i="2" s="1"/>
  <c r="L141" i="2"/>
  <c r="M141" i="2" s="1"/>
  <c r="L139" i="2"/>
  <c r="M139" i="2" s="1"/>
  <c r="L138" i="2"/>
  <c r="M138" i="2" s="1"/>
  <c r="L136" i="2"/>
  <c r="M136" i="2" s="1"/>
  <c r="L135" i="2"/>
  <c r="M135" i="2" s="1"/>
  <c r="L130" i="2"/>
  <c r="M130" i="2" s="1"/>
  <c r="L129" i="2"/>
  <c r="M129" i="2" s="1"/>
  <c r="L128" i="2"/>
  <c r="N128" i="2" s="1"/>
  <c r="L124" i="2"/>
  <c r="N124" i="2" s="1"/>
  <c r="L122" i="2"/>
  <c r="M122" i="2" s="1"/>
  <c r="L116" i="2"/>
  <c r="M116" i="2" s="1"/>
  <c r="L113" i="2"/>
  <c r="M113" i="2" s="1"/>
  <c r="L111" i="2"/>
  <c r="M111" i="2" s="1"/>
  <c r="L110" i="2"/>
  <c r="M110" i="2" s="1"/>
  <c r="L109" i="2"/>
  <c r="N109" i="2" s="1"/>
  <c r="L105" i="2"/>
  <c r="N105" i="2" s="1"/>
  <c r="L103" i="2"/>
  <c r="M103" i="2" s="1"/>
  <c r="L102" i="2"/>
  <c r="M102" i="2" s="1"/>
  <c r="L101" i="2"/>
  <c r="M101" i="2" s="1"/>
  <c r="L99" i="2"/>
  <c r="N99" i="2" s="1"/>
  <c r="L98" i="2"/>
  <c r="N98" i="2" s="1"/>
  <c r="L93" i="2"/>
  <c r="N93" i="2" s="1"/>
  <c r="L89" i="2"/>
  <c r="M89" i="2" s="1"/>
  <c r="L88" i="2"/>
  <c r="N88" i="2" s="1"/>
  <c r="L82" i="2"/>
  <c r="M82" i="2" s="1"/>
  <c r="L75" i="2"/>
  <c r="M75" i="2" s="1"/>
  <c r="L72" i="2"/>
  <c r="M72" i="2" s="1"/>
  <c r="L70" i="2"/>
  <c r="M70" i="2" s="1"/>
  <c r="L69" i="2"/>
  <c r="N69" i="2" s="1"/>
  <c r="L68" i="2"/>
  <c r="N68" i="2" s="1"/>
  <c r="L66" i="2"/>
  <c r="M66" i="2" s="1"/>
  <c r="L65" i="2"/>
  <c r="N65" i="2" s="1"/>
  <c r="L62" i="2"/>
  <c r="M62" i="2" s="1"/>
  <c r="L60" i="2"/>
  <c r="M60" i="2" s="1"/>
  <c r="L59" i="2"/>
  <c r="M59" i="2" s="1"/>
  <c r="L58" i="2"/>
  <c r="M58" i="2" s="1"/>
  <c r="L55" i="2"/>
  <c r="M55" i="2" s="1"/>
  <c r="L53" i="2"/>
  <c r="M53" i="2" s="1"/>
  <c r="L52" i="2"/>
  <c r="N52" i="2" s="1"/>
  <c r="L51" i="2"/>
  <c r="M51" i="2" s="1"/>
  <c r="L49" i="2"/>
  <c r="M49" i="2" s="1"/>
  <c r="L48" i="2"/>
  <c r="N48" i="2" s="1"/>
  <c r="L47" i="2"/>
  <c r="N47" i="2" s="1"/>
  <c r="L44" i="2"/>
  <c r="M44" i="2" s="1"/>
  <c r="L41" i="2"/>
  <c r="M41" i="2" s="1"/>
  <c r="L39" i="2"/>
  <c r="M39" i="2" s="1"/>
  <c r="L37" i="2"/>
  <c r="M37" i="2" s="1"/>
  <c r="L36" i="2"/>
  <c r="M36" i="2" s="1"/>
  <c r="L34" i="2"/>
  <c r="M34" i="2" s="1"/>
  <c r="L31" i="2"/>
  <c r="M31" i="2" s="1"/>
  <c r="L29" i="2"/>
  <c r="M29" i="2" s="1"/>
  <c r="L28" i="2"/>
  <c r="N28" i="2" s="1"/>
  <c r="L26" i="2"/>
  <c r="M26" i="2" s="1"/>
  <c r="L24" i="2"/>
  <c r="M24" i="2" s="1"/>
  <c r="L20" i="2"/>
  <c r="M20" i="2" s="1"/>
  <c r="L19" i="2"/>
  <c r="N19" i="2" s="1"/>
  <c r="L16" i="2"/>
  <c r="M16" i="2" s="1"/>
  <c r="L15" i="2"/>
  <c r="N15" i="2" s="1"/>
  <c r="L14" i="2"/>
  <c r="M14" i="2" s="1"/>
  <c r="L13" i="2"/>
  <c r="M13" i="2" s="1"/>
  <c r="L10" i="2"/>
  <c r="M10" i="2" s="1"/>
  <c r="L7" i="2"/>
  <c r="M7" i="2" s="1"/>
  <c r="L5" i="2"/>
  <c r="M5" i="2" s="1"/>
  <c r="L4" i="2"/>
  <c r="M4" i="2" s="1"/>
  <c r="AK34" i="2"/>
  <c r="AK14" i="2"/>
  <c r="AK2" i="2"/>
  <c r="AK3" i="2"/>
  <c r="AK4" i="2"/>
  <c r="AK5" i="2"/>
  <c r="AK6" i="2"/>
  <c r="AK7" i="2"/>
  <c r="AK8" i="2"/>
  <c r="AK9" i="2"/>
  <c r="AK10" i="2"/>
  <c r="AK11" i="2"/>
  <c r="AK12" i="2"/>
  <c r="AK13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5" i="2"/>
  <c r="AK36" i="2"/>
  <c r="AK37" i="2"/>
  <c r="AK38" i="2"/>
  <c r="AK39" i="2"/>
  <c r="AK40" i="2"/>
  <c r="AK41" i="2"/>
  <c r="AK42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7" i="2"/>
  <c r="AK88" i="2"/>
  <c r="AK89" i="2"/>
  <c r="AK90" i="2"/>
  <c r="AK91" i="2"/>
  <c r="AK92" i="2"/>
  <c r="AK93" i="2"/>
  <c r="AK95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V55" i="2" l="1"/>
  <c r="V136" i="2"/>
  <c r="V31" i="2"/>
  <c r="V50" i="2"/>
  <c r="V93" i="2"/>
  <c r="V15" i="2"/>
  <c r="V44" i="2"/>
  <c r="V62" i="2"/>
  <c r="V10" i="2"/>
  <c r="V4" i="2"/>
  <c r="U130" i="2"/>
  <c r="V88" i="2"/>
  <c r="V82" i="2"/>
  <c r="V58" i="2"/>
  <c r="V14" i="2"/>
  <c r="V178" i="2"/>
  <c r="V152" i="2"/>
  <c r="V83" i="2"/>
  <c r="V110" i="2"/>
  <c r="V66" i="2"/>
  <c r="U122" i="2"/>
  <c r="U75" i="2"/>
  <c r="V41" i="2"/>
  <c r="U68" i="2"/>
  <c r="U46" i="2"/>
  <c r="V158" i="2"/>
  <c r="V141" i="2"/>
  <c r="V65" i="2"/>
  <c r="V33" i="2"/>
  <c r="V113" i="2"/>
  <c r="V59" i="2"/>
  <c r="V129" i="2"/>
  <c r="V105" i="2"/>
  <c r="U52" i="2"/>
  <c r="U34" i="2"/>
  <c r="V5" i="2"/>
  <c r="U109" i="2"/>
  <c r="U49" i="2"/>
  <c r="U72" i="2"/>
  <c r="U60" i="2"/>
  <c r="U48" i="2"/>
  <c r="U36" i="2"/>
  <c r="S62" i="2"/>
  <c r="R59" i="2"/>
  <c r="R47" i="2"/>
  <c r="S46" i="2"/>
  <c r="R83" i="2"/>
  <c r="R110" i="2"/>
  <c r="S122" i="2"/>
  <c r="R50" i="2"/>
  <c r="S136" i="2"/>
  <c r="R5" i="2"/>
  <c r="Z19" i="2"/>
  <c r="Z163" i="2"/>
  <c r="Y150" i="2"/>
  <c r="Y130" i="2"/>
  <c r="Y128" i="2"/>
  <c r="Z70" i="2"/>
  <c r="Y58" i="2"/>
  <c r="Y55" i="2"/>
  <c r="Y51" i="2"/>
  <c r="Y52" i="2"/>
  <c r="Y48" i="2"/>
  <c r="Y39" i="2"/>
  <c r="Z37" i="2"/>
  <c r="Y20" i="2"/>
  <c r="Y14" i="2"/>
  <c r="R75" i="2"/>
  <c r="R4" i="2"/>
  <c r="Z4" i="2"/>
  <c r="R65" i="2"/>
  <c r="S10" i="2"/>
  <c r="S158" i="2"/>
  <c r="R52" i="2"/>
  <c r="S34" i="2"/>
  <c r="S8" i="2"/>
  <c r="S33" i="2"/>
  <c r="S31" i="2"/>
  <c r="S88" i="2"/>
  <c r="R105" i="2"/>
  <c r="R66" i="2"/>
  <c r="R152" i="2"/>
  <c r="S72" i="2"/>
  <c r="S82" i="2"/>
  <c r="S58" i="2"/>
  <c r="R93" i="2"/>
  <c r="S113" i="2"/>
  <c r="R130" i="2"/>
  <c r="S130" i="2"/>
  <c r="R141" i="2"/>
  <c r="S141" i="2"/>
  <c r="R129" i="2"/>
  <c r="S129" i="2"/>
  <c r="R68" i="2"/>
  <c r="S68" i="2"/>
  <c r="R55" i="2"/>
  <c r="S55" i="2"/>
  <c r="S89" i="2"/>
  <c r="R89" i="2"/>
  <c r="R41" i="2"/>
  <c r="S41" i="2"/>
  <c r="R178" i="2"/>
  <c r="R14" i="2"/>
  <c r="R27" i="2"/>
  <c r="R15" i="2"/>
  <c r="S109" i="2"/>
  <c r="S49" i="2"/>
  <c r="S36" i="2"/>
  <c r="S60" i="2"/>
  <c r="S48" i="2"/>
  <c r="M65" i="2"/>
  <c r="M150" i="2"/>
  <c r="M19" i="2"/>
  <c r="M28" i="2"/>
  <c r="M98" i="2"/>
  <c r="N141" i="2"/>
  <c r="M124" i="2"/>
  <c r="M52" i="2"/>
  <c r="M128" i="2"/>
  <c r="N139" i="2"/>
  <c r="M47" i="2"/>
  <c r="M68" i="2"/>
  <c r="M48" i="2"/>
  <c r="M69" i="2"/>
  <c r="M105" i="2"/>
  <c r="M109" i="2"/>
  <c r="N36" i="2"/>
  <c r="M6" i="2"/>
  <c r="M88" i="2"/>
  <c r="M198" i="2"/>
  <c r="M93" i="2"/>
  <c r="N130" i="2"/>
  <c r="M157" i="2"/>
  <c r="N129" i="2"/>
  <c r="M99" i="2"/>
  <c r="M158" i="2"/>
  <c r="M15" i="2"/>
  <c r="M160" i="2"/>
  <c r="N44" i="2"/>
  <c r="N149" i="2"/>
  <c r="N37" i="2"/>
  <c r="N185" i="2"/>
  <c r="AM13" i="2"/>
  <c r="AN13" i="2" s="1"/>
  <c r="AM24" i="2"/>
  <c r="AN24" i="2" s="1"/>
  <c r="AL25" i="2"/>
  <c r="AM37" i="2"/>
  <c r="AN37" i="2" s="1"/>
  <c r="AM47" i="2"/>
  <c r="AN47" i="2" s="1"/>
  <c r="AM49" i="2"/>
  <c r="AN49" i="2" s="1"/>
  <c r="AL61" i="2"/>
  <c r="AL73" i="2"/>
  <c r="AL85" i="2"/>
  <c r="AL96" i="2"/>
  <c r="AL97" i="2"/>
  <c r="AM98" i="2"/>
  <c r="AN98" i="2" s="1"/>
  <c r="AM109" i="2"/>
  <c r="AN109" i="2" s="1"/>
  <c r="AM116" i="2"/>
  <c r="AN116" i="2" s="1"/>
  <c r="AL121" i="2"/>
  <c r="AM122" i="2"/>
  <c r="AN122" i="2" s="1"/>
  <c r="AL133" i="2"/>
  <c r="AL145" i="2"/>
  <c r="AM156" i="2"/>
  <c r="AN156" i="2" s="1"/>
  <c r="AM157" i="2"/>
  <c r="AN157" i="2" s="1"/>
  <c r="AM158" i="2"/>
  <c r="AN158" i="2" s="1"/>
  <c r="AL169" i="2"/>
  <c r="AL181" i="2"/>
  <c r="AM193" i="2"/>
  <c r="AN193" i="2" s="1"/>
  <c r="AM2" i="2"/>
  <c r="AM3" i="2"/>
  <c r="AM4" i="2"/>
  <c r="AN4" i="2" s="1"/>
  <c r="AM5" i="2"/>
  <c r="AN5" i="2" s="1"/>
  <c r="AM6" i="2"/>
  <c r="AN6" i="2" s="1"/>
  <c r="AM7" i="2"/>
  <c r="AN7" i="2" s="1"/>
  <c r="AM8" i="2"/>
  <c r="AM9" i="2"/>
  <c r="AM10" i="2"/>
  <c r="AN10" i="2" s="1"/>
  <c r="AM11" i="2"/>
  <c r="AM12" i="2"/>
  <c r="AM14" i="2"/>
  <c r="AN14" i="2" s="1"/>
  <c r="AM15" i="2"/>
  <c r="AN15" i="2" s="1"/>
  <c r="AM16" i="2"/>
  <c r="AN16" i="2" s="1"/>
  <c r="AM17" i="2"/>
  <c r="AM18" i="2"/>
  <c r="AM19" i="2"/>
  <c r="AN19" i="2" s="1"/>
  <c r="AM20" i="2"/>
  <c r="AN20" i="2" s="1"/>
  <c r="AM21" i="2"/>
  <c r="AM22" i="2"/>
  <c r="AM23" i="2"/>
  <c r="AM25" i="2"/>
  <c r="AM26" i="2"/>
  <c r="AN26" i="2" s="1"/>
  <c r="AM27" i="2"/>
  <c r="AM28" i="2"/>
  <c r="AN28" i="2" s="1"/>
  <c r="AM29" i="2"/>
  <c r="AN29" i="2" s="1"/>
  <c r="AM30" i="2"/>
  <c r="AM31" i="2"/>
  <c r="AN31" i="2" s="1"/>
  <c r="AM32" i="2"/>
  <c r="AM33" i="2"/>
  <c r="AM34" i="2"/>
  <c r="AN34" i="2" s="1"/>
  <c r="AM35" i="2"/>
  <c r="AM36" i="2"/>
  <c r="AN36" i="2" s="1"/>
  <c r="AM38" i="2"/>
  <c r="AM39" i="2"/>
  <c r="AN39" i="2" s="1"/>
  <c r="AM40" i="2"/>
  <c r="AM41" i="2"/>
  <c r="AN41" i="2" s="1"/>
  <c r="AM42" i="2"/>
  <c r="AM43" i="2"/>
  <c r="AM44" i="2"/>
  <c r="AN44" i="2" s="1"/>
  <c r="AM45" i="2"/>
  <c r="AM46" i="2"/>
  <c r="AM48" i="2"/>
  <c r="AN48" i="2" s="1"/>
  <c r="AM50" i="2"/>
  <c r="AM51" i="2"/>
  <c r="AN51" i="2" s="1"/>
  <c r="AM52" i="2"/>
  <c r="AN52" i="2" s="1"/>
  <c r="AM53" i="2"/>
  <c r="AN53" i="2" s="1"/>
  <c r="AM54" i="2"/>
  <c r="AM55" i="2"/>
  <c r="AN55" i="2" s="1"/>
  <c r="AM56" i="2"/>
  <c r="AM57" i="2"/>
  <c r="AM58" i="2"/>
  <c r="AN58" i="2" s="1"/>
  <c r="AM59" i="2"/>
  <c r="AN59" i="2" s="1"/>
  <c r="AM60" i="2"/>
  <c r="AN60" i="2" s="1"/>
  <c r="AM61" i="2"/>
  <c r="AM62" i="2"/>
  <c r="AN62" i="2" s="1"/>
  <c r="AM63" i="2"/>
  <c r="AM64" i="2"/>
  <c r="AM65" i="2"/>
  <c r="AN65" i="2" s="1"/>
  <c r="AM66" i="2"/>
  <c r="AN66" i="2" s="1"/>
  <c r="AM67" i="2"/>
  <c r="AM68" i="2"/>
  <c r="AN68" i="2" s="1"/>
  <c r="AM69" i="2"/>
  <c r="AN69" i="2" s="1"/>
  <c r="AM70" i="2"/>
  <c r="AN70" i="2" s="1"/>
  <c r="AM71" i="2"/>
  <c r="AM72" i="2"/>
  <c r="AN72" i="2" s="1"/>
  <c r="AM73" i="2"/>
  <c r="AM74" i="2"/>
  <c r="AM75" i="2"/>
  <c r="AN75" i="2" s="1"/>
  <c r="AM76" i="2"/>
  <c r="AM77" i="2"/>
  <c r="AM78" i="2"/>
  <c r="AM79" i="2"/>
  <c r="AM80" i="2"/>
  <c r="AM81" i="2"/>
  <c r="AM82" i="2"/>
  <c r="AN82" i="2" s="1"/>
  <c r="AM83" i="2"/>
  <c r="AM84" i="2"/>
  <c r="AM85" i="2"/>
  <c r="AM86" i="2"/>
  <c r="AM87" i="2"/>
  <c r="AM88" i="2"/>
  <c r="AN88" i="2" s="1"/>
  <c r="AM89" i="2"/>
  <c r="AN89" i="2" s="1"/>
  <c r="AM90" i="2"/>
  <c r="AM91" i="2"/>
  <c r="AM92" i="2"/>
  <c r="AM93" i="2"/>
  <c r="AN93" i="2" s="1"/>
  <c r="AM94" i="2"/>
  <c r="AM95" i="2"/>
  <c r="AM96" i="2"/>
  <c r="AM97" i="2"/>
  <c r="AM99" i="2"/>
  <c r="AN99" i="2" s="1"/>
  <c r="AM100" i="2"/>
  <c r="AM101" i="2"/>
  <c r="AN101" i="2" s="1"/>
  <c r="AM102" i="2"/>
  <c r="AN102" i="2" s="1"/>
  <c r="AM103" i="2"/>
  <c r="AN103" i="2" s="1"/>
  <c r="AM104" i="2"/>
  <c r="AM105" i="2"/>
  <c r="AN105" i="2" s="1"/>
  <c r="AM106" i="2"/>
  <c r="AM107" i="2"/>
  <c r="AM108" i="2"/>
  <c r="AM110" i="2"/>
  <c r="AN110" i="2" s="1"/>
  <c r="AM111" i="2"/>
  <c r="AN111" i="2" s="1"/>
  <c r="AM112" i="2"/>
  <c r="AM113" i="2"/>
  <c r="AN113" i="2" s="1"/>
  <c r="AM114" i="2"/>
  <c r="AM115" i="2"/>
  <c r="AM117" i="2"/>
  <c r="AM118" i="2"/>
  <c r="AM119" i="2"/>
  <c r="AM120" i="2"/>
  <c r="AM121" i="2"/>
  <c r="AM123" i="2"/>
  <c r="AM124" i="2"/>
  <c r="AN124" i="2" s="1"/>
  <c r="AM125" i="2"/>
  <c r="AM126" i="2"/>
  <c r="AM127" i="2"/>
  <c r="AM128" i="2"/>
  <c r="AN128" i="2" s="1"/>
  <c r="AM129" i="2"/>
  <c r="AN129" i="2" s="1"/>
  <c r="AM130" i="2"/>
  <c r="AN130" i="2" s="1"/>
  <c r="AM131" i="2"/>
  <c r="AM132" i="2"/>
  <c r="AM133" i="2"/>
  <c r="AM134" i="2"/>
  <c r="AM135" i="2"/>
  <c r="AN135" i="2" s="1"/>
  <c r="AM136" i="2"/>
  <c r="AN136" i="2" s="1"/>
  <c r="AM137" i="2"/>
  <c r="AM138" i="2"/>
  <c r="AN138" i="2" s="1"/>
  <c r="AM139" i="2"/>
  <c r="AN139" i="2" s="1"/>
  <c r="AM140" i="2"/>
  <c r="AM141" i="2"/>
  <c r="AN141" i="2" s="1"/>
  <c r="AM142" i="2"/>
  <c r="AM143" i="2"/>
  <c r="AM144" i="2"/>
  <c r="AM145" i="2"/>
  <c r="AM146" i="2"/>
  <c r="AM147" i="2"/>
  <c r="AM148" i="2"/>
  <c r="AN148" i="2" s="1"/>
  <c r="AM149" i="2"/>
  <c r="AN149" i="2" s="1"/>
  <c r="AM150" i="2"/>
  <c r="AN150" i="2" s="1"/>
  <c r="AM151" i="2"/>
  <c r="AM152" i="2"/>
  <c r="AN152" i="2" s="1"/>
  <c r="AM153" i="2"/>
  <c r="AM154" i="2"/>
  <c r="AM155" i="2"/>
  <c r="AM159" i="2"/>
  <c r="AM160" i="2"/>
  <c r="AN160" i="2" s="1"/>
  <c r="AM161" i="2"/>
  <c r="AM162" i="2"/>
  <c r="AM163" i="2"/>
  <c r="AN163" i="2" s="1"/>
  <c r="AM164" i="2"/>
  <c r="AM165" i="2"/>
  <c r="AN165" i="2" s="1"/>
  <c r="AM166" i="2"/>
  <c r="AM167" i="2"/>
  <c r="AM168" i="2"/>
  <c r="AM169" i="2"/>
  <c r="AM170" i="2"/>
  <c r="AM171" i="2"/>
  <c r="AM172" i="2"/>
  <c r="AM173" i="2"/>
  <c r="AM174" i="2"/>
  <c r="AM175" i="2"/>
  <c r="AM176" i="2"/>
  <c r="AM177" i="2"/>
  <c r="AM178" i="2"/>
  <c r="AN178" i="2" s="1"/>
  <c r="AM179" i="2"/>
  <c r="AN179" i="2" s="1"/>
  <c r="AM180" i="2"/>
  <c r="AN180" i="2" s="1"/>
  <c r="AM181" i="2"/>
  <c r="AM182" i="2"/>
  <c r="AM183" i="2"/>
  <c r="AM184" i="2"/>
  <c r="AM185" i="2"/>
  <c r="AN185" i="2" s="1"/>
  <c r="AM186" i="2"/>
  <c r="AN186" i="2" s="1"/>
  <c r="AM187" i="2"/>
  <c r="AM188" i="2"/>
  <c r="AM189" i="2"/>
  <c r="AM190" i="2"/>
  <c r="AM191" i="2"/>
  <c r="AM192" i="2"/>
  <c r="AN192" i="2" s="1"/>
  <c r="AM194" i="2"/>
  <c r="AM195" i="2"/>
  <c r="AM196" i="2"/>
  <c r="AM197" i="2"/>
  <c r="AM198" i="2"/>
  <c r="AN198" i="2" s="1"/>
  <c r="AL2" i="2"/>
  <c r="AL3" i="2"/>
  <c r="AL4" i="2"/>
  <c r="AL5" i="2"/>
  <c r="AL6" i="2"/>
  <c r="AL7" i="2"/>
  <c r="AL8" i="2"/>
  <c r="AL9" i="2"/>
  <c r="AL10" i="2"/>
  <c r="AL11" i="2"/>
  <c r="AL12" i="2"/>
  <c r="AL14" i="2"/>
  <c r="AL15" i="2"/>
  <c r="AL16" i="2"/>
  <c r="AL17" i="2"/>
  <c r="AL18" i="2"/>
  <c r="AL19" i="2"/>
  <c r="AL20" i="2"/>
  <c r="AL21" i="2"/>
  <c r="AL22" i="2"/>
  <c r="AL23" i="2"/>
  <c r="AL24" i="2"/>
  <c r="AL26" i="2"/>
  <c r="AL27" i="2"/>
  <c r="AL28" i="2"/>
  <c r="AL29" i="2"/>
  <c r="AL30" i="2"/>
  <c r="AL31" i="2"/>
  <c r="AL32" i="2"/>
  <c r="AL33" i="2"/>
  <c r="AL34" i="2"/>
  <c r="AL35" i="2"/>
  <c r="AL36" i="2"/>
  <c r="AL38" i="2"/>
  <c r="AL39" i="2"/>
  <c r="AL40" i="2"/>
  <c r="AL41" i="2"/>
  <c r="AL42" i="2"/>
  <c r="AL43" i="2"/>
  <c r="AL44" i="2"/>
  <c r="AL45" i="2"/>
  <c r="AL46" i="2"/>
  <c r="AL47" i="2"/>
  <c r="AL48" i="2"/>
  <c r="AL50" i="2"/>
  <c r="AL51" i="2"/>
  <c r="AL52" i="2"/>
  <c r="AL53" i="2"/>
  <c r="AL54" i="2"/>
  <c r="AL55" i="2"/>
  <c r="AL56" i="2"/>
  <c r="AL57" i="2"/>
  <c r="AL58" i="2"/>
  <c r="AL59" i="2"/>
  <c r="AL60" i="2"/>
  <c r="AL62" i="2"/>
  <c r="AL63" i="2"/>
  <c r="AL64" i="2"/>
  <c r="AL65" i="2"/>
  <c r="AL66" i="2"/>
  <c r="AL67" i="2"/>
  <c r="AL68" i="2"/>
  <c r="AL69" i="2"/>
  <c r="AL70" i="2"/>
  <c r="AL71" i="2"/>
  <c r="AL72" i="2"/>
  <c r="AL74" i="2"/>
  <c r="AL75" i="2"/>
  <c r="AL76" i="2"/>
  <c r="AL77" i="2"/>
  <c r="AL78" i="2"/>
  <c r="AL79" i="2"/>
  <c r="AL80" i="2"/>
  <c r="AL81" i="2"/>
  <c r="AL82" i="2"/>
  <c r="AL83" i="2"/>
  <c r="AL84" i="2"/>
  <c r="AL86" i="2"/>
  <c r="AL87" i="2"/>
  <c r="AL88" i="2"/>
  <c r="AL89" i="2"/>
  <c r="AL90" i="2"/>
  <c r="AL91" i="2"/>
  <c r="AL92" i="2"/>
  <c r="AL93" i="2"/>
  <c r="AL94" i="2"/>
  <c r="AL95" i="2"/>
  <c r="AL98" i="2"/>
  <c r="AL99" i="2"/>
  <c r="AL100" i="2"/>
  <c r="AL101" i="2"/>
  <c r="AL102" i="2"/>
  <c r="AL103" i="2"/>
  <c r="AL104" i="2"/>
  <c r="AL105" i="2"/>
  <c r="AL106" i="2"/>
  <c r="AL107" i="2"/>
  <c r="AL108" i="2"/>
  <c r="AL110" i="2"/>
  <c r="AL111" i="2"/>
  <c r="AL112" i="2"/>
  <c r="AL113" i="2"/>
  <c r="AL114" i="2"/>
  <c r="AL115" i="2"/>
  <c r="AL116" i="2"/>
  <c r="AL117" i="2"/>
  <c r="AL118" i="2"/>
  <c r="AL119" i="2"/>
  <c r="AL120" i="2"/>
  <c r="AL122" i="2"/>
  <c r="AL123" i="2"/>
  <c r="AL124" i="2"/>
  <c r="AL125" i="2"/>
  <c r="AL126" i="2"/>
  <c r="AL127" i="2"/>
  <c r="AL128" i="2"/>
  <c r="AL129" i="2"/>
  <c r="AL130" i="2"/>
  <c r="AL131" i="2"/>
  <c r="AL132" i="2"/>
  <c r="AL134" i="2"/>
  <c r="AL135" i="2"/>
  <c r="AL136" i="2"/>
  <c r="AL137" i="2"/>
  <c r="AL138" i="2"/>
  <c r="AL139" i="2"/>
  <c r="AL140" i="2"/>
  <c r="AL141" i="2"/>
  <c r="AL142" i="2"/>
  <c r="AL143" i="2"/>
  <c r="AL144" i="2"/>
  <c r="AL146" i="2"/>
  <c r="AL147" i="2"/>
  <c r="AL148" i="2"/>
  <c r="AL149" i="2"/>
  <c r="AL150" i="2"/>
  <c r="AL151" i="2"/>
  <c r="AL152" i="2"/>
  <c r="AL153" i="2"/>
  <c r="AL154" i="2"/>
  <c r="AL155" i="2"/>
  <c r="AL156" i="2"/>
  <c r="AL158" i="2"/>
  <c r="AL159" i="2"/>
  <c r="AL160" i="2"/>
  <c r="AL161" i="2"/>
  <c r="AL162" i="2"/>
  <c r="AL163" i="2"/>
  <c r="AL164" i="2"/>
  <c r="AL165" i="2"/>
  <c r="AL166" i="2"/>
  <c r="AL167" i="2"/>
  <c r="AL168" i="2"/>
  <c r="AL170" i="2"/>
  <c r="AL171" i="2"/>
  <c r="AL172" i="2"/>
  <c r="AL173" i="2"/>
  <c r="AL174" i="2"/>
  <c r="AL175" i="2"/>
  <c r="AL176" i="2"/>
  <c r="AL177" i="2"/>
  <c r="AL178" i="2"/>
  <c r="AL179" i="2"/>
  <c r="AL180" i="2"/>
  <c r="AL182" i="2"/>
  <c r="AL183" i="2"/>
  <c r="AL184" i="2"/>
  <c r="AL185" i="2"/>
  <c r="AL186" i="2"/>
  <c r="AL187" i="2"/>
  <c r="AL188" i="2"/>
  <c r="AL189" i="2"/>
  <c r="AL190" i="2"/>
  <c r="AL191" i="2"/>
  <c r="AL192" i="2"/>
  <c r="AL194" i="2"/>
  <c r="AL195" i="2"/>
  <c r="AL196" i="2"/>
  <c r="AL197" i="2"/>
  <c r="AL198" i="2"/>
  <c r="AN199" i="2" l="1"/>
  <c r="AL193" i="2"/>
  <c r="AL157" i="2"/>
  <c r="AL109" i="2"/>
  <c r="AL49" i="2"/>
  <c r="AL37" i="2"/>
  <c r="AL13" i="2"/>
  <c r="L2" i="2"/>
  <c r="L3" i="2"/>
  <c r="L8" i="2"/>
  <c r="L9" i="2"/>
  <c r="L11" i="2"/>
  <c r="N11" i="2" s="1"/>
  <c r="L12" i="2"/>
  <c r="N12" i="2" s="1"/>
  <c r="L17" i="2"/>
  <c r="L18" i="2"/>
  <c r="L21" i="2"/>
  <c r="L22" i="2"/>
  <c r="L23" i="2"/>
  <c r="L25" i="2"/>
  <c r="L27" i="2"/>
  <c r="L30" i="2"/>
  <c r="L32" i="2"/>
  <c r="L33" i="2"/>
  <c r="L35" i="2"/>
  <c r="L38" i="2"/>
  <c r="L40" i="2"/>
  <c r="L42" i="2"/>
  <c r="L43" i="2"/>
  <c r="L45" i="2"/>
  <c r="N45" i="2" s="1"/>
  <c r="L46" i="2"/>
  <c r="L50" i="2"/>
  <c r="L54" i="2"/>
  <c r="N54" i="2" s="1"/>
  <c r="L56" i="2"/>
  <c r="L57" i="2"/>
  <c r="L61" i="2"/>
  <c r="L63" i="2"/>
  <c r="L64" i="2"/>
  <c r="L67" i="2"/>
  <c r="L71" i="2"/>
  <c r="L74" i="2"/>
  <c r="L76" i="2"/>
  <c r="L77" i="2"/>
  <c r="L78" i="2"/>
  <c r="L79" i="2"/>
  <c r="L80" i="2"/>
  <c r="L81" i="2"/>
  <c r="L83" i="2"/>
  <c r="L84" i="2"/>
  <c r="L85" i="2"/>
  <c r="L86" i="2"/>
  <c r="L87" i="2"/>
  <c r="L90" i="2"/>
  <c r="L91" i="2"/>
  <c r="L92" i="2"/>
  <c r="L94" i="2"/>
  <c r="L95" i="2"/>
  <c r="L96" i="2"/>
  <c r="L97" i="2"/>
  <c r="L100" i="2"/>
  <c r="L104" i="2"/>
  <c r="L106" i="2"/>
  <c r="L107" i="2"/>
  <c r="L108" i="2"/>
  <c r="L112" i="2"/>
  <c r="L114" i="2"/>
  <c r="L115" i="2"/>
  <c r="L117" i="2"/>
  <c r="L118" i="2"/>
  <c r="L119" i="2"/>
  <c r="L120" i="2"/>
  <c r="L121" i="2"/>
  <c r="L123" i="2"/>
  <c r="L125" i="2"/>
  <c r="L126" i="2"/>
  <c r="L127" i="2"/>
  <c r="L131" i="2"/>
  <c r="L132" i="2"/>
  <c r="L133" i="2"/>
  <c r="L134" i="2"/>
  <c r="L137" i="2"/>
  <c r="L140" i="2"/>
  <c r="L142" i="2"/>
  <c r="L143" i="2"/>
  <c r="L144" i="2"/>
  <c r="L145" i="2"/>
  <c r="L146" i="2"/>
  <c r="L147" i="2"/>
  <c r="L151" i="2"/>
  <c r="L153" i="2"/>
  <c r="L154" i="2"/>
  <c r="L155" i="2"/>
  <c r="L159" i="2"/>
  <c r="L161" i="2"/>
  <c r="L162" i="2"/>
  <c r="L164" i="2"/>
  <c r="L166" i="2"/>
  <c r="L167" i="2"/>
  <c r="L168" i="2"/>
  <c r="L169" i="2"/>
  <c r="L170" i="2"/>
  <c r="L171" i="2"/>
  <c r="N171" i="2" s="1"/>
  <c r="L172" i="2"/>
  <c r="L173" i="2"/>
  <c r="L174" i="2"/>
  <c r="L175" i="2"/>
  <c r="L176" i="2"/>
  <c r="L177" i="2"/>
  <c r="L181" i="2"/>
  <c r="L182" i="2"/>
  <c r="L183" i="2"/>
  <c r="L184" i="2"/>
  <c r="L187" i="2"/>
  <c r="L188" i="2"/>
  <c r="L190" i="2"/>
  <c r="L191" i="2"/>
  <c r="L194" i="2"/>
  <c r="L195" i="2"/>
  <c r="L196" i="2"/>
  <c r="L197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90" i="2"/>
  <c r="J191" i="2"/>
  <c r="J192" i="2"/>
  <c r="J193" i="2"/>
  <c r="J194" i="2"/>
  <c r="J195" i="2"/>
  <c r="J196" i="2"/>
  <c r="J197" i="2"/>
  <c r="J198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5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90" i="2"/>
  <c r="E191" i="2"/>
  <c r="E192" i="2"/>
  <c r="E193" i="2"/>
  <c r="E194" i="2"/>
  <c r="E195" i="2"/>
  <c r="E196" i="2"/>
  <c r="E197" i="2"/>
  <c r="E198" i="2"/>
  <c r="AL199" i="2" l="1" a="1"/>
  <c r="AL199" i="2" s="1"/>
  <c r="M196" i="2"/>
  <c r="M45" i="2"/>
  <c r="M2" i="2"/>
  <c r="M3" i="2"/>
  <c r="M174" i="2"/>
  <c r="M8" i="2"/>
  <c r="M9" i="2"/>
  <c r="M11" i="2"/>
  <c r="M17" i="2"/>
  <c r="M18" i="2"/>
  <c r="M21" i="2"/>
  <c r="M22" i="2"/>
  <c r="M23" i="2"/>
  <c r="M25" i="2"/>
  <c r="M27" i="2"/>
  <c r="M30" i="2"/>
  <c r="M32" i="2"/>
  <c r="M33" i="2"/>
  <c r="M35" i="2"/>
  <c r="M38" i="2"/>
  <c r="M40" i="2"/>
  <c r="M42" i="2"/>
  <c r="M43" i="2"/>
  <c r="M46" i="2"/>
  <c r="M50" i="2"/>
  <c r="M56" i="2"/>
  <c r="M57" i="2"/>
  <c r="M61" i="2"/>
  <c r="M63" i="2"/>
  <c r="M64" i="2"/>
  <c r="M67" i="2"/>
  <c r="M71" i="2"/>
  <c r="M74" i="2"/>
  <c r="M76" i="2"/>
  <c r="M77" i="2"/>
  <c r="M78" i="2"/>
  <c r="M79" i="2"/>
  <c r="M80" i="2"/>
  <c r="M81" i="2"/>
  <c r="M83" i="2"/>
  <c r="M84" i="2"/>
  <c r="M85" i="2"/>
  <c r="M86" i="2"/>
  <c r="M87" i="2"/>
  <c r="M90" i="2"/>
  <c r="M91" i="2"/>
  <c r="M92" i="2"/>
  <c r="M12" i="2"/>
  <c r="M94" i="2"/>
  <c r="M95" i="2"/>
  <c r="M96" i="2"/>
  <c r="M97" i="2"/>
  <c r="M100" i="2"/>
  <c r="M104" i="2"/>
  <c r="M106" i="2"/>
  <c r="M107" i="2"/>
  <c r="M108" i="2"/>
  <c r="M112" i="2"/>
  <c r="M114" i="2"/>
  <c r="M115" i="2"/>
  <c r="M117" i="2"/>
  <c r="M118" i="2"/>
  <c r="M119" i="2"/>
  <c r="M120" i="2"/>
  <c r="M121" i="2"/>
  <c r="M123" i="2"/>
  <c r="M125" i="2"/>
  <c r="M126" i="2"/>
  <c r="M127" i="2"/>
  <c r="M54" i="2"/>
  <c r="M131" i="2"/>
  <c r="M132" i="2"/>
  <c r="M133" i="2"/>
  <c r="M134" i="2"/>
  <c r="M137" i="2"/>
  <c r="M140" i="2"/>
  <c r="M142" i="2"/>
  <c r="M143" i="2"/>
  <c r="M144" i="2"/>
  <c r="M145" i="2"/>
  <c r="M146" i="2"/>
  <c r="M147" i="2"/>
  <c r="M151" i="2"/>
  <c r="M153" i="2"/>
  <c r="M154" i="2"/>
  <c r="M155" i="2"/>
  <c r="M159" i="2"/>
  <c r="M171" i="2"/>
  <c r="M161" i="2"/>
  <c r="M162" i="2"/>
  <c r="M164" i="2"/>
  <c r="M166" i="2"/>
  <c r="M167" i="2"/>
  <c r="M168" i="2"/>
  <c r="M169" i="2"/>
  <c r="M170" i="2"/>
  <c r="M172" i="2"/>
  <c r="M173" i="2"/>
  <c r="M175" i="2"/>
  <c r="M176" i="2"/>
  <c r="M177" i="2"/>
  <c r="M181" i="2"/>
  <c r="M182" i="2"/>
  <c r="M183" i="2"/>
  <c r="M184" i="2"/>
  <c r="M187" i="2"/>
  <c r="M188" i="2"/>
  <c r="M190" i="2"/>
  <c r="M191" i="2"/>
  <c r="M194" i="2"/>
  <c r="M195" i="2"/>
  <c r="M197" i="2"/>
  <c r="K73" i="2"/>
  <c r="P44" i="2"/>
  <c r="AF66" i="2"/>
  <c r="Z39" i="6"/>
  <c r="AZ37" i="2"/>
  <c r="BI37" i="2"/>
  <c r="S44" i="2" l="1"/>
  <c r="R44" i="2"/>
  <c r="L73" i="2"/>
  <c r="M73" i="2" l="1"/>
  <c r="M199" i="2" s="1" a="1"/>
  <c r="M199" i="2" s="1"/>
  <c r="N7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<sst xmlns="http://schemas.openxmlformats.org/spreadsheetml/2006/main" count="2938" uniqueCount="1017">
  <si>
    <t>Codes</t>
  </si>
  <si>
    <t>AF</t>
  </si>
  <si>
    <t xml:space="preserve">Afghanistan </t>
  </si>
  <si>
    <t>EG</t>
  </si>
  <si>
    <t xml:space="preserve">Ägypten </t>
  </si>
  <si>
    <t>AL</t>
  </si>
  <si>
    <t xml:space="preserve">Albanien </t>
  </si>
  <si>
    <t>DZ</t>
  </si>
  <si>
    <t xml:space="preserve">Algerien </t>
  </si>
  <si>
    <t>AD</t>
  </si>
  <si>
    <t xml:space="preserve">Andorra </t>
  </si>
  <si>
    <t>AO</t>
  </si>
  <si>
    <t xml:space="preserve">Angola </t>
  </si>
  <si>
    <t>AG</t>
  </si>
  <si>
    <t>Antigua und Barbuda</t>
  </si>
  <si>
    <t>GQ</t>
  </si>
  <si>
    <t>Äquatorialguinea</t>
  </si>
  <si>
    <t>AR</t>
  </si>
  <si>
    <t>Argentinien</t>
  </si>
  <si>
    <t>AM</t>
  </si>
  <si>
    <t>Armenien</t>
  </si>
  <si>
    <t>AZ</t>
  </si>
  <si>
    <t>Aserbaidschan</t>
  </si>
  <si>
    <t>ET</t>
  </si>
  <si>
    <t>Äthiopien</t>
  </si>
  <si>
    <t>AU</t>
  </si>
  <si>
    <t>Australien</t>
  </si>
  <si>
    <t>BS</t>
  </si>
  <si>
    <t>Bahamas</t>
  </si>
  <si>
    <t>BH</t>
  </si>
  <si>
    <t>Bahrain</t>
  </si>
  <si>
    <t>BD</t>
  </si>
  <si>
    <t>Bangladesch</t>
  </si>
  <si>
    <t>BB</t>
  </si>
  <si>
    <t>Barbados</t>
  </si>
  <si>
    <t>BE</t>
  </si>
  <si>
    <t>Belgien</t>
  </si>
  <si>
    <t>BZ</t>
  </si>
  <si>
    <t>Belize</t>
  </si>
  <si>
    <t>BJ</t>
  </si>
  <si>
    <t>Benin</t>
  </si>
  <si>
    <t>BT</t>
  </si>
  <si>
    <t>Bhutan</t>
  </si>
  <si>
    <t>BO</t>
  </si>
  <si>
    <t>Bolivien</t>
  </si>
  <si>
    <t>BA</t>
  </si>
  <si>
    <t>Bosnien und Herzegowina</t>
  </si>
  <si>
    <t>BW</t>
  </si>
  <si>
    <t>Botsuana</t>
  </si>
  <si>
    <t>BR</t>
  </si>
  <si>
    <t>Brasilien</t>
  </si>
  <si>
    <t>BN</t>
  </si>
  <si>
    <t>Brunei Darussalam</t>
  </si>
  <si>
    <t>BG</t>
  </si>
  <si>
    <t>Bulgarien</t>
  </si>
  <si>
    <t>BF</t>
  </si>
  <si>
    <t xml:space="preserve">Burkina Faso </t>
  </si>
  <si>
    <t>BI</t>
  </si>
  <si>
    <t>Burundi</t>
  </si>
  <si>
    <t>CL</t>
  </si>
  <si>
    <t>Chile</t>
  </si>
  <si>
    <t>CN</t>
  </si>
  <si>
    <t xml:space="preserve">China </t>
  </si>
  <si>
    <t>CK</t>
  </si>
  <si>
    <t xml:space="preserve">Cookinseln </t>
  </si>
  <si>
    <t>CR</t>
  </si>
  <si>
    <t xml:space="preserve">Costa Rica </t>
  </si>
  <si>
    <t>CI</t>
  </si>
  <si>
    <t xml:space="preserve">Côte d'Ivoire </t>
  </si>
  <si>
    <t>DK</t>
  </si>
  <si>
    <t xml:space="preserve">Dänemark </t>
  </si>
  <si>
    <t>DE</t>
  </si>
  <si>
    <t xml:space="preserve">Deutschland </t>
  </si>
  <si>
    <t>DM</t>
  </si>
  <si>
    <t xml:space="preserve">Dominica </t>
  </si>
  <si>
    <t>DO</t>
  </si>
  <si>
    <t>Dominikanische Republik</t>
  </si>
  <si>
    <t>DJ</t>
  </si>
  <si>
    <t xml:space="preserve">Dschibuti </t>
  </si>
  <si>
    <t>EC</t>
  </si>
  <si>
    <t xml:space="preserve">Ecuador </t>
  </si>
  <si>
    <t>SV</t>
  </si>
  <si>
    <t xml:space="preserve">El Salvador </t>
  </si>
  <si>
    <t>ER</t>
  </si>
  <si>
    <t xml:space="preserve">Eritrea </t>
  </si>
  <si>
    <t>EE</t>
  </si>
  <si>
    <t xml:space="preserve">Estland </t>
  </si>
  <si>
    <t>FJ</t>
  </si>
  <si>
    <t xml:space="preserve">Fidschi </t>
  </si>
  <si>
    <t>FI</t>
  </si>
  <si>
    <t xml:space="preserve">Finnland </t>
  </si>
  <si>
    <t>FR</t>
  </si>
  <si>
    <t xml:space="preserve">Frankreich </t>
  </si>
  <si>
    <t>GA</t>
  </si>
  <si>
    <t xml:space="preserve">Gabun </t>
  </si>
  <si>
    <t>GM</t>
  </si>
  <si>
    <t xml:space="preserve">Gambia </t>
  </si>
  <si>
    <t>GE</t>
  </si>
  <si>
    <t xml:space="preserve">Georgien </t>
  </si>
  <si>
    <t>GH</t>
  </si>
  <si>
    <t xml:space="preserve">Ghana </t>
  </si>
  <si>
    <t>GD</t>
  </si>
  <si>
    <t xml:space="preserve">Grenada </t>
  </si>
  <si>
    <t>GR</t>
  </si>
  <si>
    <t xml:space="preserve">Griechenland </t>
  </si>
  <si>
    <t>GT</t>
  </si>
  <si>
    <t xml:space="preserve">Guatemala </t>
  </si>
  <si>
    <t>GN</t>
  </si>
  <si>
    <t xml:space="preserve">Guinea </t>
  </si>
  <si>
    <t>GW</t>
  </si>
  <si>
    <t xml:space="preserve">Guinea-Bissau </t>
  </si>
  <si>
    <t>GY</t>
  </si>
  <si>
    <t>Guyana</t>
  </si>
  <si>
    <t>HT</t>
  </si>
  <si>
    <t xml:space="preserve">Haiti </t>
  </si>
  <si>
    <t>HN</t>
  </si>
  <si>
    <t xml:space="preserve">Honduras </t>
  </si>
  <si>
    <t>IN</t>
  </si>
  <si>
    <t xml:space="preserve">Indien </t>
  </si>
  <si>
    <t>ID</t>
  </si>
  <si>
    <t xml:space="preserve">Indonesien </t>
  </si>
  <si>
    <t>IQ</t>
  </si>
  <si>
    <t xml:space="preserve">Irak </t>
  </si>
  <si>
    <t>IR</t>
  </si>
  <si>
    <t>Iran, Islamische Republik</t>
  </si>
  <si>
    <t>IE</t>
  </si>
  <si>
    <t xml:space="preserve">Irland </t>
  </si>
  <si>
    <t>IS</t>
  </si>
  <si>
    <t xml:space="preserve">Island </t>
  </si>
  <si>
    <t>IL</t>
  </si>
  <si>
    <t xml:space="preserve">Israel </t>
  </si>
  <si>
    <t>IT</t>
  </si>
  <si>
    <t xml:space="preserve">Italien </t>
  </si>
  <si>
    <t>JM</t>
  </si>
  <si>
    <t xml:space="preserve">Jamaika </t>
  </si>
  <si>
    <t>JP</t>
  </si>
  <si>
    <t xml:space="preserve">Japan </t>
  </si>
  <si>
    <t>YE</t>
  </si>
  <si>
    <t xml:space="preserve">Jemen </t>
  </si>
  <si>
    <t>JO</t>
  </si>
  <si>
    <t xml:space="preserve">Jordanien </t>
  </si>
  <si>
    <t>KH</t>
  </si>
  <si>
    <t xml:space="preserve">Kambodscha </t>
  </si>
  <si>
    <t>CM</t>
  </si>
  <si>
    <t xml:space="preserve">Kamerun </t>
  </si>
  <si>
    <t>CA</t>
  </si>
  <si>
    <t xml:space="preserve">Kanada </t>
  </si>
  <si>
    <t>CV</t>
  </si>
  <si>
    <t xml:space="preserve">Kap Verde </t>
  </si>
  <si>
    <t>KZ</t>
  </si>
  <si>
    <t xml:space="preserve">Kasachstan </t>
  </si>
  <si>
    <t>QA</t>
  </si>
  <si>
    <t xml:space="preserve">Katar </t>
  </si>
  <si>
    <t>KE</t>
  </si>
  <si>
    <t xml:space="preserve">Kenia </t>
  </si>
  <si>
    <t>KG</t>
  </si>
  <si>
    <t xml:space="preserve">Kirgisistan </t>
  </si>
  <si>
    <t>KI</t>
  </si>
  <si>
    <t xml:space="preserve">Kiribati </t>
  </si>
  <si>
    <t>CO</t>
  </si>
  <si>
    <t xml:space="preserve">Kolumbien </t>
  </si>
  <si>
    <t>KM</t>
  </si>
  <si>
    <t xml:space="preserve">Komoren </t>
  </si>
  <si>
    <t>CG</t>
  </si>
  <si>
    <t xml:space="preserve">Kongo </t>
  </si>
  <si>
    <t>CD</t>
  </si>
  <si>
    <t>Kongo, Demokratische Republik</t>
  </si>
  <si>
    <t>KP</t>
  </si>
  <si>
    <t>Korea, Demokratische Volksrepublik</t>
  </si>
  <si>
    <t>KR</t>
  </si>
  <si>
    <t xml:space="preserve">Korea, Republik </t>
  </si>
  <si>
    <t>HR</t>
  </si>
  <si>
    <t xml:space="preserve">Kroatien </t>
  </si>
  <si>
    <t>CU</t>
  </si>
  <si>
    <t xml:space="preserve">Kuba </t>
  </si>
  <si>
    <t>KW</t>
  </si>
  <si>
    <t xml:space="preserve">Kuwait </t>
  </si>
  <si>
    <t>LA</t>
  </si>
  <si>
    <t>Laos, Demokratische Volksrepublik</t>
  </si>
  <si>
    <t>LS</t>
  </si>
  <si>
    <t xml:space="preserve">Lesotho </t>
  </si>
  <si>
    <t>LV</t>
  </si>
  <si>
    <t xml:space="preserve">Lettland </t>
  </si>
  <si>
    <t>LB</t>
  </si>
  <si>
    <t xml:space="preserve">Libanon </t>
  </si>
  <si>
    <t>LR</t>
  </si>
  <si>
    <t xml:space="preserve">Liberia </t>
  </si>
  <si>
    <t>LY</t>
  </si>
  <si>
    <t>Libysch-Arabische Dschamahirija</t>
  </si>
  <si>
    <t>LI</t>
  </si>
  <si>
    <t xml:space="preserve">Liechtenstein </t>
  </si>
  <si>
    <t>LT</t>
  </si>
  <si>
    <t xml:space="preserve">Litauen </t>
  </si>
  <si>
    <t>LU</t>
  </si>
  <si>
    <t xml:space="preserve">Luxemburg </t>
  </si>
  <si>
    <t>MG</t>
  </si>
  <si>
    <t xml:space="preserve">Madagaskar </t>
  </si>
  <si>
    <t>MW</t>
  </si>
  <si>
    <t xml:space="preserve">Malawi </t>
  </si>
  <si>
    <t>MY</t>
  </si>
  <si>
    <t xml:space="preserve">Malaysia </t>
  </si>
  <si>
    <t>MV</t>
  </si>
  <si>
    <t xml:space="preserve">Malediven </t>
  </si>
  <si>
    <t>ML</t>
  </si>
  <si>
    <t xml:space="preserve">Mali </t>
  </si>
  <si>
    <t>MT</t>
  </si>
  <si>
    <t xml:space="preserve">Malta </t>
  </si>
  <si>
    <t>MA</t>
  </si>
  <si>
    <t xml:space="preserve">Marokko </t>
  </si>
  <si>
    <t>MH</t>
  </si>
  <si>
    <t xml:space="preserve">Marshallinseln </t>
  </si>
  <si>
    <t>MR</t>
  </si>
  <si>
    <t xml:space="preserve">Mauretanien </t>
  </si>
  <si>
    <t>MU</t>
  </si>
  <si>
    <t xml:space="preserve">Mauritius </t>
  </si>
  <si>
    <t>MK</t>
  </si>
  <si>
    <t>Mazedonien, ehemalige jugoslawische Republik</t>
  </si>
  <si>
    <t>MX</t>
  </si>
  <si>
    <t xml:space="preserve">Mexiko </t>
  </si>
  <si>
    <t>FM</t>
  </si>
  <si>
    <t>Mikronesien, Föderierte Staaten von</t>
  </si>
  <si>
    <t>MD</t>
  </si>
  <si>
    <t xml:space="preserve">Moldau, Republik </t>
  </si>
  <si>
    <t>MC</t>
  </si>
  <si>
    <t xml:space="preserve">Monaco </t>
  </si>
  <si>
    <t>MN</t>
  </si>
  <si>
    <t xml:space="preserve">Mongolei </t>
  </si>
  <si>
    <t>ME</t>
  </si>
  <si>
    <t xml:space="preserve">Montenegro </t>
  </si>
  <si>
    <t>MZ</t>
  </si>
  <si>
    <t xml:space="preserve">Mosambik </t>
  </si>
  <si>
    <t>MM</t>
  </si>
  <si>
    <t xml:space="preserve">Myanmar </t>
  </si>
  <si>
    <t>NA</t>
  </si>
  <si>
    <t xml:space="preserve">Namibia </t>
  </si>
  <si>
    <t>NR</t>
  </si>
  <si>
    <t xml:space="preserve">Nauru </t>
  </si>
  <si>
    <t>NP</t>
  </si>
  <si>
    <t xml:space="preserve">Nepal </t>
  </si>
  <si>
    <t>NZ</t>
  </si>
  <si>
    <t xml:space="preserve">Neuseeland </t>
  </si>
  <si>
    <t>NI</t>
  </si>
  <si>
    <t xml:space="preserve">Nicaragua </t>
  </si>
  <si>
    <t>NL</t>
  </si>
  <si>
    <t xml:space="preserve">Niederlande </t>
  </si>
  <si>
    <t>NE</t>
  </si>
  <si>
    <t xml:space="preserve">Niger </t>
  </si>
  <si>
    <t>NG</t>
  </si>
  <si>
    <t xml:space="preserve">Nigeria </t>
  </si>
  <si>
    <t>NU</t>
  </si>
  <si>
    <t xml:space="preserve">Niue </t>
  </si>
  <si>
    <t>NO</t>
  </si>
  <si>
    <t xml:space="preserve">Norwegen </t>
  </si>
  <si>
    <t>OM</t>
  </si>
  <si>
    <t xml:space="preserve">Oman </t>
  </si>
  <si>
    <t>AT</t>
  </si>
  <si>
    <t xml:space="preserve">Österreich </t>
  </si>
  <si>
    <t>PK</t>
  </si>
  <si>
    <t xml:space="preserve">Pakistan </t>
  </si>
  <si>
    <t>PW</t>
  </si>
  <si>
    <t xml:space="preserve">Palau </t>
  </si>
  <si>
    <t>PA</t>
  </si>
  <si>
    <t xml:space="preserve">Panama </t>
  </si>
  <si>
    <t>PG</t>
  </si>
  <si>
    <t xml:space="preserve">Papua-Neuguinea </t>
  </si>
  <si>
    <t>PY</t>
  </si>
  <si>
    <t xml:space="preserve">Paraguay </t>
  </si>
  <si>
    <t>PE</t>
  </si>
  <si>
    <t xml:space="preserve">Peru </t>
  </si>
  <si>
    <t>PH</t>
  </si>
  <si>
    <t xml:space="preserve">Philippinen </t>
  </si>
  <si>
    <t>PL</t>
  </si>
  <si>
    <t xml:space="preserve">Polen </t>
  </si>
  <si>
    <t>PT</t>
  </si>
  <si>
    <t xml:space="preserve">Portugal </t>
  </si>
  <si>
    <t>RW</t>
  </si>
  <si>
    <t xml:space="preserve">Ruanda </t>
  </si>
  <si>
    <t>RO</t>
  </si>
  <si>
    <t xml:space="preserve">Rumänien </t>
  </si>
  <si>
    <t>RU</t>
  </si>
  <si>
    <t>Russische Föderation</t>
  </si>
  <si>
    <t>SB</t>
  </si>
  <si>
    <t xml:space="preserve">Salomonen </t>
  </si>
  <si>
    <t>ZM</t>
  </si>
  <si>
    <t xml:space="preserve">Sambia </t>
  </si>
  <si>
    <t>WS</t>
  </si>
  <si>
    <t xml:space="preserve">Samoa </t>
  </si>
  <si>
    <t>SM</t>
  </si>
  <si>
    <t xml:space="preserve">San Marino </t>
  </si>
  <si>
    <t>ST</t>
  </si>
  <si>
    <t>São Tomé und Príncipe</t>
  </si>
  <si>
    <t>SA</t>
  </si>
  <si>
    <t xml:space="preserve">Saudi-Arabien </t>
  </si>
  <si>
    <t>SE</t>
  </si>
  <si>
    <t xml:space="preserve">Schweden </t>
  </si>
  <si>
    <t>CH</t>
  </si>
  <si>
    <t xml:space="preserve">Schweiz </t>
  </si>
  <si>
    <t>SN</t>
  </si>
  <si>
    <t xml:space="preserve">Senegal </t>
  </si>
  <si>
    <t>RS</t>
  </si>
  <si>
    <t xml:space="preserve">Serbien </t>
  </si>
  <si>
    <t>SC</t>
  </si>
  <si>
    <t xml:space="preserve">Seychellen </t>
  </si>
  <si>
    <t>SL</t>
  </si>
  <si>
    <t xml:space="preserve">Sierra Leone </t>
  </si>
  <si>
    <t>ZW</t>
  </si>
  <si>
    <t xml:space="preserve">Simbabwe </t>
  </si>
  <si>
    <t>SG</t>
  </si>
  <si>
    <t xml:space="preserve">Singapur </t>
  </si>
  <si>
    <t>SK</t>
  </si>
  <si>
    <t xml:space="preserve">Slowakei </t>
  </si>
  <si>
    <t>SI</t>
  </si>
  <si>
    <t xml:space="preserve">Slowenien </t>
  </si>
  <si>
    <t>SO</t>
  </si>
  <si>
    <t xml:space="preserve">Somalia </t>
  </si>
  <si>
    <t>ES</t>
  </si>
  <si>
    <t xml:space="preserve">Spanien </t>
  </si>
  <si>
    <t>LK</t>
  </si>
  <si>
    <t xml:space="preserve">Sri Lanka </t>
  </si>
  <si>
    <t>KN</t>
  </si>
  <si>
    <t xml:space="preserve">St. Kitts und Nevis </t>
  </si>
  <si>
    <t>LC</t>
  </si>
  <si>
    <t xml:space="preserve">St. Lucia </t>
  </si>
  <si>
    <t>VC</t>
  </si>
  <si>
    <t>St. Vincent und die Grenadinen</t>
  </si>
  <si>
    <t>ZA</t>
  </si>
  <si>
    <t xml:space="preserve">Südafrika </t>
  </si>
  <si>
    <t>SD</t>
  </si>
  <si>
    <t xml:space="preserve">Sudan </t>
  </si>
  <si>
    <t>SR</t>
  </si>
  <si>
    <t xml:space="preserve">Suriname </t>
  </si>
  <si>
    <t>SZ</t>
  </si>
  <si>
    <t xml:space="preserve">Swasiland </t>
  </si>
  <si>
    <t>SY</t>
  </si>
  <si>
    <t>Syrien, Arabische Republik</t>
  </si>
  <si>
    <t>TJ</t>
  </si>
  <si>
    <t xml:space="preserve">Tadschikistan </t>
  </si>
  <si>
    <t>TZ</t>
  </si>
  <si>
    <t>Tansania, Vereinigte Republik</t>
  </si>
  <si>
    <t>TH</t>
  </si>
  <si>
    <t xml:space="preserve">Thailand </t>
  </si>
  <si>
    <t>TL</t>
  </si>
  <si>
    <t xml:space="preserve">Timor-Leste </t>
  </si>
  <si>
    <t>TG</t>
  </si>
  <si>
    <t xml:space="preserve">Togo </t>
  </si>
  <si>
    <t>TO</t>
  </si>
  <si>
    <t xml:space="preserve">Tonga </t>
  </si>
  <si>
    <t>TT</t>
  </si>
  <si>
    <t>Trinidad und Tobago</t>
  </si>
  <si>
    <t>TD</t>
  </si>
  <si>
    <t xml:space="preserve">Tschad </t>
  </si>
  <si>
    <t>CZ</t>
  </si>
  <si>
    <t>Tschechische Republik</t>
  </si>
  <si>
    <t>TN</t>
  </si>
  <si>
    <t xml:space="preserve">Tunesien </t>
  </si>
  <si>
    <t>TR</t>
  </si>
  <si>
    <t xml:space="preserve">Türkei </t>
  </si>
  <si>
    <t>TM</t>
  </si>
  <si>
    <t xml:space="preserve">Turkmenistan </t>
  </si>
  <si>
    <t>TV</t>
  </si>
  <si>
    <t xml:space="preserve">Tuvalu </t>
  </si>
  <si>
    <t>UG</t>
  </si>
  <si>
    <t xml:space="preserve">Uganda </t>
  </si>
  <si>
    <t>UA</t>
  </si>
  <si>
    <t xml:space="preserve">Ukraine </t>
  </si>
  <si>
    <t>HU</t>
  </si>
  <si>
    <t xml:space="preserve">Ungarn </t>
  </si>
  <si>
    <t>UY</t>
  </si>
  <si>
    <t xml:space="preserve">Uruguay </t>
  </si>
  <si>
    <t>UZ</t>
  </si>
  <si>
    <t xml:space="preserve">Usbekistan </t>
  </si>
  <si>
    <t>VU</t>
  </si>
  <si>
    <t xml:space="preserve">Vanuatu </t>
  </si>
  <si>
    <t>VA</t>
  </si>
  <si>
    <t>Vatikanstadt</t>
  </si>
  <si>
    <t>VE</t>
  </si>
  <si>
    <t xml:space="preserve">Venezuela </t>
  </si>
  <si>
    <t>AE</t>
  </si>
  <si>
    <t>Vereinigte Arabische Emirate</t>
  </si>
  <si>
    <t>US</t>
  </si>
  <si>
    <t xml:space="preserve">Vereinigte Staaten </t>
  </si>
  <si>
    <t>GB</t>
  </si>
  <si>
    <t>Vereinigtes Königreich</t>
  </si>
  <si>
    <t>VN</t>
  </si>
  <si>
    <t xml:space="preserve">Vietnam </t>
  </si>
  <si>
    <t>BY</t>
  </si>
  <si>
    <t>Weißrussland</t>
  </si>
  <si>
    <t>CF</t>
  </si>
  <si>
    <t>Zentralafrikanische Republik</t>
  </si>
  <si>
    <t>CY</t>
  </si>
  <si>
    <t xml:space="preserve">Zypern </t>
  </si>
  <si>
    <t>Quelle</t>
  </si>
  <si>
    <t>Kommentar</t>
  </si>
  <si>
    <t>Immobilien gesamt Anzahl</t>
  </si>
  <si>
    <t xml:space="preserve">Legende: </t>
  </si>
  <si>
    <t>Transparent</t>
  </si>
  <si>
    <t>Hochtransparent</t>
  </si>
  <si>
    <t>Mitteltransparent</t>
  </si>
  <si>
    <t>Niedrigtransparent</t>
  </si>
  <si>
    <t>Undurchsichtig</t>
  </si>
  <si>
    <t>Keine Angabe</t>
  </si>
  <si>
    <t>*</t>
  </si>
  <si>
    <t>Stand:</t>
  </si>
  <si>
    <t>Immobilien gesamt m²</t>
  </si>
  <si>
    <t>Gewerbeimmobilien m²</t>
  </si>
  <si>
    <t>Gewerbeimmobilien Anzahl</t>
  </si>
  <si>
    <t>Sonderimmobilien m²</t>
  </si>
  <si>
    <t>Sonderimmobilien Anzahl</t>
  </si>
  <si>
    <t xml:space="preserve">Wohnimmobilien </t>
  </si>
  <si>
    <t>Gewerbeimmobilien</t>
  </si>
  <si>
    <t>Sonderimmobilien</t>
  </si>
  <si>
    <t>Länder</t>
  </si>
  <si>
    <t>Einfamilienhäuser Anzahl</t>
  </si>
  <si>
    <t>Einfamilienhäuser m²</t>
  </si>
  <si>
    <t>Doppelhaushälfte Anzahl</t>
  </si>
  <si>
    <t>Doppelhaushälfte m²</t>
  </si>
  <si>
    <t>Reihenhäuser Anzahl</t>
  </si>
  <si>
    <t>Reihenhäuser m²</t>
  </si>
  <si>
    <t>Mehrfamilienhäuser Anzahl</t>
  </si>
  <si>
    <t>Mehrfamilienhäuser m²</t>
  </si>
  <si>
    <t>Büroimmobilien Anzahl</t>
  </si>
  <si>
    <t>Büroimmobilien m²</t>
  </si>
  <si>
    <t>Handelsimmobilien Anzahl</t>
  </si>
  <si>
    <t>Handelsimmobilien m²</t>
  </si>
  <si>
    <t>Industrieimmobilien Anzahl</t>
  </si>
  <si>
    <t>Industrieimmobilien m²</t>
  </si>
  <si>
    <t>öffentliche Verwaltungsgebäude m²</t>
  </si>
  <si>
    <t>öffentliche Verwaltungsgebäude Anzahl</t>
  </si>
  <si>
    <t>Seniorenimmobilien Anzahl</t>
  </si>
  <si>
    <t>Seniorenimmobilien m²</t>
  </si>
  <si>
    <t>Kliniken Anzahl</t>
  </si>
  <si>
    <t>Kliniken m²</t>
  </si>
  <si>
    <t>Sport- und Freizeitimmobilien Anzahl</t>
  </si>
  <si>
    <t>Sport- und Freizeitimmobilien m²</t>
  </si>
  <si>
    <t>Hotels/Pensionen Anzahl</t>
  </si>
  <si>
    <t>Hotels/Pensionen m²</t>
  </si>
  <si>
    <t>Restaurants/Gaststätten Anzahl</t>
  </si>
  <si>
    <t>Restaurants/Gaststätten m²</t>
  </si>
  <si>
    <t>Garagen Anzahl</t>
  </si>
  <si>
    <t>Garagen m²</t>
  </si>
  <si>
    <t>Datentransparenz</t>
  </si>
  <si>
    <t>Weltweit</t>
  </si>
  <si>
    <t>Nicht Wohngebäude Anzahl</t>
  </si>
  <si>
    <t>Nicht Wohngebäude m²</t>
  </si>
  <si>
    <t>Wohnimmobilien Anzahl</t>
  </si>
  <si>
    <t>Wohnimmobilien m²</t>
  </si>
  <si>
    <t>Transparenz Level Datenverfügbarkeit</t>
  </si>
  <si>
    <t>Transparenz Level Daten</t>
  </si>
  <si>
    <t>Undurchsichtg</t>
  </si>
  <si>
    <t>https://www.statistischebibliothek.de/mir/servlets/MCRFileNodeServlet/DEHeft_derivate_00074102/5312301217004_Korr_01122022.pdf S.16</t>
  </si>
  <si>
    <t xml:space="preserve"> </t>
  </si>
  <si>
    <t>Produktionsgebäude Anzahl</t>
  </si>
  <si>
    <t>Produktionsgebäude m²</t>
  </si>
  <si>
    <t>Gesundheit und Pflege Anzahl</t>
  </si>
  <si>
    <t>Gesundheit und Pflege m²</t>
  </si>
  <si>
    <t>Hotels/Pensionen/Restaurant Gaststätten Anzahl</t>
  </si>
  <si>
    <t>https://www.iwu.de/fileadmin/publikationen/gebaeudebestand/2022_IWU_HoernerEtBischof_WorkingPaper_Typologie-der-Nichtwohngebaeude-Deutschlands.pdf S. 9</t>
  </si>
  <si>
    <t>https://www.datanwg.de/fileadmin/user/iwu/210428_IWU_PT_dataNWG_DatenundFakten.pdf</t>
  </si>
  <si>
    <t>Wohneinheiten Anzahl</t>
  </si>
  <si>
    <t>Wohneinheiten m²</t>
  </si>
  <si>
    <t>https://www.insee.fr/fr/statistiques/8251576?utm_source=</t>
  </si>
  <si>
    <t>https://www.bfs.admin.ch/bfs/en/home/news/whats-new.assetdetail.32381408.html</t>
  </si>
  <si>
    <t>https://www.cbs.nl/en-gb/figures/detail/81955ENG</t>
  </si>
  <si>
    <t>Immobilien gesamt Anzal</t>
  </si>
  <si>
    <t>https://www.abs.gov.au/statistics/people/housing/housing-census/latest-release?utm_source</t>
  </si>
  <si>
    <t>https://statbel.fgov.be/en/themes/housing/building-stock</t>
  </si>
  <si>
    <t>https://statbel.fgov.be/en/themes/housing/building-stock#panel-11</t>
  </si>
  <si>
    <t xml:space="preserve"> https://statbel.fgov.be/en/themes/housing/building-stock#panel-11</t>
  </si>
  <si>
    <t>https://data.gov.sg/datasets/d_6c58a523a05b55836f383fa2a68d332d/view</t>
  </si>
  <si>
    <t>https://www.communities-ni.gov.uk/publications/northern-ireland-housing-statistics-2023-24</t>
  </si>
  <si>
    <t>belegte Wohnungen</t>
  </si>
  <si>
    <t>https://www.dst.dk/en/Statistik/emner/borgere/boligforhold/boligbestanden</t>
  </si>
  <si>
    <t>https://www.istat.it/comunicato-stampa/censimento-permanente-2021-caratteristiche-delle-abitazioni/</t>
  </si>
  <si>
    <t>https://nso.gov.mt/themes_publications/census-of-population-and-housing-2021-final-report-dwelling-characteristics/</t>
  </si>
  <si>
    <t>https://www.statistik.at/fileadmin/user_upload/Zensus-GWZ-2021.pdf</t>
  </si>
  <si>
    <t>https://stat.gov.pl/en/topics/municipal-infrastructure/municipal-infrastructure/housing-economy-in-2023,10,7.html</t>
  </si>
  <si>
    <t>https://www.ine.pt/ngt_server/attachfileu.jsp?att_display=n&amp;att_download=y&amp;look_parentBoui=597930440</t>
  </si>
  <si>
    <t>https://library.cystat.gov.cy/NEW/Census2021-Preliminary_Results-EN-040823.pdf</t>
  </si>
  <si>
    <t>https://scitani.gov.cz/</t>
  </si>
  <si>
    <t>https://www.statice.is/publications/news-archive/census/census-2021-housing/</t>
  </si>
  <si>
    <t>https://stat.ee/en/node/258644</t>
  </si>
  <si>
    <t>https://www.scitanie.sk/en</t>
  </si>
  <si>
    <t>https://dzs.gov.hr/news/number-of-occupied-dwellings-decreases-by-4-2-number-of-temporarily-unoccupied-dwellings-increases-by-43/1734?</t>
  </si>
  <si>
    <t>https://www.nsi.bg/en/statistical-data/244/786</t>
  </si>
  <si>
    <t>https://www.nsi.bg/en/statistical-data/244/785</t>
  </si>
  <si>
    <t>https://www.ksh.hu/evkonyvek/2023/teruleti-statisztikai-evkonyv-2023/pdf/terstat_2023_3_3.pdf</t>
  </si>
  <si>
    <t>https://www.statistics.gr/documents/20181/1204358/A1601_SKT01_DT_DC_00_2011_01_F_EN.pdf/4220d253-851c-43bd-a1e8-06b83ee6f309</t>
  </si>
  <si>
    <t>https://data.stat.gov.rs/Home/Result/3104040101?languageCode=en-US</t>
  </si>
  <si>
    <t>https://www.stat.gov.mk/publikacii/2022/POPIS_DZS_web_EN.pdf</t>
  </si>
  <si>
    <t>https://www.monstat.org/userfiles/file/popis2011/saopstenje/Dwellings%20by%20floor%20area%20and%20number%20of%20rooms%20PDF.pdf</t>
  </si>
  <si>
    <t>https://en.www.inegi.org.mx/programas/ccpv/2020/#general_results</t>
  </si>
  <si>
    <t>https://www.gub.uy/instituto-nacional-estadistica/censos2023pvh</t>
  </si>
  <si>
    <t>https://www.ine.gov.py/censo2022/documentos/2%20resultados%20finales%20viviendas.pdf</t>
  </si>
  <si>
    <t>https://www.censoecuador.gob.ec/</t>
  </si>
  <si>
    <t>Quelle aus 2008</t>
  </si>
  <si>
    <t>https://www.ine.gob.cl/estadisticas/sociales/censos-de-poblacion-y-vivienda</t>
  </si>
  <si>
    <t>https://www.indec.gob.ar/indec/web/Nivel4-Tema-2-41-165</t>
  </si>
  <si>
    <t>https://temp.ine.gob.hn/wp-content/uploads/2025/02/Tomo-2-Caracteristicas-generales-de-la-vivienda-2013.pdf</t>
  </si>
  <si>
    <t>https://admin.inec.cr/sites/default/files/2023-07/rePoblacResultadosGenerales_Estimacion_poblacion_vivienda_2022.pdf</t>
  </si>
  <si>
    <t>https://www.dane.gov.co/index.php/estadisticas-por-tema/demografia-y-poblacion/censo-nacional-de-poblacion-y-vivenda-2018</t>
  </si>
  <si>
    <t>https://statinja.gov.jm/Census/PopCensus/Completed/NumberofDwellingUnitsbyParish.aspx</t>
  </si>
  <si>
    <t>https://statinja.gov.jm/Census/PopCensus/2011%20Census%20of%20Population%20and%20Housing%20C.pdf</t>
  </si>
  <si>
    <t>https://www.statsghana.gov.gh/gssmain/fileUpload/pressrelease/Volume%203K_Housing%20Characteristics_240222.pdf</t>
  </si>
  <si>
    <t>https://www.ins.tn/enquetes/recensement-general-de-la-population-et-de-lhabitat-2014</t>
  </si>
  <si>
    <t>https://stats.gov.bs/data/housing/2010-census-building-and-housing-stock/</t>
  </si>
  <si>
    <t>Daten für Bahamas aus 2010</t>
  </si>
  <si>
    <t>https://ess.gov.et/wp-content/uploads/2007/09/Population-and-Housing-Census-2007-National_Statistical.pdf</t>
  </si>
  <si>
    <t>Daten aus 2007</t>
  </si>
  <si>
    <t>https://www.geostat.ge/en/modules/categories/745/living-conditions</t>
  </si>
  <si>
    <t>https://statistica.gov.md/en/population-and-housing-census-in-2014-122.html</t>
  </si>
  <si>
    <t>https://www.ine.gov.ao/Arquivos/arquivosCarregados/Carregados/Publicacao_637981512172633350.pdf</t>
  </si>
  <si>
    <t>https://statbank.armstat.am/pxweb/hy/ArmStatBank/ArmStatBank__2%20Population%20and%20social%20processes__26%20Housing__261%20Bnakfond/PS-hs-bn01.px/table/tableViewLayout1/?rxid=9ba7b0d1-2ff8-40fa-a309-fae01ea885bb</t>
  </si>
  <si>
    <t>https://statbank.armstat.am/pxweb/hy/ArmStatBank/ArmStatBank__2%20Population%20and%20social%20processes__26%20Housing__261%20Bnakfond/PS-hs-bn29.px/table/tableViewLayout1/?rxid=9ba7b0d1-2ff8-40fa-a309-fae01ea885bb</t>
  </si>
  <si>
    <t>https://sib.org.bz/census/2022-census/</t>
  </si>
  <si>
    <t>https://www.nis.gov.kh/nis/Census2019/Final%20General%20Population%20Census%202019-English.pdf</t>
  </si>
  <si>
    <t>https://statistics.gov.ag/wp-content/uploads/2017/10/Census-2011-Book-of-Statistical-Tables-I.pdf</t>
  </si>
  <si>
    <t>https://deps.mofe.gov.bn/DEPD%20Documents%20Library/DOS/POP/2021/RPT.pdf</t>
  </si>
  <si>
    <t>https://web2.insd.bf/sites/default/files/2023-08/INSD_Rapport_SYNTHESE%20DES%20RESULTATS%20DEFINITIFS_1.pdf</t>
  </si>
  <si>
    <t>https://experience.arcgis.com/experience/d1d9906347d14c68942c58738a39dfa9</t>
  </si>
  <si>
    <t>https://www.gbosdata.org/downloads/157-2024-population-and-housing-census</t>
  </si>
  <si>
    <t>https://instatgabon.org/uploads/folder_1/RESULTATS-GLOBAUX-RGPL2013-OK_DECEMBRE-2015-1.pdf</t>
  </si>
  <si>
    <t>https://stats.gov.gd/wp-content/uploads/2021/03/Census-Report-2011-Revised-Final.pdf</t>
  </si>
  <si>
    <t>https://censo2018.ine.gob.gt/explorador</t>
  </si>
  <si>
    <t>https://ihsi.gouv.ht/public/tableau/images/tableau%20102.jpg</t>
  </si>
  <si>
    <t>https://ihsi.gouv.ht/public/tableau/images/tableau%20105.jpg</t>
  </si>
  <si>
    <t>https://www.elibrary.imf.org/view/journals/002/2024/058/article-A001-en.xml</t>
  </si>
  <si>
    <t>https://www.azstat.gov.az/portal/tblInfo/TblInfoList.do;JSESSIONID=BC58F109128172B968764BB4F048E40F#</t>
  </si>
  <si>
    <t>https://databaza.instat.gov.al:8083/pxweb/en/DST/START__Census2023__Cens/CE341/table/tableViewLayout1/</t>
  </si>
  <si>
    <t>https://databaza.instat.gov.al:8083/pxweb/en/DST/START__Census2023__Cens/CE32/table/tableViewLayout1/</t>
  </si>
  <si>
    <t>https://fzs.ba/wp-content/uploads/2016/06/Preliminarni_rezultati_bos.pdf</t>
  </si>
  <si>
    <t>https://stats.gov.ck/2021-census-of-population-and-dwellings/</t>
  </si>
  <si>
    <t>https://statisticsguyana.gov.gy/wp-content/uploads/2019/10/Final_2012_Census_Compendium5.pdf</t>
  </si>
  <si>
    <t>https://sensus.bps.go.id/topik/tabular/sp2022/181/1/0</t>
  </si>
  <si>
    <t>https://sensus.bps.go.id/topik/tabular/sp2022/177/1/0</t>
  </si>
  <si>
    <t>https://dosweb.dos.gov.jo/DataBank/Census2015/HousingUnits/Housing_2.1.pdf</t>
  </si>
  <si>
    <t>https://www.onei.gob.cu/sites/default/files/publicaciones/2023-05/censo_2012_0.pdf</t>
  </si>
  <si>
    <t>https://www.nsomalawi.mw/census/2018</t>
  </si>
  <si>
    <t>https://statisticsmaldives.gov.mv/nbs/wp-content/uploads/2016/07/Statistical-Release-IV-Housing-FINAL-1.pdf</t>
  </si>
  <si>
    <t>https://statsmauritius.govmu.org/Pages/Censuses%20and%20Surveys/Census/2022_Housing_census_Main_results.aspx</t>
  </si>
  <si>
    <t>https://www.inei.gob.pe/media/MenuRecursivo/publicaciones_digitales/Est/Lib1544/</t>
  </si>
  <si>
    <t>https://www.recensamantromania.ro/rezultate-rpl-2021/rezultate-definitive/</t>
  </si>
  <si>
    <t>https://www.ine.es/Censo2021/Informe.do</t>
  </si>
  <si>
    <t>https://www.nbs.go.tz/uploads/statistics/documents/en-1719124055-04.%20Building_Census2022_English08April.pdf</t>
  </si>
  <si>
    <t>EU 27</t>
  </si>
  <si>
    <t>https://energy.ec.europa.eu/topics/energy-efficiency/energy-performance-buildings/eu-building-stock-observatory_en</t>
  </si>
  <si>
    <t>https://www.ssb.no/en/bygg-bolig-og-eiendom/bygg-og-anlegg/statistikk/bygningsmassen</t>
  </si>
  <si>
    <t>https://napic2.jpph.gov.my/storage/app/media/3-penerbitan/Shahrul/Bahagian%20Inventori%20Harta%20Tanah/Laporan%20Jadual%20Stok%20Harta%20Tanah/Q4%202024%20Full%20Year%202024/Laporan%20Stok%20Harta%20Tanah%202024.pdf</t>
  </si>
  <si>
    <t>https://stats.jtc.gov.sg/content/static/Documents/Quarterly%20Market%20Report%202025Q1.pdf</t>
  </si>
  <si>
    <t>https://www.eia.gov/consumption/commercial/data/2018/pdf/CBECS_2018_Building_Characteristics_Flipbook.pdf</t>
  </si>
  <si>
    <t>https://publications.tno.nl/publication/34642169/Jxpdb1/TNO-2023-P12777.pdf</t>
  </si>
  <si>
    <t>https://oee.nrcan.gc.ca/corporate/statistics/neud/dpa/showTable.cfm?type=SC&amp;sector=aaa&amp;juris=ca&amp;year=2019&amp;rn=1&amp;page=1</t>
  </si>
  <si>
    <t>https://www.seai.ie/sites/default/files/publications/Extensive-Survey-of-Commercial-Buildings-Stock-in-the-Republic-of-Ireland.pdf</t>
  </si>
  <si>
    <t>https://www.laplacedelimmobilier.com/wp-content/uploads/2023/12/202311_ArticleReflexionImmo_ConnaitreleParc.pdf</t>
  </si>
  <si>
    <t>https://www.dcceew.gov.au/sites/default/files/documents/commercial-buildings-energy-consumption-baseline-study-2022.pdf</t>
  </si>
  <si>
    <t xml:space="preserve">https://www.iwu.de/fileadmin/publikationen/gebaeudebestand/2022_IWU_HoernerEtBischof_WorkingPaper_Typologie-der-Nichtwohngebaeude-Deutschlands.pdf </t>
  </si>
  <si>
    <t xml:space="preserve">Büro incl. Verwaltungsgebäude </t>
  </si>
  <si>
    <t>Büro incl. Verwaltungsgebäude</t>
  </si>
  <si>
    <t>https://www.iwu.de/fileadmin/publikationen/gebaeudebestand/2022_IWU_HoernerEtBischof_WorkingPaper_Typologie-der-Nichtwohngebaeude-Deutschlands.pdf</t>
  </si>
  <si>
    <t>https://www.ons.dz/IMG/pdf/AnRes10-12No30.pdf</t>
  </si>
  <si>
    <t>https://statbank.armstat.am/pxweb/hy/ArmStatBank/ArmStatBank__2%20Population%20and%20social%20processes__26%20Housing__261%20Bnakfond/PS-hs-bn30.px/table/tableViewLayout1/?rxid=9ba7b0d1-2ff8-40fa-a309-fae01ea885bb</t>
  </si>
  <si>
    <t>https://statbel.fgov.be/de/themen/bauen-wohnen/gebaeudebestand</t>
  </si>
  <si>
    <t>https://www.data.gov.bh/explore/embed/dataset/housing-units-by-housing-type-and-occupancy-census-2020/table/</t>
  </si>
  <si>
    <t>https://censo2024.ine.gob.cl/resultados-dashboard/</t>
  </si>
  <si>
    <t>https://www.statistischebibliothek.de/mir/servlets/MCRFileNodeServlet/DEHeft_derivate_00074102/5312301217004_Korr_01122022.pdf</t>
  </si>
  <si>
    <t>https://ergebnisse.zensus2022.de/datenbank/online/statistic/3000G/table/3000G-2004</t>
  </si>
  <si>
    <t xml:space="preserve">https://www.statistischebibliothek.de/mir/servlets/MCRFileNodeServlet/DEHeft_derivate_00074102/5312301217004_Korr_01122022.pdf </t>
  </si>
  <si>
    <t>https://ergebnisse.zensus2022.de/datenbank/online/statistic/3000G/table/3000G-2014</t>
  </si>
  <si>
    <t>https://stat.fi/til/asas/index_en.html</t>
  </si>
  <si>
    <t>https://www.cso.ie/en/releasesandpublications/ep/p-cpp2/censusofpopulation2022profile2-housinginireland/keyfindings/</t>
  </si>
  <si>
    <t>https://www.stat.go.jp/data/jyutaku/2023/pdf/kihon_gaiyou.pdf</t>
  </si>
  <si>
    <t>https://www150.statcan.gc.ca/t1/tbl1/en/tv.action?pid=9810000101</t>
  </si>
  <si>
    <t>https://www.inseed-comores.org/pub/rapport-resultats-globaux_comores-du-rgph-2017/</t>
  </si>
  <si>
    <t>https://stat.gov.lv/en/statistics-themes/population/housing/press-releases/7126-housing-characteristics-1-january-2021?themeCode=MA</t>
  </si>
  <si>
    <t>https://osp.stat.gov.lt/en/2021-gyventoju-ir-bustu-surasymo-rezultatai/bustai</t>
  </si>
  <si>
    <t>https://www.stats.govt.nz/infographics/housing-in-aotearoa-new-zealand/</t>
  </si>
  <si>
    <t>https://portal.ecensus.gov.om/web/</t>
  </si>
  <si>
    <t xml:space="preserve"> https://portal.ecensus.gov.om/web/</t>
  </si>
  <si>
    <t>https://www.stats.gov.sa/en/w/%D8%A7%D9%84%D9%88%D8%AD%D8%AF%D8%A7%D8%AA-%D8%A7%D9%84%D8%B3%D9%83%D9%86%D9%8A%D8%A9?category=127424&amp;tab=436327</t>
  </si>
  <si>
    <t>https://www.scb.se/en/finding-statistics/statistics-by-subject-area/housing-construction-and-building/housing-and-accommodation/dwelling-stock/pong/statistical-news/dwelling-stock-2024-12-31/</t>
  </si>
  <si>
    <t>https://www.bfs.admin.ch/news/en/2024-0526</t>
  </si>
  <si>
    <t>https://popis2022.stat.gov.rs/en-us/5-vestisaopstenja/news-events/20230518-kpbripovrsinasj/</t>
  </si>
  <si>
    <t>https://www.stat.si/StatWeb/en/News/Index/10265</t>
  </si>
  <si>
    <t>https://fred.stlouisfed.org/series/ETOTALUSQ176N</t>
  </si>
  <si>
    <t>https://stats.gov.lc/census/census-main-page/</t>
  </si>
  <si>
    <t>Urbanisierung</t>
  </si>
  <si>
    <t>Fläche</t>
  </si>
  <si>
    <t>Bevölkerung</t>
  </si>
  <si>
    <t>Status</t>
  </si>
  <si>
    <t>Training</t>
  </si>
  <si>
    <t>Validierung</t>
  </si>
  <si>
    <t>BIP (billons $)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</si>
  <si>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</t>
  </si>
  <si>
    <t>-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</si>
  <si>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</si>
  <si>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</si>
  <si>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</si>
  <si>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</si>
  <si>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</si>
  <si>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</si>
  <si>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</si>
  <si>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</si>
  <si>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</si>
  <si>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</si>
  <si>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</si>
  <si>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</si>
  <si>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</si>
  <si>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</si>
  <si>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</si>
  <si>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</si>
  <si>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</si>
  <si>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</si>
  <si>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</si>
  <si>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</si>
  <si>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</si>
  <si>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</si>
  <si>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</si>
  <si>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</si>
  <si>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</si>
  <si>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</si>
  <si>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</si>
  <si>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</si>
  <si>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</si>
  <si>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</si>
  <si>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</si>
  <si>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</si>
  <si>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</si>
  <si>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</si>
  <si>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</si>
  <si>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</si>
  <si>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</si>
  <si>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</si>
  <si>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</si>
  <si>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</si>
  <si>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</si>
  <si>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</si>
  <si>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</si>
  <si>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</si>
  <si>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</si>
  <si>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</si>
  <si>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</si>
  <si>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</si>
  <si>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</si>
  <si>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</si>
  <si>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</si>
  <si>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</si>
  <si>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</si>
  <si>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</si>
  <si>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</si>
  <si>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</si>
  <si>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</si>
  <si>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</si>
  <si>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</si>
  <si>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</si>
  <si>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</si>
  <si>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</si>
  <si>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</si>
  <si>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</si>
  <si>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</si>
  <si>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</si>
  <si>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</si>
  <si>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</si>
  <si>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</si>
  <si>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</si>
  <si>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</si>
  <si>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</si>
  <si>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</si>
  <si>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</si>
  <si>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</si>
  <si>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</si>
  <si>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</si>
  <si>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</si>
  <si>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</si>
  <si>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</si>
  <si>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</si>
  <si>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</si>
  <si>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</si>
  <si>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</si>
  <si>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</si>
  <si>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</si>
  <si>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</si>
  <si>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</si>
  <si>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</si>
  <si>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</si>
  <si>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</si>
  <si>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</si>
  <si>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</si>
  <si>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</si>
  <si>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</si>
  <si>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</si>
  <si>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</si>
  <si>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</si>
  <si>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</si>
  <si>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</si>
  <si>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</si>
  <si>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</si>
  <si>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</si>
  <si>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</si>
  <si>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</si>
  <si>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</si>
  <si>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</si>
  <si>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</si>
  <si>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</si>
  <si>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</si>
  <si>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</si>
  <si>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</si>
  <si>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</si>
  <si>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</si>
  <si>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</si>
  <si>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</si>
  <si>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</si>
  <si>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</si>
  <si>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</si>
  <si>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</si>
  <si>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</si>
  <si>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</si>
  <si>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</si>
  <si>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</si>
  <si>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</si>
  <si>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</si>
  <si>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</si>
  <si>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</si>
  <si>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</si>
  <si>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</si>
  <si>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</si>
  <si>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</si>
  <si>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</si>
  <si>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</si>
  <si>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</si>
  <si>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</si>
  <si>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</si>
  <si>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</si>
  <si>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</si>
  <si>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</si>
  <si>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</si>
  <si>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</si>
  <si>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</si>
  <si>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</si>
  <si>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</si>
  <si>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</si>
  <si>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</si>
  <si>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</si>
  <si>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</si>
  <si>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</si>
  <si>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</si>
  <si>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</si>
  <si>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</si>
  <si>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</si>
  <si>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</si>
  <si>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</si>
  <si>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</si>
  <si>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</si>
  <si>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</si>
  <si>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</si>
  <si>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</si>
  <si>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</si>
  <si>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</si>
  <si>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</si>
  <si>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</si>
  <si>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</si>
  <si>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</si>
  <si>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</si>
  <si>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</si>
  <si>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</si>
  <si>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</si>
  <si>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</si>
  <si>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</si>
  <si>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</si>
  <si>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</si>
  <si>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</si>
  <si>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</si>
  <si>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</si>
  <si>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</si>
  <si>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</si>
  <si>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</si>
  <si>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</si>
  <si>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</si>
  <si>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</si>
  <si>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</si>
  <si>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</si>
  <si>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</si>
  <si>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</si>
  <si>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194</t>
  </si>
  <si>
    <t>https://www.regierung.li/files/attachments/wirtschafts-und-finanzdaten-2024.pdf</t>
  </si>
  <si>
    <t>https://datacommons.org/place/country/MCO?hl=de</t>
  </si>
  <si>
    <t>https://de.statista.com/statistik/daten/studie/188776/umfrage/bruttoinlandsprodukt-bip-in-den-eu-laendern/</t>
  </si>
  <si>
    <t>https://de.statista.com/themen/2579/kuba/#topicOverview</t>
  </si>
  <si>
    <t>United Nations, Department of Economic and Social Affairs, Population Division (2018). World Urbanization Prospects: The 2018 Revision, Online Edition.</t>
  </si>
  <si>
    <t>BIP (mrd.)</t>
  </si>
  <si>
    <t>https://data.worldbank.org/indicator/SP.POP.TOTL?end=2024&amp;start=1960</t>
  </si>
  <si>
    <t>https://data.worldbank.org/indicator/SP.POP.TOTL?end=2024&amp;start=1961</t>
  </si>
  <si>
    <t>https://data.worldbank.org/indicator/SP.POP.TOTL?end=2024&amp;start=1962</t>
  </si>
  <si>
    <t>https://data.worldbank.org/indicator/SP.POP.TOTL?end=2024&amp;start=1963</t>
  </si>
  <si>
    <t>https://data.worldbank.org/indicator/SP.POP.TOTL?end=2024&amp;start=1964</t>
  </si>
  <si>
    <t>https://data.worldbank.org/indicator/SP.POP.TOTL?end=2024&amp;start=1965</t>
  </si>
  <si>
    <t>https://data.worldbank.org/indicator/SP.POP.TOTL?end=2024&amp;start=1966</t>
  </si>
  <si>
    <t>https://data.worldbank.org/indicator/SP.POP.TOTL?end=2024&amp;start=1967</t>
  </si>
  <si>
    <t>https://data.worldbank.org/indicator/SP.POP.TOTL?end=2024&amp;start=1968</t>
  </si>
  <si>
    <t>https://data.worldbank.org/indicator/SP.POP.TOTL?end=2024&amp;start=1969</t>
  </si>
  <si>
    <t>https://data.worldbank.org/indicator/SP.POP.TOTL?end=2024&amp;start=1970</t>
  </si>
  <si>
    <t>https://data.worldbank.org/indicator/SP.POP.TOTL?end=2024&amp;start=1971</t>
  </si>
  <si>
    <t>https://data.worldbank.org/indicator/SP.POP.TOTL?end=2024&amp;start=1972</t>
  </si>
  <si>
    <t>https://data.worldbank.org/indicator/SP.POP.TOTL?end=2024&amp;start=1973</t>
  </si>
  <si>
    <t>https://data.worldbank.org/indicator/SP.POP.TOTL?end=2024&amp;start=1974</t>
  </si>
  <si>
    <t>https://data.worldbank.org/indicator/SP.POP.TOTL?end=2024&amp;start=1975</t>
  </si>
  <si>
    <t>https://data.worldbank.org/indicator/SP.POP.TOTL?end=2024&amp;start=1976</t>
  </si>
  <si>
    <t>https://data.worldbank.org/indicator/SP.POP.TOTL?end=2024&amp;start=1977</t>
  </si>
  <si>
    <t>https://data.worldbank.org/indicator/SP.POP.TOTL?end=2024&amp;start=1978</t>
  </si>
  <si>
    <t>https://data.worldbank.org/indicator/SP.POP.TOTL?end=2024&amp;start=1979</t>
  </si>
  <si>
    <t>https://data.worldbank.org/indicator/SP.POP.TOTL?end=2024&amp;start=1980</t>
  </si>
  <si>
    <t>https://data.worldbank.org/indicator/SP.POP.TOTL?end=2024&amp;start=1981</t>
  </si>
  <si>
    <t>https://data.worldbank.org/indicator/SP.POP.TOTL?end=2024&amp;start=1982</t>
  </si>
  <si>
    <t>https://data.worldbank.org/indicator/SP.POP.TOTL?end=2024&amp;start=1983</t>
  </si>
  <si>
    <t>https://data.worldbank.org/indicator/SP.POP.TOTL?end=2024&amp;start=1984</t>
  </si>
  <si>
    <t>https://data.worldbank.org/indicator/SP.POP.TOTL?end=2024&amp;start=1985</t>
  </si>
  <si>
    <t>https://data.worldbank.org/indicator/SP.POP.TOTL?end=2024&amp;start=1986</t>
  </si>
  <si>
    <t>https://data.worldbank.org/indicator/SP.POP.TOTL?end=2024&amp;start=1987</t>
  </si>
  <si>
    <t>https://data.worldbank.org/indicator/SP.POP.TOTL?end=2024&amp;start=1988</t>
  </si>
  <si>
    <t>https://data.worldbank.org/indicator/SP.POP.TOTL?end=2024&amp;start=1989</t>
  </si>
  <si>
    <t>https://data.worldbank.org/indicator/SP.POP.TOTL?end=2024&amp;start=1990</t>
  </si>
  <si>
    <t>https://data.worldbank.org/indicator/SP.POP.TOTL?end=2024&amp;start=1991</t>
  </si>
  <si>
    <t>https://data.worldbank.org/indicator/SP.POP.TOTL?end=2024&amp;start=1992</t>
  </si>
  <si>
    <t>https://data.worldbank.org/indicator/SP.POP.TOTL?end=2024&amp;start=1993</t>
  </si>
  <si>
    <t>https://data.worldbank.org/indicator/SP.POP.TOTL?end=2024&amp;start=1994</t>
  </si>
  <si>
    <t>https://data.worldbank.org/indicator/SP.POP.TOTL?end=2024&amp;start=1995</t>
  </si>
  <si>
    <t>https://data.worldbank.org/indicator/SP.POP.TOTL?end=2024&amp;start=1996</t>
  </si>
  <si>
    <t>https://data.worldbank.org/indicator/SP.POP.TOTL?end=2024&amp;start=1997</t>
  </si>
  <si>
    <t>https://data.worldbank.org/indicator/SP.POP.TOTL?end=2024&amp;start=1998</t>
  </si>
  <si>
    <t>https://data.worldbank.org/indicator/SP.POP.TOTL?end=2024&amp;start=1999</t>
  </si>
  <si>
    <t>https://data.worldbank.org/indicator/SP.POP.TOTL?end=2024&amp;start=2000</t>
  </si>
  <si>
    <t>https://data.worldbank.org/indicator/SP.POP.TOTL?end=2024&amp;start=2001</t>
  </si>
  <si>
    <t>https://data.worldbank.org/indicator/SP.POP.TOTL?end=2024&amp;start=2002</t>
  </si>
  <si>
    <t>https://data.worldbank.org/indicator/SP.POP.TOTL?end=2024&amp;start=2003</t>
  </si>
  <si>
    <t>https://data.worldbank.org/indicator/SP.POP.TOTL?end=2024&amp;start=2004</t>
  </si>
  <si>
    <t>https://data.worldbank.org/indicator/SP.POP.TOTL?end=2024&amp;start=2005</t>
  </si>
  <si>
    <t>https://data.worldbank.org/indicator/SP.POP.TOTL?end=2024&amp;start=2006</t>
  </si>
  <si>
    <t>https://data.worldbank.org/indicator/SP.POP.TOTL?end=2024&amp;start=2007</t>
  </si>
  <si>
    <t>https://data.worldbank.org/indicator/SP.POP.TOTL?end=2024&amp;start=2008</t>
  </si>
  <si>
    <t>https://data.worldbank.org/indicator/SP.POP.TOTL?end=2024&amp;start=2009</t>
  </si>
  <si>
    <t>https://data.worldbank.org/indicator/SP.POP.TOTL?end=2024&amp;start=2010</t>
  </si>
  <si>
    <t>https://data.worldbank.org/indicator/SP.POP.TOTL?end=2024&amp;start=2011</t>
  </si>
  <si>
    <t>https://data.worldbank.org/indicator/SP.POP.TOTL?end=2024&amp;start=2012</t>
  </si>
  <si>
    <t>https://data.worldbank.org/indicator/SP.POP.TOTL?end=2024&amp;start=2013</t>
  </si>
  <si>
    <t>https://data.worldbank.org/indicator/SP.POP.TOTL?end=2024&amp;start=2014</t>
  </si>
  <si>
    <t>https://data.worldbank.org/indicator/SP.POP.TOTL?end=2024&amp;start=2015</t>
  </si>
  <si>
    <t>https://data.worldbank.org/indicator/SP.POP.TOTL?end=2024&amp;start=2016</t>
  </si>
  <si>
    <t>https://data.worldbank.org/indicator/SP.POP.TOTL?end=2024&amp;start=2017</t>
  </si>
  <si>
    <t>https://data.worldbank.org/indicator/SP.POP.TOTL?end=2024&amp;start=2018</t>
  </si>
  <si>
    <t>https://data.worldbank.org/indicator/SP.POP.TOTL?end=2024&amp;start=2019</t>
  </si>
  <si>
    <t>https://data.worldbank.org/indicator/SP.POP.TOTL?end=2024&amp;start=2020</t>
  </si>
  <si>
    <t>https://data.worldbank.org/indicator/SP.POP.TOTL?end=2024&amp;start=2021</t>
  </si>
  <si>
    <t>https://data.worldbank.org/indicator/SP.POP.TOTL?end=2024&amp;start=2022</t>
  </si>
  <si>
    <t>https://data.worldbank.org/indicator/SP.POP.TOTL?end=2024&amp;start=2023</t>
  </si>
  <si>
    <t>https://data.worldbank.org/indicator/SP.POP.TOTL?end=2024&amp;start=2024</t>
  </si>
  <si>
    <t>https://data.worldbank.org/indicator/SP.POP.TOTL?end=2024&amp;start=2025</t>
  </si>
  <si>
    <t>https://data.worldbank.org/indicator/SP.POP.TOTL?end=2024&amp;start=2026</t>
  </si>
  <si>
    <t>https://data.worldbank.org/indicator/SP.POP.TOTL?end=2024&amp;start=2027</t>
  </si>
  <si>
    <t>https://data.worldbank.org/indicator/SP.POP.TOTL?end=2024&amp;start=2028</t>
  </si>
  <si>
    <t>https://data.worldbank.org/indicator/SP.POP.TOTL?end=2024&amp;start=2029</t>
  </si>
  <si>
    <t>https://data.worldbank.org/indicator/SP.POP.TOTL?end=2024&amp;start=2030</t>
  </si>
  <si>
    <t>https://data.worldbank.org/indicator/SP.POP.TOTL?end=2024&amp;start=2031</t>
  </si>
  <si>
    <t>https://data.worldbank.org/indicator/SP.POP.TOTL?end=2024&amp;start=2032</t>
  </si>
  <si>
    <t>https://data.worldbank.org/indicator/SP.POP.TOTL?end=2024&amp;start=2033</t>
  </si>
  <si>
    <t>https://data.worldbank.org/indicator/SP.POP.TOTL?end=2024&amp;start=2034</t>
  </si>
  <si>
    <t>https://data.worldbank.org/indicator/SP.POP.TOTL?end=2024&amp;start=2035</t>
  </si>
  <si>
    <t>https://data.worldbank.org/indicator/SP.POP.TOTL?end=2024&amp;start=2036</t>
  </si>
  <si>
    <t>https://data.worldbank.org/indicator/SP.POP.TOTL?end=2024&amp;start=2037</t>
  </si>
  <si>
    <t>https://data.worldbank.org/indicator/SP.POP.TOTL?end=2024&amp;start=2038</t>
  </si>
  <si>
    <t>https://data.worldbank.org/indicator/SP.POP.TOTL?end=2024&amp;start=2039</t>
  </si>
  <si>
    <t>https://data.worldbank.org/indicator/SP.POP.TOTL?end=2024&amp;start=2040</t>
  </si>
  <si>
    <t>https://data.worldbank.org/indicator/SP.POP.TOTL?end=2024&amp;start=2041</t>
  </si>
  <si>
    <t>https://data.worldbank.org/indicator/SP.POP.TOTL?end=2024&amp;start=2042</t>
  </si>
  <si>
    <t>https://data.worldbank.org/indicator/SP.POP.TOTL?end=2024&amp;start=2043</t>
  </si>
  <si>
    <t>https://data.worldbank.org/indicator/SP.POP.TOTL?end=2024&amp;start=2044</t>
  </si>
  <si>
    <t>https://data.worldbank.org/indicator/SP.POP.TOTL?end=2024&amp;start=2045</t>
  </si>
  <si>
    <t>https://data.worldbank.org/indicator/SP.POP.TOTL?end=2024&amp;start=2046</t>
  </si>
  <si>
    <t>https://data.worldbank.org/indicator/SP.POP.TOTL?end=2024&amp;start=2047</t>
  </si>
  <si>
    <t>https://data.worldbank.org/indicator/SP.POP.TOTL?end=2024&amp;start=2048</t>
  </si>
  <si>
    <t>https://data.worldbank.org/indicator/SP.POP.TOTL?end=2024&amp;start=2049</t>
  </si>
  <si>
    <t>https://data.worldbank.org/indicator/SP.POP.TOTL?end=2024&amp;start=2050</t>
  </si>
  <si>
    <t>https://data.worldbank.org/indicator/SP.POP.TOTL?end=2024&amp;start=2051</t>
  </si>
  <si>
    <t>https://data.worldbank.org/indicator/SP.POP.TOTL?end=2024&amp;start=2052</t>
  </si>
  <si>
    <t>https://data.worldbank.org/indicator/SP.POP.TOTL?end=2024&amp;start=2053</t>
  </si>
  <si>
    <t>https://data.worldbank.org/indicator/SP.POP.TOTL?end=2024&amp;start=2054</t>
  </si>
  <si>
    <t>https://data.worldbank.org/indicator/SP.POP.TOTL?end=2024&amp;start=2055</t>
  </si>
  <si>
    <t>https://data.worldbank.org/indicator/SP.POP.TOTL?end=2024&amp;start=2056</t>
  </si>
  <si>
    <t>https://data.worldbank.org/indicator/SP.POP.TOTL?end=2024&amp;start=2057</t>
  </si>
  <si>
    <t>https://data.worldbank.org/indicator/SP.POP.TOTL?end=2024&amp;start=2058</t>
  </si>
  <si>
    <t>https://data.worldbank.org/indicator/SP.POP.TOTL?end=2024&amp;start=2059</t>
  </si>
  <si>
    <t>https://data.worldbank.org/indicator/SP.POP.TOTL?end=2024&amp;start=2060</t>
  </si>
  <si>
    <t>https://data.worldbank.org/indicator/SP.POP.TOTL?end=2024&amp;start=2061</t>
  </si>
  <si>
    <t>https://data.worldbank.org/indicator/SP.POP.TOTL?end=2024&amp;start=2062</t>
  </si>
  <si>
    <t>https://data.worldbank.org/indicator/SP.POP.TOTL?end=2024&amp;start=2063</t>
  </si>
  <si>
    <t>https://data.worldbank.org/indicator/SP.POP.TOTL?end=2024&amp;start=2064</t>
  </si>
  <si>
    <t>https://data.worldbank.org/indicator/SP.POP.TOTL?end=2024&amp;start=2065</t>
  </si>
  <si>
    <t>https://data.worldbank.org/indicator/SP.POP.TOTL?end=2024&amp;start=2066</t>
  </si>
  <si>
    <t>https://data.worldbank.org/indicator/SP.POP.TOTL?end=2024&amp;start=2067</t>
  </si>
  <si>
    <t>https://data.worldbank.org/indicator/SP.POP.TOTL?end=2024&amp;start=2068</t>
  </si>
  <si>
    <t>https://data.worldbank.org/indicator/SP.POP.TOTL?end=2024&amp;start=2069</t>
  </si>
  <si>
    <t>https://data.worldbank.org/indicator/SP.POP.TOTL?end=2024&amp;start=2070</t>
  </si>
  <si>
    <t>https://data.worldbank.org/indicator/SP.POP.TOTL?end=2024&amp;start=2071</t>
  </si>
  <si>
    <t>https://data.worldbank.org/indicator/SP.POP.TOTL?end=2024&amp;start=2072</t>
  </si>
  <si>
    <t>https://data.worldbank.org/indicator/SP.POP.TOTL?end=2024&amp;start=2073</t>
  </si>
  <si>
    <t>https://data.worldbank.org/indicator/SP.POP.TOTL?end=2024&amp;start=2074</t>
  </si>
  <si>
    <t>https://data.worldbank.org/indicator/SP.POP.TOTL?end=2024&amp;start=2075</t>
  </si>
  <si>
    <t>https://data.worldbank.org/indicator/SP.POP.TOTL?end=2024&amp;start=2076</t>
  </si>
  <si>
    <t>https://data.worldbank.org/indicator/SP.POP.TOTL?end=2024&amp;start=2077</t>
  </si>
  <si>
    <t>https://data.worldbank.org/indicator/SP.POP.TOTL?end=2024&amp;start=2078</t>
  </si>
  <si>
    <t>https://data.worldbank.org/indicator/SP.POP.TOTL?end=2024&amp;start=2079</t>
  </si>
  <si>
    <t>https://data.worldbank.org/indicator/SP.POP.TOTL?end=2024&amp;start=2080</t>
  </si>
  <si>
    <t>https://data.worldbank.org/indicator/SP.POP.TOTL?end=2024&amp;start=2081</t>
  </si>
  <si>
    <t>https://data.worldbank.org/indicator/SP.POP.TOTL?end=2024&amp;start=2082</t>
  </si>
  <si>
    <t>https://data.worldbank.org/indicator/SP.POP.TOTL?end=2024&amp;start=2083</t>
  </si>
  <si>
    <t>https://data.worldbank.org/indicator/SP.POP.TOTL?end=2024&amp;start=2084</t>
  </si>
  <si>
    <t>https://data.worldbank.org/indicator/SP.POP.TOTL?end=2024&amp;start=2085</t>
  </si>
  <si>
    <t>https://data.worldbank.org/indicator/SP.POP.TOTL?end=2024&amp;start=2086</t>
  </si>
  <si>
    <t>https://data.worldbank.org/indicator/SP.POP.TOTL?end=2024&amp;start=2087</t>
  </si>
  <si>
    <t>https://data.worldbank.org/indicator/SP.POP.TOTL?end=2024&amp;start=2088</t>
  </si>
  <si>
    <t>https://data.worldbank.org/indicator/SP.POP.TOTL?end=2024&amp;start=2089</t>
  </si>
  <si>
    <t>https://data.worldbank.org/indicator/SP.POP.TOTL?end=2024&amp;start=2090</t>
  </si>
  <si>
    <t>https://data.worldbank.org/indicator/SP.POP.TOTL?end=2024&amp;start=2091</t>
  </si>
  <si>
    <t>https://data.worldbank.org/indicator/SP.POP.TOTL?end=2024&amp;start=2092</t>
  </si>
  <si>
    <t>https://data.worldbank.org/indicator/SP.POP.TOTL?end=2024&amp;start=2093</t>
  </si>
  <si>
    <t>https://data.worldbank.org/indicator/SP.POP.TOTL?end=2024&amp;start=2094</t>
  </si>
  <si>
    <t>https://data.worldbank.org/indicator/SP.POP.TOTL?end=2024&amp;start=2095</t>
  </si>
  <si>
    <t>https://data.worldbank.org/indicator/SP.POP.TOTL?end=2024&amp;start=2096</t>
  </si>
  <si>
    <t>https://data.worldbank.org/indicator/SP.POP.TOTL?end=2024&amp;start=2097</t>
  </si>
  <si>
    <t>https://data.worldbank.org/indicator/SP.POP.TOTL?end=2024&amp;start=2098</t>
  </si>
  <si>
    <t>https://data.worldbank.org/indicator/SP.POP.TOTL?end=2024&amp;start=2099</t>
  </si>
  <si>
    <t>https://data.worldbank.org/indicator/SP.POP.TOTL?end=2024&amp;start=2100</t>
  </si>
  <si>
    <t>https://data.worldbank.org/indicator/SP.POP.TOTL?end=2024&amp;start=2101</t>
  </si>
  <si>
    <t>https://data.worldbank.org/indicator/SP.POP.TOTL?end=2024&amp;start=2102</t>
  </si>
  <si>
    <t>https://data.worldbank.org/indicator/SP.POP.TOTL?end=2024&amp;start=2103</t>
  </si>
  <si>
    <t>https://data.worldbank.org/indicator/SP.POP.TOTL?end=2024&amp;start=2104</t>
  </si>
  <si>
    <t>https://data.worldbank.org/indicator/SP.POP.TOTL?end=2024&amp;start=2105</t>
  </si>
  <si>
    <t>https://data.worldbank.org/indicator/SP.POP.TOTL?end=2024&amp;start=2106</t>
  </si>
  <si>
    <t>https://data.worldbank.org/indicator/SP.POP.TOTL?end=2024&amp;start=2107</t>
  </si>
  <si>
    <t>https://data.worldbank.org/indicator/SP.POP.TOTL?end=2024&amp;start=2108</t>
  </si>
  <si>
    <t>https://data.worldbank.org/indicator/SP.POP.TOTL?end=2024&amp;start=2109</t>
  </si>
  <si>
    <t>https://data.worldbank.org/indicator/SP.POP.TOTL?end=2024&amp;start=2110</t>
  </si>
  <si>
    <t>https://data.worldbank.org/indicator/SP.POP.TOTL?end=2024&amp;start=2111</t>
  </si>
  <si>
    <t>https://data.worldbank.org/indicator/SP.POP.TOTL?end=2024&amp;start=2112</t>
  </si>
  <si>
    <t>https://data.worldbank.org/indicator/SP.POP.TOTL?end=2024&amp;start=2113</t>
  </si>
  <si>
    <t>https://data.worldbank.org/indicator/SP.POP.TOTL?end=2024&amp;start=2114</t>
  </si>
  <si>
    <t>https://data.worldbank.org/indicator/SP.POP.TOTL?end=2024&amp;start=2115</t>
  </si>
  <si>
    <t>https://data.worldbank.org/indicator/SP.POP.TOTL?end=2024&amp;start=2116</t>
  </si>
  <si>
    <t>https://data.worldbank.org/indicator/SP.POP.TOTL?end=2024&amp;start=2117</t>
  </si>
  <si>
    <t>https://data.worldbank.org/indicator/SP.POP.TOTL?end=2024&amp;start=2118</t>
  </si>
  <si>
    <t>https://data.worldbank.org/indicator/SP.POP.TOTL?end=2024&amp;start=2119</t>
  </si>
  <si>
    <t>https://data.worldbank.org/indicator/SP.POP.TOTL?end=2024&amp;start=2120</t>
  </si>
  <si>
    <t>https://data.worldbank.org/indicator/SP.POP.TOTL?end=2024&amp;start=2121</t>
  </si>
  <si>
    <t>https://data.worldbank.org/indicator/SP.POP.TOTL?end=2024&amp;start=2122</t>
  </si>
  <si>
    <t>https://data.worldbank.org/indicator/SP.POP.TOTL?end=2024&amp;start=2123</t>
  </si>
  <si>
    <t>https://data.worldbank.org/indicator/SP.POP.TOTL?end=2024&amp;start=2124</t>
  </si>
  <si>
    <t>https://data.worldbank.org/indicator/SP.POP.TOTL?end=2024&amp;start=2125</t>
  </si>
  <si>
    <t>https://data.worldbank.org/indicator/SP.POP.TOTL?end=2024&amp;start=2126</t>
  </si>
  <si>
    <t>https://data.worldbank.org/indicator/SP.POP.TOTL?end=2024&amp;start=2127</t>
  </si>
  <si>
    <t>https://data.worldbank.org/indicator/SP.POP.TOTL?end=2024&amp;start=2128</t>
  </si>
  <si>
    <t>https://data.worldbank.org/indicator/SP.POP.TOTL?end=2024&amp;start=2129</t>
  </si>
  <si>
    <t>https://data.worldbank.org/indicator/SP.POP.TOTL?end=2024&amp;start=2130</t>
  </si>
  <si>
    <t>https://data.worldbank.org/indicator/SP.POP.TOTL?end=2024&amp;start=2131</t>
  </si>
  <si>
    <t>https://data.worldbank.org/indicator/SP.POP.TOTL?end=2024&amp;start=2132</t>
  </si>
  <si>
    <t>https://data.worldbank.org/indicator/SP.POP.TOTL?end=2024&amp;start=2133</t>
  </si>
  <si>
    <t>https://data.worldbank.org/indicator/SP.POP.TOTL?end=2024&amp;start=2134</t>
  </si>
  <si>
    <t>https://data.worldbank.org/indicator/SP.POP.TOTL?end=2024&amp;start=2135</t>
  </si>
  <si>
    <t>https://data.worldbank.org/indicator/SP.POP.TOTL?end=2024&amp;start=2136</t>
  </si>
  <si>
    <t>https://data.worldbank.org/indicator/SP.POP.TOTL?end=2024&amp;start=2137</t>
  </si>
  <si>
    <t>https://data.worldbank.org/indicator/SP.POP.TOTL?end=2024&amp;start=2138</t>
  </si>
  <si>
    <t>https://data.worldbank.org/indicator/SP.POP.TOTL?end=2024&amp;start=2139</t>
  </si>
  <si>
    <t>https://data.worldbank.org/indicator/SP.POP.TOTL?end=2024&amp;start=2140</t>
  </si>
  <si>
    <t>https://data.worldbank.org/indicator/SP.POP.TOTL?end=2024&amp;start=2141</t>
  </si>
  <si>
    <t>https://data.worldbank.org/indicator/SP.POP.TOTL?end=2024&amp;start=2142</t>
  </si>
  <si>
    <t>https://data.worldbank.org/indicator/SP.POP.TOTL?end=2024&amp;start=2143</t>
  </si>
  <si>
    <t>https://data.worldbank.org/indicator/SP.POP.TOTL?end=2024&amp;start=2144</t>
  </si>
  <si>
    <t>https://data.worldbank.org/indicator/SP.POP.TOTL?end=2024&amp;start=2145</t>
  </si>
  <si>
    <t>https://data.worldbank.org/indicator/SP.POP.TOTL?end=2024&amp;start=2146</t>
  </si>
  <si>
    <t>https://data.worldbank.org/indicator/SP.POP.TOTL?end=2024&amp;start=2147</t>
  </si>
  <si>
    <t>https://data.worldbank.org/indicator/SP.POP.TOTL?end=2024&amp;start=2148</t>
  </si>
  <si>
    <t>https://data.worldbank.org/indicator/SP.POP.TOTL?end=2024&amp;start=2149</t>
  </si>
  <si>
    <t>https://data.worldbank.org/indicator/SP.POP.TOTL?end=2024&amp;start=2150</t>
  </si>
  <si>
    <t>https://data.worldbank.org/indicator/SP.POP.TOTL?end=2024&amp;start=2151</t>
  </si>
  <si>
    <t>https://data.worldbank.org/indicator/SP.POP.TOTL?end=2024&amp;start=2152</t>
  </si>
  <si>
    <t>https://data.worldbank.org/indicator/SP.POP.TOTL?end=2024&amp;start=2153</t>
  </si>
  <si>
    <t>https://data.worldbank.org/indicator/SP.POP.TOTL?end=2024&amp;start=2154</t>
  </si>
  <si>
    <t>Fläche qkm</t>
  </si>
  <si>
    <t>Wohnimmobilien Anzahl geschätzt</t>
  </si>
  <si>
    <t>Differenz</t>
  </si>
  <si>
    <t>OECD</t>
  </si>
  <si>
    <t>lic</t>
  </si>
  <si>
    <t>umic</t>
  </si>
  <si>
    <t>hic</t>
  </si>
  <si>
    <t>lmic</t>
  </si>
  <si>
    <t>WEB</t>
  </si>
  <si>
    <t>https://www.oecd.org/content/dam/oecd/en/data/datasets/affordable-housing-database/hm1-1-housing-stock-and-construction.pdf?</t>
  </si>
  <si>
    <t>Strom (mrd.)</t>
  </si>
  <si>
    <t>Strom</t>
  </si>
  <si>
    <t>https://www.indexmundi.com/de/andorra/elektrizitat_produktion.html</t>
  </si>
  <si>
    <t>Strom pro Kopf</t>
  </si>
  <si>
    <t>https://www.cia.gov/the-world-factbook/field/electricity/</t>
  </si>
  <si>
    <t>Doppelhaushälte m²</t>
  </si>
  <si>
    <t>Einfamilienhauser Anzahl</t>
  </si>
  <si>
    <t>Einfamilienhauser m²</t>
  </si>
  <si>
    <t>BIP pro kopf</t>
  </si>
  <si>
    <t>Wohneinheiten Anzahl geschätzt</t>
  </si>
  <si>
    <t>Differenz Wohneinheiten</t>
  </si>
  <si>
    <t>Differenz Wohneinheiten %</t>
  </si>
  <si>
    <t>Positive Diff</t>
  </si>
  <si>
    <t>Differenz in %</t>
  </si>
  <si>
    <t>Daten aus 1990</t>
  </si>
  <si>
    <t>belegte Wohnungen geschätzt</t>
  </si>
  <si>
    <t>Differenz2</t>
  </si>
  <si>
    <t>Differenz in %2</t>
  </si>
  <si>
    <t>Einfamilienhaus geschätzt</t>
  </si>
  <si>
    <t>Differenz3</t>
  </si>
  <si>
    <t>Differenz in %3</t>
  </si>
  <si>
    <t>Differenz in %22</t>
  </si>
  <si>
    <t>Differenz in %23</t>
  </si>
  <si>
    <t>belegte Wohnungen geschätzt2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</si>
</sst>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000"/>
  </numFmts>
  <fonts count="12" x14ac:knownFonts="1">
    <font>
      <sz val="11"/>
      <color theme="1"/>
      <name val="Aptos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1"/>
      <color theme="1"/>
      <name val="Aptos"/>
      <family val="2"/>
    </font>
    <font>
      <sz val="8"/>
      <name val="Aptos"/>
      <family val="2"/>
    </font>
    <font>
      <u/>
      <sz val="11"/>
      <color theme="10"/>
      <name val="Aptos"/>
      <family val="2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b/>
      <sz val="11"/>
      <color theme="1" tint="4.9989318521683403E-2"/>
      <name val="Aptos"/>
      <family val="2"/>
    </font>
    <font>
      <sz val="11"/>
      <color theme="1" tint="4.9989318521683403E-2"/>
      <name val="Aptos"/>
      <family val="2"/>
    </font>
  </fonts>
  <fills count="1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6EEF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7" fillId="0" borderId="0"/>
  </cellStyleXfs>
  <cellXfs count="103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horizontal="left"/>
    </xf>
    <xf numFmtId="0" fontId="4" fillId="0" borderId="0" xfId="0" applyFont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vertical="top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vertical="top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vertical="top"/>
    </xf>
    <xf numFmtId="0" fontId="4" fillId="0" borderId="4" xfId="0" applyFont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5" xfId="0" applyFont="1" applyBorder="1"/>
    <xf numFmtId="14" fontId="0" fillId="0" borderId="0" xfId="0" applyNumberFormat="1"/>
    <xf numFmtId="0" fontId="0" fillId="0" borderId="0" xfId="0" applyAlignment="1">
      <alignment horizontal="right"/>
    </xf>
    <xf numFmtId="0" fontId="4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top"/>
    </xf>
    <xf numFmtId="0" fontId="4" fillId="6" borderId="8" xfId="0" applyFont="1" applyFill="1" applyBorder="1" applyAlignment="1">
      <alignment horizontal="center"/>
    </xf>
    <xf numFmtId="0" fontId="4" fillId="7" borderId="7" xfId="0" applyFont="1" applyFill="1" applyBorder="1" applyAlignment="1">
      <alignment horizontal="center"/>
    </xf>
    <xf numFmtId="0" fontId="0" fillId="7" borderId="1" xfId="0" applyFill="1" applyBorder="1"/>
    <xf numFmtId="0" fontId="0" fillId="7" borderId="0" xfId="0" applyFill="1"/>
    <xf numFmtId="0" fontId="4" fillId="7" borderId="6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1" fillId="6" borderId="4" xfId="0" applyFont="1" applyFill="1" applyBorder="1" applyAlignment="1">
      <alignment horizontal="center" vertical="top"/>
    </xf>
    <xf numFmtId="0" fontId="4" fillId="7" borderId="4" xfId="0" applyFont="1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1" fillId="0" borderId="1" xfId="0" applyFont="1" applyBorder="1"/>
    <xf numFmtId="0" fontId="0" fillId="8" borderId="3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3" fontId="0" fillId="7" borderId="1" xfId="0" applyNumberFormat="1" applyFill="1" applyBorder="1"/>
    <xf numFmtId="3" fontId="0" fillId="0" borderId="1" xfId="0" applyNumberFormat="1" applyBorder="1"/>
    <xf numFmtId="3" fontId="0" fillId="12" borderId="1" xfId="0" applyNumberFormat="1" applyFill="1" applyBorder="1"/>
    <xf numFmtId="3" fontId="0" fillId="0" borderId="0" xfId="0" applyNumberFormat="1"/>
    <xf numFmtId="0" fontId="6" fillId="7" borderId="1" xfId="1" applyFill="1" applyBorder="1"/>
    <xf numFmtId="0" fontId="6" fillId="0" borderId="1" xfId="1" applyFill="1" applyBorder="1"/>
    <xf numFmtId="0" fontId="6" fillId="0" borderId="0" xfId="1"/>
    <xf numFmtId="0" fontId="0" fillId="7" borderId="6" xfId="0" applyFill="1" applyBorder="1" applyAlignment="1">
      <alignment horizontal="center"/>
    </xf>
    <xf numFmtId="0" fontId="6" fillId="0" borderId="1" xfId="1" applyBorder="1"/>
    <xf numFmtId="3" fontId="6" fillId="7" borderId="1" xfId="1" applyNumberFormat="1" applyFill="1" applyBorder="1"/>
    <xf numFmtId="164" fontId="0" fillId="7" borderId="1" xfId="0" applyNumberFormat="1" applyFill="1" applyBorder="1"/>
    <xf numFmtId="3" fontId="0" fillId="7" borderId="1" xfId="0" applyNumberFormat="1" applyFill="1" applyBorder="1" applyAlignment="1">
      <alignment horizontal="center"/>
    </xf>
    <xf numFmtId="4" fontId="0" fillId="7" borderId="1" xfId="0" applyNumberFormat="1" applyFill="1" applyBorder="1"/>
    <xf numFmtId="4" fontId="0" fillId="7" borderId="0" xfId="0" applyNumberFormat="1" applyFill="1"/>
    <xf numFmtId="164" fontId="0" fillId="7" borderId="0" xfId="0" applyNumberFormat="1" applyFill="1"/>
    <xf numFmtId="3" fontId="0" fillId="0" borderId="6" xfId="0" applyNumberFormat="1" applyBorder="1"/>
    <xf numFmtId="164" fontId="10" fillId="7" borderId="6" xfId="0" applyNumberFormat="1" applyFont="1" applyFill="1" applyBorder="1" applyAlignment="1">
      <alignment horizontal="center"/>
    </xf>
    <xf numFmtId="0" fontId="10" fillId="7" borderId="6" xfId="0" applyFont="1" applyFill="1" applyBorder="1" applyAlignment="1">
      <alignment horizontal="center"/>
    </xf>
    <xf numFmtId="4" fontId="10" fillId="7" borderId="6" xfId="0" applyNumberFormat="1" applyFont="1" applyFill="1" applyBorder="1" applyAlignment="1">
      <alignment horizontal="center"/>
    </xf>
    <xf numFmtId="0" fontId="11" fillId="7" borderId="6" xfId="0" applyFont="1" applyFill="1" applyBorder="1" applyAlignment="1">
      <alignment horizontal="center"/>
    </xf>
    <xf numFmtId="0" fontId="10" fillId="6" borderId="6" xfId="0" applyFont="1" applyFill="1" applyBorder="1" applyAlignment="1">
      <alignment horizontal="center"/>
    </xf>
    <xf numFmtId="0" fontId="10" fillId="6" borderId="7" xfId="0" applyFont="1" applyFill="1" applyBorder="1" applyAlignment="1">
      <alignment horizontal="center"/>
    </xf>
    <xf numFmtId="0" fontId="10" fillId="6" borderId="8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10" fillId="7" borderId="7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3" fontId="0" fillId="7" borderId="4" xfId="0" applyNumberFormat="1" applyFill="1" applyBorder="1"/>
    <xf numFmtId="3" fontId="0" fillId="0" borderId="4" xfId="0" applyNumberFormat="1" applyBorder="1"/>
    <xf numFmtId="3" fontId="0" fillId="0" borderId="9" xfId="0" applyNumberForma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/>
    <xf numFmtId="3" fontId="0" fillId="7" borderId="0" xfId="0" applyNumberFormat="1" applyFill="1"/>
    <xf numFmtId="3" fontId="8" fillId="0" borderId="1" xfId="0" applyNumberFormat="1" applyFont="1" applyBorder="1"/>
    <xf numFmtId="3" fontId="9" fillId="0" borderId="1" xfId="0" applyNumberFormat="1" applyFont="1" applyBorder="1" applyAlignment="1">
      <alignment horizontal="right"/>
    </xf>
    <xf numFmtId="3" fontId="0" fillId="8" borderId="1" xfId="0" applyNumberFormat="1" applyFill="1" applyBorder="1"/>
    <xf numFmtId="164" fontId="0" fillId="0" borderId="1" xfId="0" applyNumberFormat="1" applyBorder="1"/>
    <xf numFmtId="4" fontId="0" fillId="0" borderId="1" xfId="0" applyNumberFormat="1" applyBorder="1"/>
    <xf numFmtId="4" fontId="0" fillId="0" borderId="4" xfId="0" applyNumberFormat="1" applyBorder="1"/>
    <xf numFmtId="4" fontId="0" fillId="0" borderId="0" xfId="0" applyNumberFormat="1"/>
    <xf numFmtId="4" fontId="0" fillId="8" borderId="1" xfId="0" applyNumberFormat="1" applyFill="1" applyBorder="1"/>
    <xf numFmtId="4" fontId="8" fillId="0" borderId="1" xfId="0" applyNumberFormat="1" applyFont="1" applyBorder="1"/>
    <xf numFmtId="165" fontId="0" fillId="0" borderId="0" xfId="0" applyNumberFormat="1"/>
    <xf numFmtId="0" fontId="10" fillId="8" borderId="6" xfId="0" applyFont="1" applyFill="1" applyBorder="1" applyAlignment="1">
      <alignment horizontal="center"/>
    </xf>
    <xf numFmtId="0" fontId="0" fillId="8" borderId="0" xfId="0" applyFill="1"/>
    <xf numFmtId="0" fontId="10" fillId="8" borderId="8" xfId="0" applyFont="1" applyFill="1" applyBorder="1" applyAlignment="1">
      <alignment horizontal="center"/>
    </xf>
    <xf numFmtId="0" fontId="10" fillId="8" borderId="7" xfId="0" applyFont="1" applyFill="1" applyBorder="1" applyAlignment="1">
      <alignment horizontal="center"/>
    </xf>
    <xf numFmtId="3" fontId="8" fillId="8" borderId="1" xfId="0" applyNumberFormat="1" applyFont="1" applyFill="1" applyBorder="1"/>
    <xf numFmtId="0" fontId="4" fillId="6" borderId="6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/>
    </xf>
  </cellXfs>
  <cellStyles count="3">
    <cellStyle name="Link" xfId="1" builtinId="8"/>
    <cellStyle name="Normal_Feuil1" xfId="2" xr:uid="{A9BC57F5-4B71-4911-8BFA-E1F238F686C1}"/>
    <cellStyle name="Standard" xfId="0" builtinId="0"/>
  </cellStyles>
  <dxfs count="141">
    <dxf>
      <numFmt numFmtId="3" formatCode="#,##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91A8F3"/>
      <color rgb="FFF6EEF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119C3F-1B42-43A6-9635-5187C65FCD4F}" name="Tabelle2" displayName="Tabelle2" ref="A1:BU198" totalsRowShown="0" headerRowDxfId="140" tableBorderDxfId="139">
  <autoFilter ref="A1:BU198" xr:uid="{E0119C3F-1B42-43A6-9635-5187C65FCD4F}"/>
  <sortState xmlns:xlrd2="http://schemas.microsoft.com/office/spreadsheetml/2017/richdata2" ref="A2:BU198">
    <sortCondition ref="C1:C198"/>
  </sortState>
  <tableColumns count="73">
    <tableColumn id="1" xr3:uid="{7162C973-F2EA-4302-B440-755FB1376BA6}" name="Status"/>
    <tableColumn id="2" xr3:uid="{09143D72-EBA2-45F5-A389-87F1732D3D35}" name="Codes"/>
    <tableColumn id="3" xr3:uid="{DB9F4C71-D348-495E-A2ED-58A881331BC0}" name="Länder"/>
    <tableColumn id="4" xr3:uid="{BBAA89EF-596B-4ED5-84B4-83156C817244}" name="BIP (mrd.)" dataDxfId="138" totalsRowDxfId="137"/>
    <tableColumn id="59" xr3:uid="{DEC0ACBA-2B4C-44BB-BE4E-A7792CE8214E}" name="BIP pro kopf" dataDxfId="136" totalsRowDxfId="135">
      <calculatedColumnFormula>Tabelle2[[#This Row],[BIP (mrd.)]]*1000000000/Tabelle2[[#This Row],[Bevölkerung]]</calculatedColumnFormula>
    </tableColumn>
    <tableColumn id="5" xr3:uid="{C3AEADA4-3838-47AA-923D-D2B2A327E30E}" name="Urbanisierung" dataDxfId="134" totalsRowDxfId="133"/>
    <tableColumn id="6" xr3:uid="{0734A605-E46A-4DE9-B516-3F9F59107D37}" name="Fläche qkm" dataDxfId="132" totalsRowDxfId="131"/>
    <tableColumn id="7" xr3:uid="{D500DF5B-6513-46BE-A1F2-F130F16C7011}" name="Bevölkerung" dataDxfId="130" totalsRowDxfId="129"/>
    <tableColumn id="61" xr3:uid="{DFD9C8F1-6F1F-4A28-81DD-F75FD29A8E1D}" name="Strom (mrd.)" dataDxfId="128" totalsRowDxfId="127"/>
    <tableColumn id="62" xr3:uid="{206D1337-2D4B-437E-A225-E34C2773A969}" name="Strom pro Kopf" dataDxfId="126" totalsRowDxfId="125">
      <calculatedColumnFormula>Tabelle2[[#This Row],[Strom (mrd.)]]*1000000000/Tabelle2[[#This Row],[Bevölkerung]]</calculatedColumnFormula>
    </tableColumn>
    <tableColumn id="8" xr3:uid="{AC907340-165C-45DF-A8F0-B20CDE3F818A}" name="Wohnimmobilien Anzahl" dataDxfId="124" totalsRowDxfId="123"/>
    <tableColumn id="54" xr3:uid="{8AC8BBEC-FA45-40C0-B3D6-46AEF0E148FC}" name="Wohnimmobilien Anzahl geschätzt" dataDxfId="122" totalsRowDxfId="121">
      <calculatedColumnFormula>Tabelle2[[#This Row],[Wohnimmobilien Anzahl]]/Tabelle2[[#This Row],[Bevölkerung]]</calculatedColumnFormula>
    </tableColumn>
    <tableColumn id="55" xr3:uid="{7E3C9CCB-5330-43A7-BDA0-449D200A5943}" name="Differenz" dataDxfId="120" totalsRowDxfId="119">
      <calculatedColumnFormula>L2-K2</calculatedColumnFormula>
    </tableColumn>
    <tableColumn id="67" xr3:uid="{1CCB56A8-B071-4098-946D-3ABFE4CF805F}" name="Differenz in %" dataDxfId="118" totalsRowDxfId="117">
      <calculatedColumnFormula>IF(OR(K2=0,K2=""),"",(L2 - K2)/K2)</calculatedColumnFormula>
    </tableColumn>
    <tableColumn id="9" xr3:uid="{4FDE721C-751B-4224-BFC7-85B25C2488DF}" name="Wohnimmobilien m²" dataDxfId="116" totalsRowDxfId="115"/>
    <tableColumn id="10" xr3:uid="{DD740787-DE43-4D44-BA14-B4CD75735006}" name="belegte Wohnungen" dataDxfId="114" totalsRowDxfId="113"/>
    <tableColumn id="70" xr3:uid="{39A89D94-5B4E-4459-A157-2C0EEEA9FD00}" name="belegte Wohnungen geschätzt" dataDxfId="112" totalsRowDxfId="111">
      <calculatedColumnFormula>1000000*Tabelle2[[#This Row],[Bevölkerung]]*EXP(-17.8941+0.2965*LN((Tabelle2[[#This Row],[BIP (mrd.)]]*1000000000)/Tabelle2[[#This Row],[Bevölkerung]]))</calculatedColumnFormula>
    </tableColumn>
    <tableColumn id="69" xr3:uid="{226570D6-505D-47B2-88D8-1BEE87A8699F}" name="Differenz2" dataDxfId="110" totalsRowDxfId="109">
      <calculatedColumnFormula>IF(AND(ISNUMBER(P2), ISNUMBER(Q2)), P2-Q2, "")</calculatedColumnFormula>
    </tableColumn>
    <tableColumn id="68" xr3:uid="{1242B450-88E0-4DB1-9F69-ED406736469E}" name="Differenz in %2" dataDxfId="108" totalsRowDxfId="107">
      <calculatedColumnFormula>IF(OR(P2=0,P2=""),"",(Q2 - P2)/P2)</calculatedColumnFormula>
    </tableColumn>
    <tableColumn id="90" xr3:uid="{DE6D6450-94D8-4808-B071-AA8F8E2E5247}" name="belegte Wohnungen geschätzt2" dataDxfId="106" totalsRowDxfId="105">
      <calculatedColumnFormula>1000000*Tabelle2[[#This Row],[Bevölkerung]]*EXP(-14.22+0.2263*LN((Tabelle2[[#This Row],[BIP (mrd.)]]*1000000000)/Tabelle2[[#This Row],[Bevölkerung]]))</calculatedColumnFormula>
    </tableColumn>
    <tableColumn id="89" xr3:uid="{8E0C9CA6-584D-4689-8D42-F9368D63307D}" name="Differenz in %23" dataDxfId="104" totalsRowDxfId="103">
      <calculatedColumnFormula>IF(AND(ISNUMBER(P2), ISNUMBER(T2)), P2-T2, "")</calculatedColumnFormula>
    </tableColumn>
    <tableColumn id="88" xr3:uid="{C501F9B7-DCCF-40CB-9830-5C96ED348A40}" name="Differenz in %22" dataDxfId="102" totalsRowDxfId="101">
      <calculatedColumnFormula>IF(OR(P2=0,P2=""),"",(T2 - P2)/P2)</calculatedColumnFormula>
    </tableColumn>
    <tableColumn id="12" xr3:uid="{93F587CB-47B3-4ECD-BD59-4205478F5A54}" name="Einfamilienhauser Anzahl" dataDxfId="100" totalsRowDxfId="99"/>
    <tableColumn id="87" xr3:uid="{D992AD0D-46E8-488C-89A4-F9DDF5F08C45}" name="Einfamilienhaus geschätzt" dataDxfId="98" totalsRowDxfId="97"/>
    <tableColumn id="86" xr3:uid="{25A8BC00-6A0E-4F60-B4F8-DD21645480E3}" name="Differenz3" dataDxfId="96" totalsRowDxfId="95">
      <calculatedColumnFormula>IF(AND(ISNUMBER(W2), ISNUMBER(X2)), W2-X2, "")</calculatedColumnFormula>
    </tableColumn>
    <tableColumn id="85" xr3:uid="{8AEE39B8-C5C1-433E-BB03-5E190A3A850B}" name="Differenz in %3" dataDxfId="94" totalsRowDxfId="93">
      <calculatedColumnFormula>IF(OR(W2=0,W2=""),"",(X2 - W2)/W2)</calculatedColumnFormula>
    </tableColumn>
    <tableColumn id="13" xr3:uid="{88750D6A-2A07-4837-8380-E2DD19FCC907}" name="Einfamilienhauser m²" dataDxfId="92" totalsRowDxfId="91"/>
    <tableColumn id="14" xr3:uid="{5A621866-23CB-4386-8923-AB41012FF484}" name="Doppelhaushälfte Anzahl" dataDxfId="90" totalsRowDxfId="89"/>
    <tableColumn id="15" xr3:uid="{9D552733-FBBC-468D-97F6-0AC7F808C6AB}" name="Doppelhaushälte m²" dataDxfId="88" totalsRowDxfId="87"/>
    <tableColumn id="16" xr3:uid="{C007E3A8-FD2F-444F-952F-84D64B4F7076}" name="Reihenhäuser Anzahl" dataDxfId="86" totalsRowDxfId="85"/>
    <tableColumn id="17" xr3:uid="{AA61783E-5AEE-4D66-A3FA-0605690E7F77}" name="Reihenhäuser m²" dataDxfId="84" totalsRowDxfId="83"/>
    <tableColumn id="18" xr3:uid="{2C8EA87F-5D61-4C2A-8581-6A28DF602669}" name="Mehrfamilienhäuser Anzahl" dataDxfId="82" totalsRowDxfId="81"/>
    <tableColumn id="19" xr3:uid="{B56CAD76-083D-4F1E-ACDE-84C5E739AB0C}" name="Mehrfamilienhäuser m²" dataDxfId="80" totalsRowDxfId="79"/>
    <tableColumn id="57" xr3:uid="{35EE7235-EB3B-41FA-969E-FA1B7082229B}" name="OECD" dataDxfId="78" totalsRowDxfId="77"/>
    <tableColumn id="56" xr3:uid="{7C98B506-FADC-4450-8ED0-82B0BFE956B8}" name="WEB" dataDxfId="76" totalsRowDxfId="75"/>
    <tableColumn id="20" xr3:uid="{8D325019-2320-4075-90D9-3E79D9DB8D01}" name="Wohneinheiten Anzahl" dataDxfId="74" totalsRowDxfId="73"/>
    <tableColumn id="11" xr3:uid="{69BFE3B5-582D-4520-81AF-321942FB287F}" name="Wohneinheiten Anzahl geschätzt" dataDxfId="72">
      <calculatedColumnFormula>1000000*Tabelle2[[#This Row],[Bevölkerung]]*EXP(-17.5047+0.272*LN((Tabelle2[[#This Row],[BIP (mrd.)]]*1000000000)/Tabelle2[[#This Row],[Bevölkerung]]))+0.1526*Tabelle2[[#This Row],[Urbanisierung]]-0.0265*LN(MAX(Tabelle2[[#This Row],[Strom (mrd.)]],0.000000000001))</calculatedColumnFormula>
    </tableColumn>
    <tableColumn id="58" xr3:uid="{D64DC96B-B209-4E5A-B4FB-0F6550696088}" name="Differenz Wohneinheiten" dataDxfId="71" totalsRowDxfId="70">
      <calculatedColumnFormula>IF(AND(ISNUMBER(AJ2), ISNUMBER(AK2)), AJ2-AK2, "")</calculatedColumnFormula>
    </tableColumn>
    <tableColumn id="60" xr3:uid="{40D29E15-D676-4DCA-BA8B-873101FD7488}" name="Differenz Wohneinheiten %" dataDxfId="69" totalsRowDxfId="68">
      <calculatedColumnFormula>IF(OR(AJ2=0,AJ2=""),"",(AK2 - AJ2)/AJ2)</calculatedColumnFormula>
    </tableColumn>
    <tableColumn id="63" xr3:uid="{712AEC31-DDA1-4288-9168-7FE368C7DEE9}" name="Positive Diff" dataDxfId="67" totalsRowDxfId="66"/>
    <tableColumn id="21" xr3:uid="{6C7A233B-128B-4271-9103-C3ACB30F6B66}" name="Wohneinheiten m²" dataDxfId="65" totalsRowDxfId="64"/>
    <tableColumn id="22" xr3:uid="{F65297CF-5E53-44DA-B1F0-08EB95047B89}" name="Nicht Wohngebäude Anzahl" dataDxfId="63" totalsRowDxfId="62"/>
    <tableColumn id="23" xr3:uid="{C9A0547F-8FFA-43DF-8FCE-129C24118F33}" name="Nicht Wohngebäude m²" dataDxfId="61" totalsRowDxfId="60"/>
    <tableColumn id="24" xr3:uid="{95EA6F45-68D6-4AC1-AEB8-4501D2DF0565}" name="Gewerbeimmobilien Anzahl" dataDxfId="59" totalsRowDxfId="58"/>
    <tableColumn id="25" xr3:uid="{9F8DF859-CFB1-4009-88FC-78D33AF24F73}" name="Gewerbeimmobilien m²" dataDxfId="57" totalsRowDxfId="56"/>
    <tableColumn id="26" xr3:uid="{5E1C3AEE-8CBC-4ED7-8069-EC705C57CC55}" name="Büroimmobilien Anzahl" dataDxfId="55" totalsRowDxfId="54"/>
    <tableColumn id="27" xr3:uid="{593289FF-2248-487D-94B6-DC7382499D17}" name="Büroimmobilien m²" dataDxfId="53" totalsRowDxfId="52"/>
    <tableColumn id="28" xr3:uid="{7194B89F-E06D-44A5-9F49-C825195B1B01}" name="Handelsimmobilien Anzahl" dataDxfId="51" totalsRowDxfId="50"/>
    <tableColumn id="29" xr3:uid="{AE26C104-46F3-4E43-8A25-731AE5DC8A1F}" name="Handelsimmobilien m²" dataDxfId="49" totalsRowDxfId="48"/>
    <tableColumn id="30" xr3:uid="{ADB9AB1A-1162-448F-BC6E-051B8E6059E3}" name="Produktionsgebäude Anzahl" dataDxfId="47" totalsRowDxfId="46"/>
    <tableColumn id="31" xr3:uid="{43BCAC50-4F36-4A97-80E1-2195479FDC3D}" name="Produktionsgebäude m²" dataDxfId="45" totalsRowDxfId="44"/>
    <tableColumn id="32" xr3:uid="{FDA2AB14-0A41-4AE9-A9D1-3E3B7BAB6A27}" name="Sonderimmobilien Anzahl" dataDxfId="43" totalsRowDxfId="42"/>
    <tableColumn id="33" xr3:uid="{4117298C-1D38-4E56-ACA8-C2B028F53B31}" name="Sonderimmobilien m²" dataDxfId="41" totalsRowDxfId="40"/>
    <tableColumn id="34" xr3:uid="{6E91DAE8-5D89-4CE2-BBD1-4A0DB750C6B0}" name="öffentliche Verwaltungsgebäude Anzahl" dataDxfId="39" totalsRowDxfId="38"/>
    <tableColumn id="35" xr3:uid="{3942EEFB-DD2A-4A9F-9D4B-D80C8EB065EC}" name="öffentliche Verwaltungsgebäude m²" dataDxfId="37" totalsRowDxfId="36"/>
    <tableColumn id="36" xr3:uid="{ADE404DC-5EA8-48C7-B1F0-A7B9097D34C2}" name="Büro incl. Verwaltungsgebäude" dataDxfId="35" totalsRowDxfId="34"/>
    <tableColumn id="37" xr3:uid="{836108AB-AD58-45E9-A9DD-DD41D27DFC8A}" name="Seniorenimmobilien Anzahl" dataDxfId="33" totalsRowDxfId="32"/>
    <tableColumn id="38" xr3:uid="{CFC8B2C7-AFD0-4BDF-8771-40180752253F}" name="Seniorenimmobilien m²" dataDxfId="31" totalsRowDxfId="30"/>
    <tableColumn id="39" xr3:uid="{0F20B2C7-6CE3-4FC4-BCDB-9CC94CB815AA}" name="Gesundheit und Pflege Anzahl" dataDxfId="29" totalsRowDxfId="28"/>
    <tableColumn id="40" xr3:uid="{1F61A020-A6DA-4789-BAF5-66F3124DC4E4}" name="Gesundheit und Pflege m²" dataDxfId="27" totalsRowDxfId="26"/>
    <tableColumn id="41" xr3:uid="{BCEF1BF1-A0D4-4F2C-95A0-7ED0A3FDBDB5}" name="Sport- und Freizeitimmobilien Anzahl" dataDxfId="25" totalsRowDxfId="24"/>
    <tableColumn id="42" xr3:uid="{C8E486EB-9F66-4B1F-B216-B998AFA1E137}" name="Sport- und Freizeitimmobilien m²" dataDxfId="23" totalsRowDxfId="22"/>
    <tableColumn id="43" xr3:uid="{279C9568-B9C7-483F-81E2-01CB578236F5}" name="Hotels/Pensionen Anzahl" dataDxfId="21" totalsRowDxfId="20"/>
    <tableColumn id="44" xr3:uid="{2441026D-0ED1-4CA0-BE9A-4BF190D1B30D}" name="Hotels/Pensionen m²" dataDxfId="19" totalsRowDxfId="18"/>
    <tableColumn id="45" xr3:uid="{DB1D8910-4589-4F87-A6AE-40565096F621}" name="Restaurants/Gaststätten Anzahl" dataDxfId="17" totalsRowDxfId="16"/>
    <tableColumn id="46" xr3:uid="{9302B388-05FC-4809-B36A-A3F30CE8599C}" name="Restaurants/Gaststätten m²" dataDxfId="15" totalsRowDxfId="14"/>
    <tableColumn id="47" xr3:uid="{6BA44A1C-1A9F-4E99-8262-F4453614C343}" name="Garagen Anzahl" dataDxfId="13" totalsRowDxfId="12"/>
    <tableColumn id="48" xr3:uid="{8F1D267F-CED9-4D38-A668-BE28A5D7AC3E}" name="Garagen m²" dataDxfId="11" totalsRowDxfId="10"/>
    <tableColumn id="49" xr3:uid="{12D16D33-64BA-4198-86B9-A13F712B48CE}" name="Immobilien gesamt Anzahl" dataDxfId="9" totalsRowDxfId="8"/>
    <tableColumn id="50" xr3:uid="{DC1B7C9B-6D5C-4097-9D62-6E93375A87B9}" name="Immobilien gesamt m²" dataDxfId="7" totalsRowDxfId="6"/>
    <tableColumn id="51" xr3:uid="{D4D73227-CBB4-4005-B485-85EAAC6649E0}" name="Quelle" dataDxfId="5" totalsRowDxfId="4"/>
    <tableColumn id="52" xr3:uid="{353AD1B1-34F8-49E3-9BB9-CF0C2FD82E3D}" name="Datentransparenz" dataDxfId="3" totalsRowDxfId="2"/>
    <tableColumn id="53" xr3:uid="{E8A7EDB3-75C0-44C9-81B3-B0D55182CFBA}" name="Kommentar" dataDxfId="1" totalsRow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data.stat.gov.rs/Home/Result/3104040101?languageCode=en-US" TargetMode="External"/><Relationship Id="rId21" Type="http://schemas.openxmlformats.org/officeDocument/2006/relationships/hyperlink" Target="https://www.stat.gov.mk/publikacii/2022/POPIS_DZS_web_EN.pdf" TargetMode="External"/><Relationship Id="rId42" Type="http://schemas.openxmlformats.org/officeDocument/2006/relationships/hyperlink" Target="https://statbank.armstat.am/pxweb/hy/ArmStatBank/ArmStatBank__2%20Population%20and%20social%20processes__26%20Housing__261%20Bnakfond/PS-hs-bn01.px/table/tableViewLayout1/?rxid=9ba7b0d1-2ff8-40fa-a309-fae01ea885bb" TargetMode="External"/><Relationship Id="rId63" Type="http://schemas.openxmlformats.org/officeDocument/2006/relationships/hyperlink" Target="https://www.datanwg.de/fileadmin/user/iwu/210428_IWU_PT_dataNWG_DatenundFakten.pdf" TargetMode="External"/><Relationship Id="rId84" Type="http://schemas.openxmlformats.org/officeDocument/2006/relationships/hyperlink" Target="https://www.stat.go.jp/data/jyutaku/2023/pdf/kihon_gaiyou.pdf" TargetMode="External"/><Relationship Id="rId16" Type="http://schemas.openxmlformats.org/officeDocument/2006/relationships/hyperlink" Target="https://www.cbs.nl/en-gb/figures/detail/81955ENG" TargetMode="External"/><Relationship Id="rId107" Type="http://schemas.openxmlformats.org/officeDocument/2006/relationships/hyperlink" Target="https://publications.tno.nl/publication/34642169/Jxpdb1/TNO-2023-P12777.pdf" TargetMode="External"/><Relationship Id="rId11" Type="http://schemas.openxmlformats.org/officeDocument/2006/relationships/hyperlink" Target="https://www.iwu.de/fileadmin/publikationen/gebaeudebestand/2022_IWU_HoernerEtBischof_WorkingPaper_Typologie-der-Nichtwohngebaeude-Deutschlands.pdf" TargetMode="External"/><Relationship Id="rId32" Type="http://schemas.openxmlformats.org/officeDocument/2006/relationships/hyperlink" Target="https://www.iwu.de/fileadmin/publikationen/gebaeudebestand/2022_IWU_HoernerEtBischof_WorkingPaper_Typologie-der-Nichtwohngebaeude-Deutschlands.pdf" TargetMode="External"/><Relationship Id="rId37" Type="http://schemas.openxmlformats.org/officeDocument/2006/relationships/hyperlink" Target="https://databaza.instat.gov.al:8083/pxweb/en/DST/START__Census2023__Cens/CE341/table/tableViewLayout1/" TargetMode="External"/><Relationship Id="rId53" Type="http://schemas.openxmlformats.org/officeDocument/2006/relationships/hyperlink" Target="https://sib.org.bz/census/2022-census/" TargetMode="External"/><Relationship Id="rId58" Type="http://schemas.openxmlformats.org/officeDocument/2006/relationships/hyperlink" Target="https://www.ine.gob.cl/estadisticas/sociales/censos-de-poblacion-y-vivienda" TargetMode="External"/><Relationship Id="rId74" Type="http://schemas.openxmlformats.org/officeDocument/2006/relationships/hyperlink" Target="https://statisticsguyana.gov.gy/wp-content/uploads/2019/10/Final_2012_Census_Compendium5.pdf" TargetMode="External"/><Relationship Id="rId79" Type="http://schemas.openxmlformats.org/officeDocument/2006/relationships/hyperlink" Target="https://www.cso.ie/en/releasesandpublications/ep/p-cpp2/censusofpopulation2022profile2-housinginireland/keyfindings/" TargetMode="External"/><Relationship Id="rId102" Type="http://schemas.openxmlformats.org/officeDocument/2006/relationships/hyperlink" Target="https://statistica.gov.md/en/population-and-housing-census-in-2014-122.html" TargetMode="External"/><Relationship Id="rId123" Type="http://schemas.openxmlformats.org/officeDocument/2006/relationships/hyperlink" Target="https://www.stat.si/StatWeb/en/News/Index/10265" TargetMode="External"/><Relationship Id="rId128" Type="http://schemas.openxmlformats.org/officeDocument/2006/relationships/hyperlink" Target="https://www.ins.tn/enquetes/recensement-general-de-la-population-et-de-lhabitat-2014" TargetMode="External"/><Relationship Id="rId5" Type="http://schemas.openxmlformats.org/officeDocument/2006/relationships/hyperlink" Target="https://www.statistischebibliothek.de/mir/servlets/MCRFileNodeServlet/DEHeft_derivate_00074102/5312301217004_Korr_01122022.pdf" TargetMode="External"/><Relationship Id="rId90" Type="http://schemas.openxmlformats.org/officeDocument/2006/relationships/hyperlink" Target="https://www150.statcan.gc.ca/t1/tbl1/en/tv.action?pid=9810000101" TargetMode="External"/><Relationship Id="rId95" Type="http://schemas.openxmlformats.org/officeDocument/2006/relationships/hyperlink" Target="https://osp.stat.gov.lt/en/2021-gyventoju-ir-bustu-surasymo-rezultatai/bustai" TargetMode="External"/><Relationship Id="rId22" Type="http://schemas.openxmlformats.org/officeDocument/2006/relationships/hyperlink" Target="https://www.nis.gov.kh/nis/Census2019/Final%20General%20Population%20Census%202019-English.pdf" TargetMode="External"/><Relationship Id="rId27" Type="http://schemas.openxmlformats.org/officeDocument/2006/relationships/hyperlink" Target="https://www.onei.gob.cu/sites/default/files/publicaciones/2023-05/censo_2012_0.pdf" TargetMode="External"/><Relationship Id="rId43" Type="http://schemas.openxmlformats.org/officeDocument/2006/relationships/hyperlink" Target="https://www.azstat.gov.az/portal/tblInfo/TblInfoList.do;JSESSIONID=BC58F109128172B968764BB4F048E40F" TargetMode="External"/><Relationship Id="rId48" Type="http://schemas.openxmlformats.org/officeDocument/2006/relationships/hyperlink" Target="https://stats.gov.bs/data/housing/2010-census-building-and-housing-stock/" TargetMode="External"/><Relationship Id="rId64" Type="http://schemas.openxmlformats.org/officeDocument/2006/relationships/hyperlink" Target="https://www.censoecuador.gob.ec/" TargetMode="External"/><Relationship Id="rId69" Type="http://schemas.openxmlformats.org/officeDocument/2006/relationships/hyperlink" Target="https://instatgabon.org/uploads/folder_1/RESULTATS-GLOBAUX-RGPL2013-OK_DECEMBRE-2015-1.pdf" TargetMode="External"/><Relationship Id="rId113" Type="http://schemas.openxmlformats.org/officeDocument/2006/relationships/hyperlink" Target="https://www.recensamantromania.ro/rezultate-rpl-2021/rezultate-definitive/" TargetMode="External"/><Relationship Id="rId118" Type="http://schemas.openxmlformats.org/officeDocument/2006/relationships/hyperlink" Target="https://popis2022.stat.gov.rs/en-us/5-vestisaopstenja/news-events/20230518-kpbripovrsinasj/" TargetMode="External"/><Relationship Id="rId134" Type="http://schemas.openxmlformats.org/officeDocument/2006/relationships/hyperlink" Target="https://data.worldbank.org/indicator/SP.POP.TOTL?end=2024&amp;start=1969" TargetMode="External"/><Relationship Id="rId80" Type="http://schemas.openxmlformats.org/officeDocument/2006/relationships/hyperlink" Target="https://www.cso.ie/en/releasesandpublications/ep/p-cpp2/censusofpopulation2022profile2-housinginireland/keyfindings/" TargetMode="External"/><Relationship Id="rId85" Type="http://schemas.openxmlformats.org/officeDocument/2006/relationships/hyperlink" Target="https://www.stat.go.jp/data/jyutaku/2023/pdf/kihon_gaiyou.pdf" TargetMode="External"/><Relationship Id="rId12" Type="http://schemas.openxmlformats.org/officeDocument/2006/relationships/hyperlink" Target="https://www.iwu.de/fileadmin/publikationen/gebaeudebestand/2022_IWU_HoernerEtBischof_WorkingPaper_Typologie-der-Nichtwohngebaeude-Deutschlands.pdf%20S.%209" TargetMode="External"/><Relationship Id="rId17" Type="http://schemas.openxmlformats.org/officeDocument/2006/relationships/hyperlink" Target="https://www.ine.pt/ngt_server/attachfileu.jsp?att_display=n&amp;att_download=y&amp;look_parentBoui=597930440" TargetMode="External"/><Relationship Id="rId33" Type="http://schemas.openxmlformats.org/officeDocument/2006/relationships/hyperlink" Target="https://statinja.gov.jm/Census/PopCensus/Completed/NumberofDwellingUnitsbyParish.aspx" TargetMode="External"/><Relationship Id="rId38" Type="http://schemas.openxmlformats.org/officeDocument/2006/relationships/hyperlink" Target="https://www.elibrary.imf.org/view/journals/002/2024/058/article-A001-en.xml" TargetMode="External"/><Relationship Id="rId59" Type="http://schemas.openxmlformats.org/officeDocument/2006/relationships/hyperlink" Target="https://stats.gov.ck/2021-census-of-population-and-dwellings/" TargetMode="External"/><Relationship Id="rId103" Type="http://schemas.openxmlformats.org/officeDocument/2006/relationships/hyperlink" Target="https://www.monstat.org/userfiles/file/popis2011/saopstenje/Dwellings%20by%20floor%20area%20and%20number%20of%20rooms%20PDF.pdf" TargetMode="External"/><Relationship Id="rId108" Type="http://schemas.openxmlformats.org/officeDocument/2006/relationships/hyperlink" Target="https://www.ssb.no/en/bygg-bolig-og-eiendom/bygg-og-anlegg/statistikk/bygningsmassen" TargetMode="External"/><Relationship Id="rId124" Type="http://schemas.openxmlformats.org/officeDocument/2006/relationships/hyperlink" Target="https://www.ine.es/Censo2021/Informe.do" TargetMode="External"/><Relationship Id="rId129" Type="http://schemas.openxmlformats.org/officeDocument/2006/relationships/hyperlink" Target="https://www.ksh.hu/evkonyvek/2023/teruleti-statisztikai-evkonyv-2023/pdf/terstat_2023_3_3.pdf" TargetMode="External"/><Relationship Id="rId54" Type="http://schemas.openxmlformats.org/officeDocument/2006/relationships/hyperlink" Target="https://fzs.ba/wp-content/uploads/2016/06/Preliminarni_rezultati_bos.pdf" TargetMode="External"/><Relationship Id="rId70" Type="http://schemas.openxmlformats.org/officeDocument/2006/relationships/hyperlink" Target="https://www.geostat.ge/en/modules/categories/745/living-conditions" TargetMode="External"/><Relationship Id="rId75" Type="http://schemas.openxmlformats.org/officeDocument/2006/relationships/hyperlink" Target="https://ihsi.gouv.ht/public/tableau/images/tableau%20105.jpg" TargetMode="External"/><Relationship Id="rId91" Type="http://schemas.openxmlformats.org/officeDocument/2006/relationships/hyperlink" Target="https://www.dane.gov.co/index.php/estadisticas-por-tema/demografia-y-poblacion/censo-nacional-de-poblacion-y-vivenda-2018" TargetMode="External"/><Relationship Id="rId96" Type="http://schemas.openxmlformats.org/officeDocument/2006/relationships/hyperlink" Target="https://napic2.jpph.gov.my/storage/app/media/3-penerbitan/Shahrul/Bahagian%20Inventori%20Harta%20Tanah/Laporan%20Jadual%20Stok%20Harta%20Tanah/Q4%202024%20Full%20Year%202024/Laporan%20Stok%20Harta%20Tanah%202024.pdf" TargetMode="External"/><Relationship Id="rId1" Type="http://schemas.openxmlformats.org/officeDocument/2006/relationships/hyperlink" Target="https://www.statistischebibliothek.de/mir/servlets/MCRFileNodeServlet/DEHeft_derivate_00074102/5312301217004_Korr_01122022.pdf" TargetMode="External"/><Relationship Id="rId6" Type="http://schemas.openxmlformats.org/officeDocument/2006/relationships/hyperlink" Target="https://www.statistischebibliothek.de/mir/servlets/MCRFileNodeServlet/DEHeft_derivate_00074102/5312301217004_Korr_01122022.pdf" TargetMode="External"/><Relationship Id="rId23" Type="http://schemas.openxmlformats.org/officeDocument/2006/relationships/hyperlink" Target="https://www.gbosdata.org/downloads/157-2024-population-and-housing-census" TargetMode="External"/><Relationship Id="rId28" Type="http://schemas.openxmlformats.org/officeDocument/2006/relationships/hyperlink" Target="https://www.onei.gob.cu/sites/default/files/publicaciones/2023-05/censo_2012_0.pdf" TargetMode="External"/><Relationship Id="rId49" Type="http://schemas.openxmlformats.org/officeDocument/2006/relationships/hyperlink" Target="https://stats.gov.bs/data/housing/2010-census-building-and-housing-stock/" TargetMode="External"/><Relationship Id="rId114" Type="http://schemas.openxmlformats.org/officeDocument/2006/relationships/hyperlink" Target="https://www.bfs.admin.ch/news/en/2024-0526" TargetMode="External"/><Relationship Id="rId119" Type="http://schemas.openxmlformats.org/officeDocument/2006/relationships/hyperlink" Target="https://data.gov.sg/datasets/d_6c58a523a05b55836f383fa2a68d332d/view" TargetMode="External"/><Relationship Id="rId44" Type="http://schemas.openxmlformats.org/officeDocument/2006/relationships/hyperlink" Target="https://www.azstat.gov.az/portal/tblInfo/TblInfoList.do;JSESSIONID=BC58F109128172B968764BB4F048E40F" TargetMode="External"/><Relationship Id="rId60" Type="http://schemas.openxmlformats.org/officeDocument/2006/relationships/hyperlink" Target="https://admin.inec.cr/sites/default/files/2023-07/rePoblacResultadosGenerales_Estimacion_poblacion_vivienda_2022.pdf" TargetMode="External"/><Relationship Id="rId65" Type="http://schemas.openxmlformats.org/officeDocument/2006/relationships/hyperlink" Target="https://censo2024.ine.gob.cl/resultados-dashboard/" TargetMode="External"/><Relationship Id="rId81" Type="http://schemas.openxmlformats.org/officeDocument/2006/relationships/hyperlink" Target="https://www.seai.ie/sites/default/files/publications/Extensive-Survey-of-Commercial-Buildings-Stock-in-the-Republic-of-Ireland.pdf" TargetMode="External"/><Relationship Id="rId86" Type="http://schemas.openxmlformats.org/officeDocument/2006/relationships/hyperlink" Target="https://www.stat.go.jp/data/jyutaku/2023/pdf/kihon_gaiyou.pdf" TargetMode="External"/><Relationship Id="rId130" Type="http://schemas.openxmlformats.org/officeDocument/2006/relationships/hyperlink" Target="https://www.gub.uy/instituto-nacional-estadistica/censos2023pvh" TargetMode="External"/><Relationship Id="rId135" Type="http://schemas.openxmlformats.org/officeDocument/2006/relationships/hyperlink" Target="https://data.worldbank.org/indicator/SP.POP.TOTL?end=2024&amp;start=1963" TargetMode="External"/><Relationship Id="rId13" Type="http://schemas.openxmlformats.org/officeDocument/2006/relationships/hyperlink" Target="https://www.iwu.de/fileadmin/publikationen/gebaeudebestand/2022_IWU_HoernerEtBischof_WorkingPaper_Typologie-der-Nichtwohngebaeude-Deutschlands.pdf%20S.%209" TargetMode="External"/><Relationship Id="rId18" Type="http://schemas.openxmlformats.org/officeDocument/2006/relationships/hyperlink" Target="https://www.ine.pt/ngt_server/attachfileu.jsp?att_display=n&amp;att_download=y&amp;look_parentBoui=597930440" TargetMode="External"/><Relationship Id="rId39" Type="http://schemas.openxmlformats.org/officeDocument/2006/relationships/hyperlink" Target="https://www.ine.gov.ao/Arquivos/arquivosCarregados/Carregados/Publicacao_637981512172633350.pdf" TargetMode="External"/><Relationship Id="rId109" Type="http://schemas.openxmlformats.org/officeDocument/2006/relationships/hyperlink" Target="https://www.statistik.at/fileadmin/user_upload/Zensus-GWZ-2021.pdf" TargetMode="External"/><Relationship Id="rId34" Type="http://schemas.openxmlformats.org/officeDocument/2006/relationships/hyperlink" Target="https://energy.ec.europa.eu/topics/energy-efficiency/energy-performance-buildings/eu-building-stock-observatory_en" TargetMode="External"/><Relationship Id="rId50" Type="http://schemas.openxmlformats.org/officeDocument/2006/relationships/hyperlink" Target="https://www.data.gov.bh/explore/embed/dataset/housing-units-by-housing-type-and-occupancy-census-2020/table/" TargetMode="External"/><Relationship Id="rId55" Type="http://schemas.openxmlformats.org/officeDocument/2006/relationships/hyperlink" Target="https://deps.mofe.gov.bn/DEPD%20Documents%20Library/DOS/POP/2021/RPT.pdf" TargetMode="External"/><Relationship Id="rId76" Type="http://schemas.openxmlformats.org/officeDocument/2006/relationships/hyperlink" Target="https://temp.ine.gob.hn/wp-content/uploads/2025/02/Tomo-2-Caracteristicas-generales-de-la-vivienda-2013.pdf" TargetMode="External"/><Relationship Id="rId97" Type="http://schemas.openxmlformats.org/officeDocument/2006/relationships/hyperlink" Target="https://www.nsomalawi.mw/census/2018" TargetMode="External"/><Relationship Id="rId104" Type="http://schemas.openxmlformats.org/officeDocument/2006/relationships/hyperlink" Target="https://www.stats.govt.nz/infographics/housing-in-aotearoa-new-zealand/" TargetMode="External"/><Relationship Id="rId120" Type="http://schemas.openxmlformats.org/officeDocument/2006/relationships/hyperlink" Target="https://stats.jtc.gov.sg/content/static/Documents/Quarterly%20Market%20Report%202025Q1.pdf" TargetMode="External"/><Relationship Id="rId125" Type="http://schemas.openxmlformats.org/officeDocument/2006/relationships/hyperlink" Target="https://fred.stlouisfed.org/series/ETOTALUSQ176N" TargetMode="External"/><Relationship Id="rId7" Type="http://schemas.openxmlformats.org/officeDocument/2006/relationships/hyperlink" Target="https://www.statistischebibliothek.de/mir/servlets/MCRFileNodeServlet/DEHeft_derivate_00074102/5312301217004_Korr_01122022.pdf" TargetMode="External"/><Relationship Id="rId71" Type="http://schemas.openxmlformats.org/officeDocument/2006/relationships/hyperlink" Target="https://www.statsghana.gov.gh/gssmain/fileUpload/pressrelease/Volume%203K_Housing%20Characteristics_240222.pdf" TargetMode="External"/><Relationship Id="rId92" Type="http://schemas.openxmlformats.org/officeDocument/2006/relationships/hyperlink" Target="https://dzs.gov.hr/news/number-of-occupied-dwellings-decreases-by-4-2-number-of-temporarily-unoccupied-dwellings-increases-by-43/1734?" TargetMode="External"/><Relationship Id="rId2" Type="http://schemas.openxmlformats.org/officeDocument/2006/relationships/hyperlink" Target="https://www.statistischebibliothek.de/mir/servlets/MCRFileNodeServlet/DEHeft_derivate_00074102/5312301217004_Korr_01122022.pdf" TargetMode="External"/><Relationship Id="rId29" Type="http://schemas.openxmlformats.org/officeDocument/2006/relationships/hyperlink" Target="https://www.seai.ie/sites/default/files/publications/Extensive-Survey-of-Commercial-Buildings-Stock-in-the-Republic-of-Ireland.pdf" TargetMode="External"/><Relationship Id="rId24" Type="http://schemas.openxmlformats.org/officeDocument/2006/relationships/hyperlink" Target="https://oee.nrcan.gc.ca/corporate/statistics/neud/dpa/showTable.cfm?type=SC&amp;sector=aaa&amp;juris=ca&amp;year=2019&amp;rn=1&amp;page=1" TargetMode="External"/><Relationship Id="rId40" Type="http://schemas.openxmlformats.org/officeDocument/2006/relationships/hyperlink" Target="https://www.indec.gob.ar/indec/web/Nivel4-Tema-2-41-165" TargetMode="External"/><Relationship Id="rId45" Type="http://schemas.openxmlformats.org/officeDocument/2006/relationships/hyperlink" Target="https://ess.gov.et/wp-content/uploads/2007/09/Population-and-Housing-Census-2007-National_Statistical.pdf" TargetMode="External"/><Relationship Id="rId66" Type="http://schemas.openxmlformats.org/officeDocument/2006/relationships/hyperlink" Target="https://stat.ee/en/node/258644" TargetMode="External"/><Relationship Id="rId87" Type="http://schemas.openxmlformats.org/officeDocument/2006/relationships/hyperlink" Target="https://www.stat.go.jp/data/jyutaku/2023/pdf/kihon_gaiyou.pdf" TargetMode="External"/><Relationship Id="rId110" Type="http://schemas.openxmlformats.org/officeDocument/2006/relationships/hyperlink" Target="https://www.ine.gov.py/censo2022/documentos/2%20resultados%20finales%20viviendas.pdf" TargetMode="External"/><Relationship Id="rId115" Type="http://schemas.openxmlformats.org/officeDocument/2006/relationships/hyperlink" Target="https://www.bfs.admin.ch/bfs/en/home/news/whats-new.assetdetail.32381408.html" TargetMode="External"/><Relationship Id="rId131" Type="http://schemas.openxmlformats.org/officeDocument/2006/relationships/hyperlink" Target="https://www.communities-ni.gov.uk/publications/northern-ireland-housing-statistics-2023-24" TargetMode="External"/><Relationship Id="rId61" Type="http://schemas.openxmlformats.org/officeDocument/2006/relationships/hyperlink" Target="https://www.dst.dk/en/Statistik/emner/borgere/boligforhold/boligbestanden" TargetMode="External"/><Relationship Id="rId82" Type="http://schemas.openxmlformats.org/officeDocument/2006/relationships/hyperlink" Target="https://www.statice.is/publications/news-archive/census/census-2021-housing/" TargetMode="External"/><Relationship Id="rId19" Type="http://schemas.openxmlformats.org/officeDocument/2006/relationships/hyperlink" Target="https://www.stats.govt.nz/infographics/housing-in-aotearoa-new-zealand/" TargetMode="External"/><Relationship Id="rId14" Type="http://schemas.openxmlformats.org/officeDocument/2006/relationships/hyperlink" Target="https://www.statistischebibliothek.de/mir/servlets/MCRFileNodeServlet/DEHeft_derivate_00074102/5312301217004_Korr_01122022.pdf" TargetMode="External"/><Relationship Id="rId30" Type="http://schemas.openxmlformats.org/officeDocument/2006/relationships/hyperlink" Target="https://www.laplacedelimmobilier.com/wp-content/uploads/2023/12/202311_ArticleReflexionImmo_ConnaitreleParc.pdf" TargetMode="External"/><Relationship Id="rId35" Type="http://schemas.openxmlformats.org/officeDocument/2006/relationships/hyperlink" Target="https://www.ons.dz/IMG/pdf/AnRes10-12No30.pdf" TargetMode="External"/><Relationship Id="rId56" Type="http://schemas.openxmlformats.org/officeDocument/2006/relationships/hyperlink" Target="https://www.nsi.bg/en/statistical-data/244/786" TargetMode="External"/><Relationship Id="rId77" Type="http://schemas.openxmlformats.org/officeDocument/2006/relationships/hyperlink" Target="https://sensus.bps.go.id/topik/tabular/sp2022/181/1/0" TargetMode="External"/><Relationship Id="rId100" Type="http://schemas.openxmlformats.org/officeDocument/2006/relationships/hyperlink" Target="https://statsmauritius.govmu.org/Pages/Censuses%20and%20Surveys/Census/2022_Housing_census_Main_results.aspx" TargetMode="External"/><Relationship Id="rId105" Type="http://schemas.openxmlformats.org/officeDocument/2006/relationships/hyperlink" Target="https://www.cbs.nl/en-gb/figures/detail/81955ENG" TargetMode="External"/><Relationship Id="rId126" Type="http://schemas.openxmlformats.org/officeDocument/2006/relationships/hyperlink" Target="https://www.nbs.go.tz/uploads/statistics/documents/en-1719124055-04.%20Building_Census2022_English08April.pdf" TargetMode="External"/><Relationship Id="rId8" Type="http://schemas.openxmlformats.org/officeDocument/2006/relationships/hyperlink" Target="https://www.iwu.de/fileadmin/publikationen/gebaeudebestand/2022_IWU_HoernerEtBischof_WorkingPaper_Typologie-der-Nichtwohngebaeude-Deutschlands.pdf" TargetMode="External"/><Relationship Id="rId51" Type="http://schemas.openxmlformats.org/officeDocument/2006/relationships/hyperlink" Target="https://stats.gov.bs/data/housing/2010-census-building-and-housing-stock/" TargetMode="External"/><Relationship Id="rId72" Type="http://schemas.openxmlformats.org/officeDocument/2006/relationships/hyperlink" Target="https://stats.gov.gd/wp-content/uploads/2021/03/Census-Report-2011-Revised-Final.pdf" TargetMode="External"/><Relationship Id="rId93" Type="http://schemas.openxmlformats.org/officeDocument/2006/relationships/hyperlink" Target="https://stat.gov.lv/en/statistics-themes/population/housing/press-releases/7126-housing-characteristics-1-january-2021?themeCode=MA" TargetMode="External"/><Relationship Id="rId98" Type="http://schemas.openxmlformats.org/officeDocument/2006/relationships/hyperlink" Target="https://statisticsmaldives.gov.mv/nbs/wp-content/uploads/2016/07/Statistical-Release-IV-Housing-FINAL-1.pdf" TargetMode="External"/><Relationship Id="rId121" Type="http://schemas.openxmlformats.org/officeDocument/2006/relationships/hyperlink" Target="https://www.scitanie.sk/en" TargetMode="External"/><Relationship Id="rId3" Type="http://schemas.openxmlformats.org/officeDocument/2006/relationships/hyperlink" Target="https://www.statistischebibliothek.de/mir/servlets/MCRFileNodeServlet/DEHeft_derivate_00074102/5312301217004_Korr_01122022.pdf" TargetMode="External"/><Relationship Id="rId25" Type="http://schemas.openxmlformats.org/officeDocument/2006/relationships/hyperlink" Target="https://www.eia.gov/consumption/commercial/data/2018/pdf/CBECS_2018_Building_Characteristics_Flipbook.pdf" TargetMode="External"/><Relationship Id="rId46" Type="http://schemas.openxmlformats.org/officeDocument/2006/relationships/hyperlink" Target="https://www.abs.gov.au/statistics/people/housing/housing-census/latest-release?utm_source" TargetMode="External"/><Relationship Id="rId67" Type="http://schemas.openxmlformats.org/officeDocument/2006/relationships/hyperlink" Target="https://experience.arcgis.com/experience/d1d9906347d14c68942c58738a39dfa9" TargetMode="External"/><Relationship Id="rId116" Type="http://schemas.openxmlformats.org/officeDocument/2006/relationships/hyperlink" Target="https://www.bfs.admin.ch/bfs/en/home/news/whats-new.assetdetail.32381408.html" TargetMode="External"/><Relationship Id="rId20" Type="http://schemas.openxmlformats.org/officeDocument/2006/relationships/hyperlink" Target="https://stat.ee/en/node/258644" TargetMode="External"/><Relationship Id="rId41" Type="http://schemas.openxmlformats.org/officeDocument/2006/relationships/hyperlink" Target="https://statbank.armstat.am/pxweb/hy/ArmStatBank/ArmStatBank__2%20Population%20and%20social%20processes__26%20Housing__261%20Bnakfond/PS-hs-bn29.px/table/tableViewLayout1/?rxid=9ba7b0d1-2ff8-40fa-a309-fae01ea885bb" TargetMode="External"/><Relationship Id="rId62" Type="http://schemas.openxmlformats.org/officeDocument/2006/relationships/hyperlink" Target="https://www.dst.dk/en/Statistik/emner/borgere/boligforhold/boligbestanden" TargetMode="External"/><Relationship Id="rId83" Type="http://schemas.openxmlformats.org/officeDocument/2006/relationships/hyperlink" Target="https://www.istat.it/comunicato-stampa/censimento-permanente-2021-caratteristiche-delle-abitazioni/" TargetMode="External"/><Relationship Id="rId88" Type="http://schemas.openxmlformats.org/officeDocument/2006/relationships/hyperlink" Target="https://dosweb.dos.gov.jo/DataBank/Census2015/HousingUnits/Housing_2.1.pdf" TargetMode="External"/><Relationship Id="rId111" Type="http://schemas.openxmlformats.org/officeDocument/2006/relationships/hyperlink" Target="https://www.inei.gob.pe/media/MenuRecursivo/publicaciones_digitales/Est/Lib1544/" TargetMode="External"/><Relationship Id="rId132" Type="http://schemas.openxmlformats.org/officeDocument/2006/relationships/hyperlink" Target="https://library.cystat.gov.cy/NEW/Census2021-Preliminary_Results-EN-040823.pdf" TargetMode="External"/><Relationship Id="rId15" Type="http://schemas.openxmlformats.org/officeDocument/2006/relationships/hyperlink" Target="https://www.statistischebibliothek.de/mir/servlets/MCRFileNodeServlet/DEHeft_derivate_00074102/5312301217004_Korr_01122022.pdf%20S.16" TargetMode="External"/><Relationship Id="rId36" Type="http://schemas.openxmlformats.org/officeDocument/2006/relationships/hyperlink" Target="https://databaza.instat.gov.al:8083/pxweb/en/DST/START__Census2023__Cens/CE32/table/tableViewLayout1/" TargetMode="External"/><Relationship Id="rId57" Type="http://schemas.openxmlformats.org/officeDocument/2006/relationships/hyperlink" Target="https://web2.insd.bf/sites/default/files/2023-08/INSD_Rapport_SYNTHESE%20DES%20RESULTATS%20DEFINITIFS_1.pdf" TargetMode="External"/><Relationship Id="rId106" Type="http://schemas.openxmlformats.org/officeDocument/2006/relationships/hyperlink" Target="https://www.cbs.nl/en-gb/figures/detail/81955ENG" TargetMode="External"/><Relationship Id="rId127" Type="http://schemas.openxmlformats.org/officeDocument/2006/relationships/hyperlink" Target="https://scitani.gov.cz/" TargetMode="External"/><Relationship Id="rId10" Type="http://schemas.openxmlformats.org/officeDocument/2006/relationships/hyperlink" Target="https://www.iwu.de/fileadmin/publikationen/gebaeudebestand/2022_IWU_HoernerEtBischof_WorkingPaper_Typologie-der-Nichtwohngebaeude-Deutschlands.pdf%20S.%209" TargetMode="External"/><Relationship Id="rId31" Type="http://schemas.openxmlformats.org/officeDocument/2006/relationships/hyperlink" Target="https://www.dcceew.gov.au/sites/default/files/documents/commercial-buildings-energy-consumption-baseline-study-2022.pdf" TargetMode="External"/><Relationship Id="rId52" Type="http://schemas.openxmlformats.org/officeDocument/2006/relationships/hyperlink" Target="https://statbel.fgov.be/en/themes/housing/building-stock" TargetMode="External"/><Relationship Id="rId73" Type="http://schemas.openxmlformats.org/officeDocument/2006/relationships/hyperlink" Target="https://censo2018.ine.gob.gt/explorador" TargetMode="External"/><Relationship Id="rId78" Type="http://schemas.openxmlformats.org/officeDocument/2006/relationships/hyperlink" Target="https://www.cso.ie/en/releasesandpublications/ep/p-cpp2/censusofpopulation2022profile2-housinginireland/keyfindings/" TargetMode="External"/><Relationship Id="rId94" Type="http://schemas.openxmlformats.org/officeDocument/2006/relationships/hyperlink" Target="https://stat.gov.lv/en/statistics-themes/population/housing/press-releases/7126-housing-characteristics-1-january-2021?themeCode=MA" TargetMode="External"/><Relationship Id="rId99" Type="http://schemas.openxmlformats.org/officeDocument/2006/relationships/hyperlink" Target="https://nso.gov.mt/themes_publications/census-of-population-and-housing-2021-final-report-dwelling-characteristics/" TargetMode="External"/><Relationship Id="rId101" Type="http://schemas.openxmlformats.org/officeDocument/2006/relationships/hyperlink" Target="https://en.www.inegi.org.mx/programas/ccpv/2020/" TargetMode="External"/><Relationship Id="rId122" Type="http://schemas.openxmlformats.org/officeDocument/2006/relationships/hyperlink" Target="https://www.stat.si/StatWeb/en/News/Index/10265" TargetMode="External"/><Relationship Id="rId4" Type="http://schemas.openxmlformats.org/officeDocument/2006/relationships/hyperlink" Target="https://www.statistischebibliothek.de/mir/servlets/MCRFileNodeServlet/DEHeft_derivate_00074102/5312301217004_Korr_01122022.pdf" TargetMode="External"/><Relationship Id="rId9" Type="http://schemas.openxmlformats.org/officeDocument/2006/relationships/hyperlink" Target="https://www.iwu.de/fileadmin/publikationen/gebaeudebestand/2022_IWU_HoernerEtBischof_WorkingPaper_Typologie-der-Nichtwohngebaeude-Deutschlands.pdf%20S.%209" TargetMode="External"/><Relationship Id="rId26" Type="http://schemas.openxmlformats.org/officeDocument/2006/relationships/hyperlink" Target="https://statinja.gov.jm/Census/PopCensus/2011%20Census%20of%20Population%20and%20Housing%20C.pdf" TargetMode="External"/><Relationship Id="rId47" Type="http://schemas.openxmlformats.org/officeDocument/2006/relationships/hyperlink" Target="https://www.dcceew.gov.au/sites/default/files/documents/commercial-buildings-energy-consumption-baseline-study-2022.pdf" TargetMode="External"/><Relationship Id="rId68" Type="http://schemas.openxmlformats.org/officeDocument/2006/relationships/hyperlink" Target="https://www.insee.fr/fr/statistiques/8251576?utm_source=" TargetMode="External"/><Relationship Id="rId89" Type="http://schemas.openxmlformats.org/officeDocument/2006/relationships/hyperlink" Target="https://www150.statcan.gc.ca/t1/tbl1/en/tv.action?pid=9810000101" TargetMode="External"/><Relationship Id="rId112" Type="http://schemas.openxmlformats.org/officeDocument/2006/relationships/hyperlink" Target="https://stat.gov.pl/en/topics/municipal-infrastructure/municipal-infrastructure/housing-economy-in-2023,10,7.html" TargetMode="External"/><Relationship Id="rId133" Type="http://schemas.openxmlformats.org/officeDocument/2006/relationships/hyperlink" Target="https://stats.gov.ck/2021-census-of-population-and-dwelling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BFC58-9EE9-401E-A489-DCC572A6386B}">
  <dimension ref="A1:BZ199"/>
  <sheetViews>
    <sheetView tabSelected="1" zoomScale="55" zoomScaleNormal="55" workbookViewId="0">
      <pane ySplit="2" topLeftCell="A60" activePane="bottomLeft" state="frozen"/>
      <selection pane="bottomLeft" activeCell="A37" sqref="A37:XFD37"/>
    </sheetView>
  </sheetViews>
  <sheetFormatPr baseColWidth="10" defaultRowHeight="14.4" x14ac:dyDescent="0.3"/>
  <cols>
    <col min="2" max="2" width="7.59765625" customWidth="1"/>
    <col min="3" max="3" width="37.09765625" customWidth="1"/>
    <col min="4" max="5" width="16.8984375" style="67" hidden="1" customWidth="1"/>
    <col min="6" max="6" width="15.59765625" style="67" hidden="1" customWidth="1"/>
    <col min="7" max="7" width="14.8984375" style="40" hidden="1" customWidth="1"/>
    <col min="8" max="10" width="17.59765625" style="66" hidden="1" customWidth="1"/>
    <col min="11" max="11" width="26.19921875" style="96" hidden="1" customWidth="1"/>
    <col min="12" max="14" width="31.69921875" style="96" hidden="1" customWidth="1"/>
    <col min="15" max="15" width="22" style="40" hidden="1" customWidth="1"/>
    <col min="16" max="22" width="22" style="40" customWidth="1"/>
    <col min="23" max="26" width="22.296875" style="96" customWidth="1"/>
    <col min="27" max="27" width="18.09765625" customWidth="1"/>
    <col min="28" max="28" width="23.09765625" customWidth="1"/>
    <col min="29" max="31" width="18.09765625" customWidth="1"/>
    <col min="32" max="32" width="22.69921875" customWidth="1"/>
    <col min="33" max="35" width="21.19921875" customWidth="1"/>
    <col min="36" max="36" width="24.59765625" customWidth="1"/>
    <col min="37" max="40" width="21.19921875" customWidth="1"/>
    <col min="41" max="41" width="21.19921875" hidden="1" customWidth="1"/>
    <col min="42" max="42" width="32.296875" style="40" customWidth="1"/>
    <col min="43" max="43" width="29.59765625" style="40" customWidth="1"/>
    <col min="44" max="44" width="30.69921875" style="40" customWidth="1"/>
    <col min="45" max="45" width="25.19921875" style="40" customWidth="1"/>
    <col min="46" max="47" width="20.09765625" customWidth="1"/>
    <col min="48" max="50" width="27" customWidth="1"/>
    <col min="51" max="51" width="20.8984375" customWidth="1"/>
    <col min="52" max="52" width="25.19921875" style="40" customWidth="1"/>
    <col min="53" max="53" width="20.8984375" style="40" customWidth="1"/>
    <col min="54" max="54" width="33.09765625" customWidth="1"/>
    <col min="55" max="56" width="30.69921875" customWidth="1"/>
    <col min="57" max="57" width="24" customWidth="1"/>
    <col min="58" max="58" width="20.3984375" customWidth="1"/>
    <col min="59" max="59" width="24.8984375" customWidth="1"/>
    <col min="60" max="60" width="23.5" customWidth="1"/>
    <col min="61" max="61" width="33.5" customWidth="1"/>
    <col min="62" max="63" width="27.796875" customWidth="1"/>
    <col min="64" max="64" width="20" customWidth="1"/>
    <col min="65" max="67" width="29.59765625" customWidth="1"/>
    <col min="68" max="68" width="24.59765625" customWidth="1"/>
    <col min="69" max="69" width="28.5" style="40" customWidth="1"/>
    <col min="70" max="70" width="24.69921875" style="40" customWidth="1"/>
    <col min="72" max="72" width="20.69921875" customWidth="1"/>
    <col min="73" max="73" width="13.8984375" customWidth="1"/>
    <col min="76" max="76" width="17.8984375" style="8" customWidth="1"/>
  </cols>
  <sheetData>
    <row r="1" spans="1:78" x14ac:dyDescent="0.3">
      <c r="A1" t="s">
        <v>587</v>
      </c>
      <c r="B1" s="36" t="s">
        <v>0</v>
      </c>
      <c r="C1" s="36" t="s">
        <v>411</v>
      </c>
      <c r="D1" s="69" t="s">
        <v>787</v>
      </c>
      <c r="E1" s="69" t="s">
        <v>1001</v>
      </c>
      <c r="F1" s="69" t="s">
        <v>584</v>
      </c>
      <c r="G1" s="70" t="s">
        <v>983</v>
      </c>
      <c r="H1" s="71" t="s">
        <v>586</v>
      </c>
      <c r="I1" s="75" t="s">
        <v>993</v>
      </c>
      <c r="J1" s="75" t="s">
        <v>996</v>
      </c>
      <c r="K1" s="95" t="s">
        <v>444</v>
      </c>
      <c r="L1" s="95" t="s">
        <v>984</v>
      </c>
      <c r="M1" s="95" t="s">
        <v>985</v>
      </c>
      <c r="N1" s="95" t="s">
        <v>1006</v>
      </c>
      <c r="O1" s="70" t="s">
        <v>445</v>
      </c>
      <c r="P1" s="72" t="s">
        <v>470</v>
      </c>
      <c r="Q1" s="72" t="s">
        <v>1008</v>
      </c>
      <c r="R1" s="72" t="s">
        <v>1009</v>
      </c>
      <c r="S1" s="72" t="s">
        <v>1010</v>
      </c>
      <c r="T1" s="72" t="s">
        <v>1016</v>
      </c>
      <c r="U1" s="72" t="s">
        <v>1015</v>
      </c>
      <c r="V1" s="72" t="s">
        <v>1014</v>
      </c>
      <c r="W1" s="95" t="s">
        <v>999</v>
      </c>
      <c r="X1" s="97" t="s">
        <v>1011</v>
      </c>
      <c r="Y1" s="98" t="s">
        <v>1012</v>
      </c>
      <c r="Z1" s="98" t="s">
        <v>1013</v>
      </c>
      <c r="AA1" s="74" t="s">
        <v>1000</v>
      </c>
      <c r="AB1" s="74" t="s">
        <v>414</v>
      </c>
      <c r="AC1" s="74" t="s">
        <v>998</v>
      </c>
      <c r="AD1" s="74" t="s">
        <v>416</v>
      </c>
      <c r="AE1" s="74" t="s">
        <v>417</v>
      </c>
      <c r="AF1" s="74" t="s">
        <v>418</v>
      </c>
      <c r="AG1" s="75" t="s">
        <v>419</v>
      </c>
      <c r="AH1" s="75" t="s">
        <v>986</v>
      </c>
      <c r="AI1" s="75" t="s">
        <v>991</v>
      </c>
      <c r="AJ1" s="75" t="s">
        <v>458</v>
      </c>
      <c r="AK1" s="75" t="s">
        <v>1002</v>
      </c>
      <c r="AL1" s="75" t="s">
        <v>1003</v>
      </c>
      <c r="AM1" s="75" t="s">
        <v>1004</v>
      </c>
      <c r="AN1" s="75" t="s">
        <v>1005</v>
      </c>
      <c r="AO1" s="75" t="s">
        <v>459</v>
      </c>
      <c r="AP1" s="76" t="s">
        <v>442</v>
      </c>
      <c r="AQ1" s="76" t="s">
        <v>443</v>
      </c>
      <c r="AR1" s="76" t="s">
        <v>405</v>
      </c>
      <c r="AS1" s="70" t="s">
        <v>404</v>
      </c>
      <c r="AT1" s="73" t="s">
        <v>420</v>
      </c>
      <c r="AU1" s="74" t="s">
        <v>421</v>
      </c>
      <c r="AV1" s="74" t="s">
        <v>422</v>
      </c>
      <c r="AW1" s="74" t="s">
        <v>423</v>
      </c>
      <c r="AX1" s="74" t="s">
        <v>451</v>
      </c>
      <c r="AY1" s="75" t="s">
        <v>452</v>
      </c>
      <c r="AZ1" s="77" t="s">
        <v>407</v>
      </c>
      <c r="BA1" s="77" t="s">
        <v>406</v>
      </c>
      <c r="BB1" s="73" t="s">
        <v>427</v>
      </c>
      <c r="BC1" s="74" t="s">
        <v>426</v>
      </c>
      <c r="BD1" s="74" t="s">
        <v>556</v>
      </c>
      <c r="BE1" s="74" t="s">
        <v>428</v>
      </c>
      <c r="BF1" s="74" t="s">
        <v>429</v>
      </c>
      <c r="BG1" s="74" t="s">
        <v>453</v>
      </c>
      <c r="BH1" s="74" t="s">
        <v>454</v>
      </c>
      <c r="BI1" s="74" t="s">
        <v>432</v>
      </c>
      <c r="BJ1" s="74" t="s">
        <v>433</v>
      </c>
      <c r="BK1" s="74" t="s">
        <v>434</v>
      </c>
      <c r="BL1" s="74" t="s">
        <v>435</v>
      </c>
      <c r="BM1" s="74" t="s">
        <v>436</v>
      </c>
      <c r="BN1" s="74" t="s">
        <v>437</v>
      </c>
      <c r="BO1" s="74" t="s">
        <v>438</v>
      </c>
      <c r="BP1" s="75" t="s">
        <v>439</v>
      </c>
      <c r="BQ1" s="76" t="s">
        <v>393</v>
      </c>
      <c r="BR1" s="76" t="s">
        <v>403</v>
      </c>
      <c r="BS1" s="78" t="s">
        <v>391</v>
      </c>
      <c r="BT1" s="78" t="s">
        <v>440</v>
      </c>
      <c r="BU1" s="73" t="s">
        <v>392</v>
      </c>
      <c r="BV1" s="32" t="s">
        <v>401</v>
      </c>
      <c r="BW1" s="7"/>
      <c r="BX1" s="33"/>
      <c r="BY1" s="33"/>
      <c r="BZ1" s="33"/>
    </row>
    <row r="2" spans="1:78" x14ac:dyDescent="0.3">
      <c r="B2" s="82" t="s">
        <v>1</v>
      </c>
      <c r="C2" s="83" t="s">
        <v>2</v>
      </c>
      <c r="D2" s="63">
        <v>17.248000000000001</v>
      </c>
      <c r="E2" s="63">
        <f>Tabelle2[[#This Row],[BIP (mrd.)]]*1000000000/Tabelle2[[#This Row],[Bevölkerung]]</f>
        <v>404.43177312427997</v>
      </c>
      <c r="F2" s="63">
        <v>0.255</v>
      </c>
      <c r="G2" s="53">
        <v>652870</v>
      </c>
      <c r="H2" s="65">
        <v>42647490</v>
      </c>
      <c r="I2" s="88">
        <v>6.468</v>
      </c>
      <c r="J2" s="88">
        <f>Tabelle2[[#This Row],[Strom (mrd.)]]*1000000000/Tabelle2[[#This Row],[Bevölkerung]]</f>
        <v>151.66191492160499</v>
      </c>
      <c r="K2" s="79"/>
      <c r="L2" s="79">
        <f>Tabelle2[[#This Row],[Wohnimmobilien Anzahl]]/Tabelle2[[#This Row],[Bevölkerung]]</f>
        <v>0</v>
      </c>
      <c r="M2" s="79">
        <f t="shared" ref="M2:M33" si="0">L2-K2</f>
        <v>0</v>
      </c>
      <c r="N2" s="79" t="str">
        <f t="shared" ref="N2:N33" si="1">IF(OR(K2=0,K2=""),"",(L2 - K2)/K2)</f>
        <v/>
      </c>
      <c r="O2" s="79"/>
      <c r="P2" s="79"/>
      <c r="Q2" s="79">
        <f>1000000*Tabelle2[[#This Row],[Bevölkerung]]*EXP(-17.8941+0.2965*LN((Tabelle2[[#This Row],[BIP (mrd.)]]*1000000000)/Tabelle2[[#This Row],[Bevölkerung]]))</f>
        <v>4280694.2490321789</v>
      </c>
      <c r="R2" s="79" t="str">
        <f t="shared" ref="R2:R33" si="2">IF(AND(ISNUMBER(P2), ISNUMBER(Q2)), P2-Q2, "")</f>
        <v/>
      </c>
      <c r="S2" s="79" t="str">
        <f t="shared" ref="S2:S33" si="3">IF(OR(P2=0,P2=""),"",(Q2 - P2)/P2)</f>
        <v/>
      </c>
      <c r="T2" s="79">
        <f>1000000*Tabelle2[[#This Row],[Bevölkerung]]*EXP(-14.22+0.2263*LN((Tabelle2[[#This Row],[BIP (mrd.)]]*1000000000)/Tabelle2[[#This Row],[Bevölkerung]]))</f>
        <v>110701887.91039084</v>
      </c>
      <c r="U2" s="79" t="str">
        <f t="shared" ref="U2:U33" si="4">IF(AND(ISNUMBER(P2), ISNUMBER(T2)), P2-T2, "")</f>
        <v/>
      </c>
      <c r="V2" s="79" t="str">
        <f t="shared" ref="V2:V33" si="5">IF(OR(P2=0,P2=""),"",(T2 - P2)/P2)</f>
        <v/>
      </c>
      <c r="W2" s="80"/>
      <c r="X2" s="53">
        <v>701919.22038624296</v>
      </c>
      <c r="Y2" s="80" t="str">
        <f t="shared" ref="Y2:Y33" si="6">IF(AND(ISNUMBER(W2), ISNUMBER(X2)), W2-X2, "")</f>
        <v/>
      </c>
      <c r="Z2" s="80" t="str">
        <f t="shared" ref="Z2:Z33" si="7">IF(OR(W2=0,W2=""),"",(X2 - W2)/W2)</f>
        <v/>
      </c>
      <c r="AA2" s="80"/>
      <c r="AB2" s="80"/>
      <c r="AC2" s="80"/>
      <c r="AD2" s="80"/>
      <c r="AE2" s="80"/>
      <c r="AF2" s="80"/>
      <c r="AG2" s="80"/>
      <c r="AH2" s="80"/>
      <c r="AI2" s="80">
        <v>0</v>
      </c>
      <c r="AJ2" s="80"/>
      <c r="AK2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5454573.1528446143</v>
      </c>
      <c r="AL2" s="80" t="str">
        <f t="shared" ref="AL2:AL33" si="8">IF(AND(ISNUMBER(AJ2), ISNUMBER(AK2)), AJ2-AK2, "")</f>
        <v/>
      </c>
      <c r="AM2" s="90" t="str">
        <f t="shared" ref="AM2:AM33" si="9">IF(OR(AJ2=0,AJ2=""),"",(AK2 - AJ2)/AJ2)</f>
        <v/>
      </c>
      <c r="AN2" s="91"/>
      <c r="AO2" s="80"/>
      <c r="AP2" s="79"/>
      <c r="AQ2" s="79"/>
      <c r="AR2" s="79"/>
      <c r="AS2" s="79"/>
      <c r="AT2" s="80"/>
      <c r="AU2" s="80"/>
      <c r="AV2" s="80"/>
      <c r="AW2" s="80"/>
      <c r="AX2" s="80"/>
      <c r="AY2" s="80"/>
      <c r="AZ2" s="79"/>
      <c r="BA2" s="79"/>
      <c r="BB2" s="80"/>
      <c r="BC2" s="80"/>
      <c r="BD2" s="80"/>
      <c r="BE2" s="80"/>
      <c r="BF2" s="80"/>
      <c r="BG2" s="80"/>
      <c r="BH2" s="80"/>
      <c r="BI2" s="80"/>
      <c r="BJ2" s="80"/>
      <c r="BK2" s="80"/>
      <c r="BL2" s="80"/>
      <c r="BM2" s="80"/>
      <c r="BN2" s="80"/>
      <c r="BO2" s="80"/>
      <c r="BP2" s="80"/>
      <c r="BQ2" s="79"/>
      <c r="BR2" s="79"/>
      <c r="BS2" s="80"/>
      <c r="BT2" s="80"/>
      <c r="BU2" s="81"/>
      <c r="BX2" s="33"/>
    </row>
    <row r="3" spans="1:78" x14ac:dyDescent="0.3">
      <c r="B3" s="24" t="s">
        <v>3</v>
      </c>
      <c r="C3" s="23" t="s">
        <v>4</v>
      </c>
      <c r="D3" s="63">
        <v>347.34199999999998</v>
      </c>
      <c r="E3" s="63">
        <f>Tabelle2[[#This Row],[BIP (mrd.)]]*1000000000/Tabelle2[[#This Row],[Bevölkerung]]</f>
        <v>2980.4975636327504</v>
      </c>
      <c r="F3" s="63">
        <v>0.42699999999999999</v>
      </c>
      <c r="G3" s="53">
        <v>1001450</v>
      </c>
      <c r="H3" s="65">
        <v>116538260</v>
      </c>
      <c r="I3" s="88"/>
      <c r="J3" s="88">
        <f>Tabelle2[[#This Row],[Strom (mrd.)]]*1000000000/Tabelle2[[#This Row],[Bevölkerung]]</f>
        <v>0</v>
      </c>
      <c r="K3" s="53"/>
      <c r="L3" s="53">
        <f>Tabelle2[[#This Row],[Wohnimmobilien Anzahl]]/Tabelle2[[#This Row],[Bevölkerung]]</f>
        <v>0</v>
      </c>
      <c r="M3" s="53">
        <f t="shared" si="0"/>
        <v>0</v>
      </c>
      <c r="N3" s="53" t="str">
        <f t="shared" si="1"/>
        <v/>
      </c>
      <c r="O3" s="53"/>
      <c r="P3" s="53"/>
      <c r="Q3" s="53">
        <f>1000000*Tabelle2[[#This Row],[Bevölkerung]]*EXP(-17.8941+0.2965*LN((Tabelle2[[#This Row],[BIP (mrd.)]]*1000000000)/Tabelle2[[#This Row],[Bevölkerung]]))</f>
        <v>21148825.873006467</v>
      </c>
      <c r="R3" s="53" t="str">
        <f t="shared" si="2"/>
        <v/>
      </c>
      <c r="S3" s="53" t="str">
        <f t="shared" si="3"/>
        <v/>
      </c>
      <c r="T3" s="53">
        <f>1000000*Tabelle2[[#This Row],[Wohneinheiten Anzahl]]*EXP(-14.22+0.02263*LN((Tabelle2[[#This Row],[BIP (mrd.)]]*1000000000)/Tabelle2[[#This Row],[Bevölkerung]]))</f>
        <v>0</v>
      </c>
      <c r="U3" s="53" t="str">
        <f t="shared" si="4"/>
        <v/>
      </c>
      <c r="V3" s="53" t="str">
        <f t="shared" si="5"/>
        <v/>
      </c>
      <c r="W3" s="54"/>
      <c r="X3" s="54"/>
      <c r="Y3" s="54" t="str">
        <f t="shared" si="6"/>
        <v/>
      </c>
      <c r="Z3" s="54" t="str">
        <f t="shared" si="7"/>
        <v/>
      </c>
      <c r="AA3" s="54"/>
      <c r="AB3" s="54"/>
      <c r="AC3" s="54"/>
      <c r="AD3" s="54"/>
      <c r="AE3" s="54"/>
      <c r="AF3" s="54"/>
      <c r="AG3" s="54"/>
      <c r="AH3" s="54">
        <v>0</v>
      </c>
      <c r="AI3" s="54" t="s">
        <v>987</v>
      </c>
      <c r="AJ3" s="54"/>
      <c r="AK3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25661407.386810545</v>
      </c>
      <c r="AL3" s="54" t="str">
        <f t="shared" si="8"/>
        <v/>
      </c>
      <c r="AM3" s="89" t="str">
        <f t="shared" si="9"/>
        <v/>
      </c>
      <c r="AN3" s="91"/>
      <c r="AO3" s="54"/>
      <c r="AP3" s="53"/>
      <c r="AQ3" s="53"/>
      <c r="AR3" s="53"/>
      <c r="AS3" s="53"/>
      <c r="AT3" s="54"/>
      <c r="AU3" s="54"/>
      <c r="AV3" s="54"/>
      <c r="AW3" s="54"/>
      <c r="AX3" s="54"/>
      <c r="AY3" s="54"/>
      <c r="AZ3" s="53"/>
      <c r="BA3" s="53"/>
      <c r="BB3" s="54"/>
      <c r="BC3" s="54"/>
      <c r="BD3" s="54"/>
      <c r="BE3" s="54"/>
      <c r="BF3" s="54"/>
      <c r="BG3" s="54"/>
      <c r="BH3" s="54"/>
      <c r="BI3" s="54"/>
      <c r="BJ3" s="54"/>
      <c r="BK3" s="54"/>
      <c r="BL3" s="54"/>
      <c r="BM3" s="54"/>
      <c r="BN3" s="54"/>
      <c r="BO3" s="54"/>
      <c r="BP3" s="54"/>
      <c r="BQ3" s="53"/>
      <c r="BR3" s="53"/>
      <c r="BS3" s="54"/>
      <c r="BT3" s="54"/>
      <c r="BU3" s="68"/>
      <c r="BX3" s="33"/>
    </row>
    <row r="4" spans="1:78" x14ac:dyDescent="0.3">
      <c r="B4" s="4" t="s">
        <v>5</v>
      </c>
      <c r="C4" s="5" t="s">
        <v>6</v>
      </c>
      <c r="D4" s="63">
        <v>28.372</v>
      </c>
      <c r="E4" s="63">
        <f>Tabelle2[[#This Row],[BIP (mrd.)]]*1000000000/Tabelle2[[#This Row],[Bevölkerung]]</f>
        <v>10453.940132113898</v>
      </c>
      <c r="F4" s="63">
        <v>0.60299999999999998</v>
      </c>
      <c r="G4" s="53">
        <v>28750</v>
      </c>
      <c r="H4" s="65">
        <v>2714000.62</v>
      </c>
      <c r="I4" s="88">
        <v>7.49</v>
      </c>
      <c r="J4" s="88">
        <f>Tabelle2[[#This Row],[Strom (mrd.)]]*1000000000/Tabelle2[[#This Row],[Bevölkerung]]</f>
        <v>2759.7635552492984</v>
      </c>
      <c r="K4" s="87"/>
      <c r="L4" s="87">
        <f>1000000*Tabelle2[[#This Row],[Bevölkerung]]*EXP(-15.4183+0.052*LN((Tabelle2[[#This Row],[BIP (mrd.)]]*1000000000)/Tabelle2[[#This Row],[Bevölkerung]]))</f>
        <v>884158.02404364245</v>
      </c>
      <c r="M4" s="87" t="str">
        <f>IF(AND(ISNUMBER(K4), ISNUMBER(L4)), K4-L4, "")</f>
        <v/>
      </c>
      <c r="N4" s="92" t="str">
        <f t="shared" si="1"/>
        <v/>
      </c>
      <c r="O4" s="53"/>
      <c r="P4" s="53">
        <v>726325</v>
      </c>
      <c r="Q4" s="53">
        <f>1000000*Tabelle2[[#This Row],[Bevölkerung]]*EXP(-17.8941+0.2965*LN((Tabelle2[[#This Row],[BIP (mrd.)]]*1000000000)/Tabelle2[[#This Row],[Bevölkerung]]))</f>
        <v>714525.2432735468</v>
      </c>
      <c r="R4" s="53">
        <f t="shared" si="2"/>
        <v>11799.756726453197</v>
      </c>
      <c r="S4" s="65">
        <f t="shared" si="3"/>
        <v>-1.6245835853720025E-2</v>
      </c>
      <c r="T4" s="53">
        <f>1000000*Tabelle2[[#This Row],[Wohneinheiten Anzahl]]*EXP(-14.22+0.02263*LN((Tabelle2[[#This Row],[BIP (mrd.)]]*1000000000)/Tabelle2[[#This Row],[Bevölkerung]]))</f>
        <v>890693.56254535506</v>
      </c>
      <c r="U4" s="65">
        <f t="shared" si="4"/>
        <v>-164368.56254535506</v>
      </c>
      <c r="V4" s="65">
        <f t="shared" si="5"/>
        <v>0.22630167286731842</v>
      </c>
      <c r="W4" s="87">
        <v>508643</v>
      </c>
      <c r="X4" s="87">
        <f>1000000*Tabelle2[[#This Row],[Bevölkerung]]*EXP(-15.6892+0.034*LN((Tabelle2[[#This Row],[BIP (mrd.)]]*1000000000)/Tabelle2[[#This Row],[Bevölkerung]]))</f>
        <v>570863.76483544742</v>
      </c>
      <c r="Y4" s="87">
        <f t="shared" si="6"/>
        <v>-62220.764835447422</v>
      </c>
      <c r="Z4" s="92">
        <f t="shared" si="7"/>
        <v>0.12232698540124885</v>
      </c>
      <c r="AA4" s="54"/>
      <c r="AB4" s="54"/>
      <c r="AC4" s="54"/>
      <c r="AD4" s="54"/>
      <c r="AE4" s="54"/>
      <c r="AF4" s="54">
        <v>431858</v>
      </c>
      <c r="AG4" s="54"/>
      <c r="AH4" s="54">
        <v>0</v>
      </c>
      <c r="AI4" s="54" t="s">
        <v>988</v>
      </c>
      <c r="AJ4" s="54">
        <v>1082529</v>
      </c>
      <c r="AK4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840735.73544826044</v>
      </c>
      <c r="AL4" s="54">
        <f t="shared" si="8"/>
        <v>241793.26455173956</v>
      </c>
      <c r="AM4" s="89">
        <f t="shared" si="9"/>
        <v>-0.22335961858919212</v>
      </c>
      <c r="AN4" s="91">
        <f t="shared" ref="AN4:AN13" si="10">ABS(AM4)</f>
        <v>0.22335961858919212</v>
      </c>
      <c r="AO4" s="54"/>
      <c r="AP4" s="53"/>
      <c r="AQ4" s="53"/>
      <c r="AR4" s="53"/>
      <c r="AS4" s="53"/>
      <c r="AT4" s="54"/>
      <c r="AU4" s="54"/>
      <c r="AV4" s="54"/>
      <c r="AW4" s="54"/>
      <c r="AX4" s="54"/>
      <c r="AY4" s="54"/>
      <c r="AZ4" s="53"/>
      <c r="BA4" s="53"/>
      <c r="BB4" s="54"/>
      <c r="BC4" s="54"/>
      <c r="BD4" s="54"/>
      <c r="BE4" s="54"/>
      <c r="BF4" s="54"/>
      <c r="BG4" s="54"/>
      <c r="BH4" s="54"/>
      <c r="BI4" s="54"/>
      <c r="BJ4" s="54"/>
      <c r="BK4" s="54"/>
      <c r="BL4" s="54"/>
      <c r="BM4" s="54"/>
      <c r="BN4" s="54"/>
      <c r="BO4" s="54"/>
      <c r="BP4" s="54"/>
      <c r="BQ4" s="53"/>
      <c r="BR4" s="53"/>
      <c r="BS4" s="54"/>
      <c r="BT4" s="54"/>
      <c r="BU4" s="68"/>
      <c r="BX4" s="33"/>
    </row>
    <row r="5" spans="1:78" x14ac:dyDescent="0.3">
      <c r="B5" s="22" t="s">
        <v>7</v>
      </c>
      <c r="C5" s="23" t="s">
        <v>8</v>
      </c>
      <c r="D5" s="63">
        <v>268.88499999999999</v>
      </c>
      <c r="E5" s="63">
        <f>Tabelle2[[#This Row],[BIP (mrd.)]]*1000000000/Tabelle2[[#This Row],[Bevölkerung]]</f>
        <v>5743.6877476707132</v>
      </c>
      <c r="F5" s="63">
        <v>0.72599999999999998</v>
      </c>
      <c r="G5" s="53">
        <v>238174</v>
      </c>
      <c r="H5" s="65">
        <v>46814000.310000002</v>
      </c>
      <c r="I5" s="88">
        <v>85.686999999999998</v>
      </c>
      <c r="J5" s="88">
        <f>Tabelle2[[#This Row],[Strom (mrd.)]]*1000000000/Tabelle2[[#This Row],[Bevölkerung]]</f>
        <v>1830.3712443411139</v>
      </c>
      <c r="K5" s="53"/>
      <c r="L5" s="53">
        <f>1000000*Tabelle2[[#This Row],[Bevölkerung]]*EXP(-15.4183+0.052*LN((Tabelle2[[#This Row],[BIP (mrd.)]]*1000000000)/Tabelle2[[#This Row],[Bevölkerung]]))</f>
        <v>14783288.966704028</v>
      </c>
      <c r="M5" s="53" t="str">
        <f t="shared" ref="M5:M7" si="11">IF(AND(ISNUMBER(K5), ISNUMBER(L5)), K5-L5, "")</f>
        <v/>
      </c>
      <c r="N5" s="65" t="str">
        <f t="shared" si="1"/>
        <v/>
      </c>
      <c r="O5" s="53"/>
      <c r="P5" s="53">
        <v>5304344</v>
      </c>
      <c r="Q5" s="53">
        <f>1000000*Tabelle2[[#This Row],[Bevölkerung]]*EXP(-17.8941+0.2965*LN((Tabelle2[[#This Row],[BIP (mrd.)]]*1000000000)/Tabelle2[[#This Row],[Bevölkerung]]))</f>
        <v>10319696.944595642</v>
      </c>
      <c r="R5" s="53">
        <f t="shared" si="2"/>
        <v>-5015352.9445956424</v>
      </c>
      <c r="S5" s="65">
        <f t="shared" si="3"/>
        <v>0.94551804042038801</v>
      </c>
      <c r="T5" s="53">
        <f>1000000*Tabelle2[[#This Row],[Wohneinheiten Anzahl]]*EXP(-14.22+0.02263*LN((Tabelle2[[#This Row],[BIP (mrd.)]]*1000000000)/Tabelle2[[#This Row],[Bevölkerung]]))</f>
        <v>5427219.4458708521</v>
      </c>
      <c r="U5" s="65">
        <f t="shared" si="4"/>
        <v>-122875.4458708521</v>
      </c>
      <c r="V5" s="65">
        <f t="shared" si="5"/>
        <v>2.316505978323655E-2</v>
      </c>
      <c r="W5" s="54"/>
      <c r="X5" s="53">
        <f>1000000*Tabelle2[[#This Row],[Bevölkerung]]*EXP(-17.9119+0.2965*LN((Tabelle2[[#This Row],[BIP (mrd.)]]*1000000000)/Tabelle2[[#This Row],[Bevölkerung]]))</f>
        <v>10137631.528295426</v>
      </c>
      <c r="Y5" s="53" t="str">
        <f t="shared" ref="Y5:Y7" si="12">IF(AND(ISNUMBER(W5), ISNUMBER(X5)), W5-X5, "")</f>
        <v/>
      </c>
      <c r="Z5" s="65" t="str">
        <f t="shared" ref="Z5:Z7" si="13">IF(OR(W5=0,W5=""),"",(X5 - W5)/W5)</f>
        <v/>
      </c>
      <c r="AA5" s="54"/>
      <c r="AB5" s="54"/>
      <c r="AC5" s="54"/>
      <c r="AD5" s="54"/>
      <c r="AE5" s="54"/>
      <c r="AF5" s="54"/>
      <c r="AG5" s="54"/>
      <c r="AH5" s="54">
        <v>0</v>
      </c>
      <c r="AI5" s="54" t="s">
        <v>988</v>
      </c>
      <c r="AJ5" s="54">
        <v>6686124</v>
      </c>
      <c r="AK5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12321995.321274951</v>
      </c>
      <c r="AL5" s="54">
        <f t="shared" si="8"/>
        <v>-5635871.3212749511</v>
      </c>
      <c r="AM5" s="89">
        <f t="shared" si="9"/>
        <v>0.84292055027321522</v>
      </c>
      <c r="AN5" s="91">
        <f t="shared" si="10"/>
        <v>0.84292055027321522</v>
      </c>
      <c r="AO5" s="54"/>
      <c r="AP5" s="53"/>
      <c r="AQ5" s="53"/>
      <c r="AR5" s="53"/>
      <c r="AS5" s="53"/>
      <c r="AT5" s="54"/>
      <c r="AU5" s="54"/>
      <c r="AV5" s="54"/>
      <c r="AW5" s="54"/>
      <c r="AX5" s="54"/>
      <c r="AY5" s="54"/>
      <c r="AZ5" s="53"/>
      <c r="BA5" s="53"/>
      <c r="BB5" s="54"/>
      <c r="BC5" s="54"/>
      <c r="BD5" s="54"/>
      <c r="BE5" s="54"/>
      <c r="BF5" s="54"/>
      <c r="BG5" s="54"/>
      <c r="BH5" s="54"/>
      <c r="BI5" s="54"/>
      <c r="BJ5" s="54"/>
      <c r="BK5" s="54"/>
      <c r="BL5" s="54"/>
      <c r="BM5" s="54"/>
      <c r="BN5" s="54"/>
      <c r="BO5" s="54"/>
      <c r="BP5" s="54"/>
      <c r="BQ5" s="53"/>
      <c r="BR5" s="53"/>
      <c r="BS5" s="54"/>
      <c r="BT5" s="54"/>
      <c r="BU5" s="68"/>
      <c r="BX5" s="33"/>
    </row>
    <row r="6" spans="1:78" x14ac:dyDescent="0.3">
      <c r="B6" s="4" t="s">
        <v>9</v>
      </c>
      <c r="C6" s="5" t="s">
        <v>10</v>
      </c>
      <c r="D6" s="63">
        <v>4.0350000000000001</v>
      </c>
      <c r="E6" s="63">
        <f>Tabelle2[[#This Row],[BIP (mrd.)]]*1000000000/Tabelle2[[#This Row],[Bevölkerung]]</f>
        <v>49243.348791798875</v>
      </c>
      <c r="F6" s="63">
        <v>0.88100000000000001</v>
      </c>
      <c r="G6" s="53">
        <v>470</v>
      </c>
      <c r="H6" s="63">
        <v>81940</v>
      </c>
      <c r="I6" s="88">
        <v>9.9479999999999999E-2</v>
      </c>
      <c r="J6" s="88">
        <f>Tabelle2[[#This Row],[Strom (mrd.)]]*1000000000/Tabelle2[[#This Row],[Bevölkerung]]</f>
        <v>1214.0590676104466</v>
      </c>
      <c r="K6" s="53">
        <v>3442</v>
      </c>
      <c r="L6" s="53">
        <f>1000000*Tabelle2[[#This Row],[Bevölkerung]]*EXP(-15.4183+0.052*LN((Tabelle2[[#This Row],[BIP (mrd.)]]*1000000000)/Tabelle2[[#This Row],[Bevölkerung]]))</f>
        <v>28934.462786512806</v>
      </c>
      <c r="M6" s="53">
        <f t="shared" si="11"/>
        <v>-25492.462786512806</v>
      </c>
      <c r="N6" s="65">
        <f t="shared" si="1"/>
        <v>7.406293662554563</v>
      </c>
      <c r="O6" s="53"/>
      <c r="P6" s="53"/>
      <c r="Q6" s="53">
        <f>1000000*Tabelle2[[#This Row],[Bevölkerung]]*EXP(-17.8941+0.2965*LN((Tabelle2[[#This Row],[BIP (mrd.)]]*1000000000)/Tabelle2[[#This Row],[Bevölkerung]]))</f>
        <v>34156.088353194755</v>
      </c>
      <c r="R6" s="53" t="str">
        <f t="shared" si="2"/>
        <v/>
      </c>
      <c r="S6" s="53" t="str">
        <f t="shared" si="3"/>
        <v/>
      </c>
      <c r="T6" s="53">
        <f>1000000*Tabelle2[[#This Row],[Bevölkerung]]*EXP(-14.22+0.2263*LN((Tabelle2[[#This Row],[BIP (mrd.)]]*1000000000)/Tabelle2[[#This Row],[Bevölkerung]]))</f>
        <v>630531.34945657977</v>
      </c>
      <c r="U6" s="53" t="str">
        <f t="shared" si="4"/>
        <v/>
      </c>
      <c r="V6" s="53" t="str">
        <f t="shared" si="5"/>
        <v/>
      </c>
      <c r="W6" s="54"/>
      <c r="X6" s="53">
        <f>1000000*Tabelle2[[#This Row],[Bevölkerung]]*EXP(-17.9119+0.2965*LN((Tabelle2[[#This Row],[BIP (mrd.)]]*1000000000)/Tabelle2[[#This Row],[Bevölkerung]]))</f>
        <v>33553.489025075141</v>
      </c>
      <c r="Y6" s="53" t="str">
        <f t="shared" si="12"/>
        <v/>
      </c>
      <c r="Z6" s="65" t="str">
        <f t="shared" si="13"/>
        <v/>
      </c>
      <c r="AA6" s="54"/>
      <c r="AB6" s="54"/>
      <c r="AC6" s="54"/>
      <c r="AD6" s="54"/>
      <c r="AE6" s="54"/>
      <c r="AF6" s="54"/>
      <c r="AG6" s="54"/>
      <c r="AH6" s="54">
        <v>0</v>
      </c>
      <c r="AI6" s="54" t="s">
        <v>989</v>
      </c>
      <c r="AJ6" s="54">
        <v>41215</v>
      </c>
      <c r="AK6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38692.080201682511</v>
      </c>
      <c r="AL6" s="54">
        <f t="shared" si="8"/>
        <v>2522.919798317489</v>
      </c>
      <c r="AM6" s="89">
        <f t="shared" si="9"/>
        <v>-6.1213630918779308E-2</v>
      </c>
      <c r="AN6" s="91">
        <f t="shared" si="10"/>
        <v>6.1213630918779308E-2</v>
      </c>
      <c r="AO6" s="54"/>
      <c r="AP6" s="53"/>
      <c r="AQ6" s="53"/>
      <c r="AR6" s="53"/>
      <c r="AS6" s="53"/>
      <c r="AT6" s="54"/>
      <c r="AU6" s="54"/>
      <c r="AV6" s="54"/>
      <c r="AW6" s="54"/>
      <c r="AX6" s="54"/>
      <c r="AY6" s="54"/>
      <c r="AZ6" s="53"/>
      <c r="BA6" s="53"/>
      <c r="BB6" s="54"/>
      <c r="BC6" s="54"/>
      <c r="BD6" s="54"/>
      <c r="BE6" s="54"/>
      <c r="BF6" s="54"/>
      <c r="BG6" s="54"/>
      <c r="BH6" s="54"/>
      <c r="BI6" s="54"/>
      <c r="BJ6" s="54"/>
      <c r="BK6" s="54"/>
      <c r="BL6" s="54"/>
      <c r="BM6" s="54"/>
      <c r="BN6" s="54"/>
      <c r="BO6" s="54"/>
      <c r="BP6" s="54"/>
      <c r="BQ6" s="53"/>
      <c r="BR6" s="53"/>
      <c r="BS6" s="54"/>
      <c r="BT6" s="54"/>
      <c r="BU6" s="68"/>
      <c r="BX6" s="33"/>
    </row>
    <row r="7" spans="1:78" x14ac:dyDescent="0.3">
      <c r="B7" s="22" t="s">
        <v>11</v>
      </c>
      <c r="C7" s="23" t="s">
        <v>12</v>
      </c>
      <c r="D7" s="63">
        <v>113.343</v>
      </c>
      <c r="E7" s="63">
        <f>Tabelle2[[#This Row],[BIP (mrd.)]]*1000000000/Tabelle2[[#This Row],[Bevölkerung]]</f>
        <v>2991.6974279315364</v>
      </c>
      <c r="F7" s="63">
        <v>0.65500000000000003</v>
      </c>
      <c r="G7" s="53">
        <v>1246700</v>
      </c>
      <c r="H7" s="63">
        <v>37885850</v>
      </c>
      <c r="I7" s="88">
        <v>16.213999999999999</v>
      </c>
      <c r="J7" s="88">
        <f>Tabelle2[[#This Row],[Strom (mrd.)]]*1000000000/Tabelle2[[#This Row],[Bevölkerung]]</f>
        <v>427.96980930875242</v>
      </c>
      <c r="K7" s="53"/>
      <c r="L7" s="53">
        <f>1000000*Tabelle2[[#This Row],[Bevölkerung]]*EXP(-15.4183+0.052*LN((Tabelle2[[#This Row],[BIP (mrd.)]]*1000000000)/Tabelle2[[#This Row],[Bevölkerung]]))</f>
        <v>11564906.977232866</v>
      </c>
      <c r="M7" s="53" t="str">
        <f t="shared" si="11"/>
        <v/>
      </c>
      <c r="N7" s="65" t="str">
        <f t="shared" si="1"/>
        <v/>
      </c>
      <c r="O7" s="53"/>
      <c r="P7" s="53"/>
      <c r="Q7" s="53">
        <f>1000000*Tabelle2[[#This Row],[Bevölkerung]]*EXP(-17.8941+0.2965*LN((Tabelle2[[#This Row],[BIP (mrd.)]]*1000000000)/Tabelle2[[#This Row],[Bevölkerung]]))</f>
        <v>6882999.4587314855</v>
      </c>
      <c r="R7" s="53" t="str">
        <f t="shared" si="2"/>
        <v/>
      </c>
      <c r="S7" s="53" t="str">
        <f t="shared" si="3"/>
        <v/>
      </c>
      <c r="T7" s="53">
        <f>1000000*Tabelle2[[#This Row],[Wohneinheiten Anzahl]]*EXP(-14.22+0.02263*LN((Tabelle2[[#This Row],[BIP (mrd.)]]*1000000000)/Tabelle2[[#This Row],[Bevölkerung]]))</f>
        <v>4434871.4216352068</v>
      </c>
      <c r="U7" s="53" t="str">
        <f t="shared" si="4"/>
        <v/>
      </c>
      <c r="V7" s="53" t="str">
        <f t="shared" si="5"/>
        <v/>
      </c>
      <c r="W7" s="54"/>
      <c r="X7" s="53">
        <f>1000000*Tabelle2[[#This Row],[Bevölkerung]]*EXP(-17.9119+0.2965*LN((Tabelle2[[#This Row],[BIP (mrd.)]]*1000000000)/Tabelle2[[#This Row],[Bevölkerung]]))</f>
        <v>6761566.03209347</v>
      </c>
      <c r="Y7" s="53" t="str">
        <f t="shared" si="12"/>
        <v/>
      </c>
      <c r="Z7" s="65" t="str">
        <f t="shared" si="13"/>
        <v/>
      </c>
      <c r="AA7" s="54"/>
      <c r="AB7" s="54"/>
      <c r="AC7" s="54"/>
      <c r="AD7" s="54"/>
      <c r="AE7" s="54"/>
      <c r="AF7" s="54"/>
      <c r="AG7" s="54"/>
      <c r="AH7" s="54">
        <v>0</v>
      </c>
      <c r="AI7" s="54" t="s">
        <v>990</v>
      </c>
      <c r="AJ7" s="54">
        <v>5544834</v>
      </c>
      <c r="AK7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8350875.81040511</v>
      </c>
      <c r="AL7" s="54">
        <f t="shared" si="8"/>
        <v>-2806041.81040511</v>
      </c>
      <c r="AM7" s="89">
        <f t="shared" si="9"/>
        <v>0.50606416899137285</v>
      </c>
      <c r="AN7" s="91">
        <f t="shared" si="10"/>
        <v>0.50606416899137285</v>
      </c>
      <c r="AO7" s="54"/>
      <c r="AP7" s="53"/>
      <c r="AQ7" s="53"/>
      <c r="AR7" s="53"/>
      <c r="AS7" s="53"/>
      <c r="AT7" s="54"/>
      <c r="AU7" s="54"/>
      <c r="AV7" s="54"/>
      <c r="AW7" s="54"/>
      <c r="AX7" s="54"/>
      <c r="AY7" s="54"/>
      <c r="AZ7" s="53"/>
      <c r="BA7" s="53"/>
      <c r="BB7" s="54"/>
      <c r="BC7" s="54"/>
      <c r="BD7" s="54"/>
      <c r="BE7" s="54"/>
      <c r="BF7" s="54"/>
      <c r="BG7" s="54"/>
      <c r="BH7" s="54"/>
      <c r="BI7" s="54"/>
      <c r="BJ7" s="54"/>
      <c r="BK7" s="54"/>
      <c r="BL7" s="54"/>
      <c r="BM7" s="54"/>
      <c r="BN7" s="54"/>
      <c r="BO7" s="54"/>
      <c r="BP7" s="54"/>
      <c r="BQ7" s="53"/>
      <c r="BR7" s="53"/>
      <c r="BS7" s="54"/>
      <c r="BT7" s="54"/>
      <c r="BU7" s="68"/>
      <c r="BX7" s="33"/>
    </row>
    <row r="8" spans="1:78" x14ac:dyDescent="0.3">
      <c r="B8" s="4" t="s">
        <v>13</v>
      </c>
      <c r="C8" s="5" t="s">
        <v>14</v>
      </c>
      <c r="D8" s="63">
        <v>2.3730000000000001E-3</v>
      </c>
      <c r="E8" s="63">
        <f>Tabelle2[[#This Row],[BIP (mrd.)]]*1000000000/Tabelle2[[#This Row],[Bevölkerung]]</f>
        <v>25.30660125839821</v>
      </c>
      <c r="F8" s="63">
        <v>0.246</v>
      </c>
      <c r="G8" s="53">
        <v>440</v>
      </c>
      <c r="H8" s="63">
        <v>93770</v>
      </c>
      <c r="I8" s="88">
        <v>0.32292300000000002</v>
      </c>
      <c r="J8" s="88">
        <f>Tabelle2[[#This Row],[Strom (mrd.)]]*1000000000/Tabelle2[[#This Row],[Bevölkerung]]</f>
        <v>3443.777327503466</v>
      </c>
      <c r="K8" s="53"/>
      <c r="L8" s="53">
        <f>Tabelle2[[#This Row],[Wohnimmobilien Anzahl]]/Tabelle2[[#This Row],[Bevölkerung]]</f>
        <v>0</v>
      </c>
      <c r="M8" s="53">
        <f t="shared" si="0"/>
        <v>0</v>
      </c>
      <c r="N8" s="53" t="str">
        <f t="shared" si="1"/>
        <v/>
      </c>
      <c r="O8" s="53"/>
      <c r="P8" s="53">
        <v>30213</v>
      </c>
      <c r="Q8" s="53">
        <f>1000000*Tabelle2[[#This Row],[Bevölkerung]]*EXP(-17.8941+0.2965*LN((Tabelle2[[#This Row],[BIP (mrd.)]]*1000000000)/Tabelle2[[#This Row],[Bevölkerung]]))</f>
        <v>4138.2226713165919</v>
      </c>
      <c r="R8" s="53">
        <f t="shared" si="2"/>
        <v>26074.777328683409</v>
      </c>
      <c r="S8" s="53">
        <f t="shared" si="3"/>
        <v>-0.86303171908395093</v>
      </c>
      <c r="T8" s="53">
        <f>1000000*Tabelle2[[#This Row],[Wohneinheiten Anzahl]]*EXP(-14.22+0.02263*LN((Tabelle2[[#This Row],[BIP (mrd.)]]*1000000000)/Tabelle2[[#This Row],[Bevölkerung]]))</f>
        <v>0</v>
      </c>
      <c r="U8" s="53">
        <f t="shared" si="4"/>
        <v>30213</v>
      </c>
      <c r="V8" s="53">
        <f t="shared" si="5"/>
        <v>-1</v>
      </c>
      <c r="W8" s="54" t="s">
        <v>450</v>
      </c>
      <c r="X8" s="54"/>
      <c r="Y8" s="54" t="str">
        <f t="shared" si="6"/>
        <v/>
      </c>
      <c r="Z8" s="54" t="e">
        <f t="shared" si="7"/>
        <v>#VALUE!</v>
      </c>
      <c r="AA8" s="54"/>
      <c r="AB8" s="54" t="s">
        <v>450</v>
      </c>
      <c r="AC8" s="54"/>
      <c r="AD8" s="54"/>
      <c r="AE8" s="54"/>
      <c r="AF8" s="54"/>
      <c r="AG8" s="54"/>
      <c r="AH8" s="54"/>
      <c r="AI8" s="54">
        <v>0</v>
      </c>
      <c r="AJ8" s="1"/>
      <c r="AK8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5643.5722873243531</v>
      </c>
      <c r="AL8" s="54" t="str">
        <f t="shared" si="8"/>
        <v/>
      </c>
      <c r="AM8" s="89" t="str">
        <f t="shared" si="9"/>
        <v/>
      </c>
      <c r="AN8" s="91"/>
      <c r="AO8" s="54"/>
      <c r="AP8" s="53"/>
      <c r="AQ8" s="53"/>
      <c r="AR8" s="53"/>
      <c r="AS8" s="53"/>
      <c r="AT8" s="54"/>
      <c r="AU8" s="54"/>
      <c r="AV8" s="54"/>
      <c r="AW8" s="54"/>
      <c r="AX8" s="54"/>
      <c r="AY8" s="54"/>
      <c r="AZ8" s="53"/>
      <c r="BA8" s="53"/>
      <c r="BB8" s="54"/>
      <c r="BC8" s="54"/>
      <c r="BD8" s="54"/>
      <c r="BE8" s="54"/>
      <c r="BF8" s="54"/>
      <c r="BG8" s="54"/>
      <c r="BH8" s="54"/>
      <c r="BI8" s="54"/>
      <c r="BJ8" s="54"/>
      <c r="BK8" s="54"/>
      <c r="BL8" s="54"/>
      <c r="BM8" s="54"/>
      <c r="BN8" s="54"/>
      <c r="BO8" s="54"/>
      <c r="BP8" s="54"/>
      <c r="BQ8" s="53"/>
      <c r="BR8" s="53"/>
      <c r="BS8" s="54"/>
      <c r="BT8" s="54"/>
      <c r="BU8" s="68"/>
      <c r="BX8" s="33"/>
    </row>
    <row r="9" spans="1:78" x14ac:dyDescent="0.3">
      <c r="B9" s="4" t="s">
        <v>15</v>
      </c>
      <c r="C9" s="5" t="s">
        <v>16</v>
      </c>
      <c r="D9" s="63">
        <v>1.2683999999999997E-2</v>
      </c>
      <c r="E9" s="63">
        <f>Tabelle2[[#This Row],[BIP (mrd.)]]*1000000000/Tabelle2[[#This Row],[Bevölkerung]]</f>
        <v>6.7021748779405224</v>
      </c>
      <c r="F9" s="63">
        <v>0.72099999999999997</v>
      </c>
      <c r="G9" s="53">
        <v>28050</v>
      </c>
      <c r="H9" s="63">
        <v>1892520</v>
      </c>
      <c r="I9" s="88"/>
      <c r="J9" s="88">
        <f>Tabelle2[[#This Row],[Strom (mrd.)]]*1000000000/Tabelle2[[#This Row],[Bevölkerung]]</f>
        <v>0</v>
      </c>
      <c r="K9" s="53"/>
      <c r="L9" s="53">
        <f>Tabelle2[[#This Row],[Wohnimmobilien Anzahl]]/Tabelle2[[#This Row],[Bevölkerung]]</f>
        <v>0</v>
      </c>
      <c r="M9" s="53">
        <f t="shared" si="0"/>
        <v>0</v>
      </c>
      <c r="N9" s="53" t="str">
        <f t="shared" si="1"/>
        <v/>
      </c>
      <c r="O9" s="53"/>
      <c r="P9" s="53"/>
      <c r="Q9" s="53">
        <f>1000000*Tabelle2[[#This Row],[Bevölkerung]]*EXP(-17.8941+0.2965*LN((Tabelle2[[#This Row],[BIP (mrd.)]]*1000000000)/Tabelle2[[#This Row],[Bevölkerung]]))</f>
        <v>56325.435808283226</v>
      </c>
      <c r="R9" s="53" t="str">
        <f t="shared" si="2"/>
        <v/>
      </c>
      <c r="S9" s="53" t="str">
        <f t="shared" si="3"/>
        <v/>
      </c>
      <c r="T9" s="53">
        <f>1000000*Tabelle2[[#This Row],[Bevölkerung]]*EXP(-14.22+0.2263*LN((Tabelle2[[#This Row],[BIP (mrd.)]]*1000000000)/Tabelle2[[#This Row],[Bevölkerung]]))</f>
        <v>1942430.8661992548</v>
      </c>
      <c r="U9" s="53" t="str">
        <f t="shared" si="4"/>
        <v/>
      </c>
      <c r="V9" s="53" t="str">
        <f t="shared" si="5"/>
        <v/>
      </c>
      <c r="W9" s="54"/>
      <c r="X9" s="54"/>
      <c r="Y9" s="54" t="str">
        <f t="shared" si="6"/>
        <v/>
      </c>
      <c r="Z9" s="54" t="str">
        <f t="shared" si="7"/>
        <v/>
      </c>
      <c r="AA9" s="54"/>
      <c r="AB9" s="54"/>
      <c r="AC9" s="54"/>
      <c r="AD9" s="54"/>
      <c r="AE9" s="54"/>
      <c r="AF9" s="54"/>
      <c r="AG9" s="54"/>
      <c r="AH9" s="54"/>
      <c r="AI9" s="54">
        <v>0</v>
      </c>
      <c r="AJ9" s="54"/>
      <c r="AK9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79356.253361940515</v>
      </c>
      <c r="AL9" s="54" t="str">
        <f t="shared" si="8"/>
        <v/>
      </c>
      <c r="AM9" s="89" t="str">
        <f t="shared" si="9"/>
        <v/>
      </c>
      <c r="AN9" s="91"/>
      <c r="AO9" s="54"/>
      <c r="AP9" s="53"/>
      <c r="AQ9" s="53"/>
      <c r="AR9" s="53"/>
      <c r="AS9" s="53"/>
      <c r="AT9" s="54"/>
      <c r="AU9" s="54"/>
      <c r="AV9" s="54"/>
      <c r="AW9" s="54"/>
      <c r="AX9" s="54"/>
      <c r="AY9" s="54"/>
      <c r="AZ9" s="53"/>
      <c r="BA9" s="53"/>
      <c r="BB9" s="54"/>
      <c r="BC9" s="54"/>
      <c r="BD9" s="54"/>
      <c r="BE9" s="54"/>
      <c r="BF9" s="54"/>
      <c r="BG9" s="54"/>
      <c r="BH9" s="54"/>
      <c r="BI9" s="54"/>
      <c r="BJ9" s="54"/>
      <c r="BK9" s="54"/>
      <c r="BL9" s="54"/>
      <c r="BM9" s="54"/>
      <c r="BN9" s="54"/>
      <c r="BO9" s="54"/>
      <c r="BP9" s="54"/>
      <c r="BQ9" s="53"/>
      <c r="BR9" s="53"/>
      <c r="BS9" s="54"/>
      <c r="BT9" s="54"/>
      <c r="BU9" s="68"/>
      <c r="BX9" s="33"/>
    </row>
    <row r="10" spans="1:78" x14ac:dyDescent="0.3">
      <c r="B10" s="19" t="s">
        <v>17</v>
      </c>
      <c r="C10" s="20" t="s">
        <v>18</v>
      </c>
      <c r="D10" s="63">
        <v>683.53300000000002</v>
      </c>
      <c r="E10" s="63">
        <f>Tabelle2[[#This Row],[BIP (mrd.)]]*1000000000/Tabelle2[[#This Row],[Bevölkerung]]</f>
        <v>14958.215307369372</v>
      </c>
      <c r="F10" s="63">
        <v>0.91900000000000004</v>
      </c>
      <c r="G10" s="53">
        <v>2780400</v>
      </c>
      <c r="H10" s="63">
        <v>45696160</v>
      </c>
      <c r="I10" s="88">
        <v>114.667</v>
      </c>
      <c r="J10" s="88">
        <f>Tabelle2[[#This Row],[Strom (mrd.)]]*1000000000/Tabelle2[[#This Row],[Bevölkerung]]</f>
        <v>2509.3355765561046</v>
      </c>
      <c r="K10" s="53"/>
      <c r="L10" s="53">
        <f>1000000*Tabelle2[[#This Row],[Bevölkerung]]*EXP(-15.4183+0.052*LN((Tabelle2[[#This Row],[BIP (mrd.)]]*1000000000)/Tabelle2[[#This Row],[Bevölkerung]]))</f>
        <v>15166691.206647292</v>
      </c>
      <c r="M10" s="53" t="str">
        <f>IF(AND(ISNUMBER(K10), ISNUMBER(L10)), K10-L10, "")</f>
        <v/>
      </c>
      <c r="N10" s="65" t="str">
        <f t="shared" si="1"/>
        <v/>
      </c>
      <c r="O10" s="53"/>
      <c r="P10" s="53">
        <v>15699016</v>
      </c>
      <c r="Q10" s="53">
        <f>1000000*Tabelle2[[#This Row],[Bevölkerung]]*EXP(-17.8941+0.2965*LN((Tabelle2[[#This Row],[BIP (mrd.)]]*1000000000)/Tabelle2[[#This Row],[Bevölkerung]]))</f>
        <v>13378969.774243955</v>
      </c>
      <c r="R10" s="53">
        <f t="shared" si="2"/>
        <v>2320046.2257560454</v>
      </c>
      <c r="S10" s="65">
        <f t="shared" si="3"/>
        <v>-0.14778290726985982</v>
      </c>
      <c r="T10" s="53">
        <f>1000000*Tabelle2[[#This Row],[Wohneinheiten Anzahl]]*EXP(-14.22+0.02263*LN((Tabelle2[[#This Row],[BIP (mrd.)]]*1000000000)/Tabelle2[[#This Row],[Bevölkerung]]))</f>
        <v>14760692.889805757</v>
      </c>
      <c r="U10" s="65">
        <f t="shared" si="4"/>
        <v>938323.11019424349</v>
      </c>
      <c r="V10" s="65">
        <f t="shared" si="5"/>
        <v>-5.9769549263103079E-2</v>
      </c>
      <c r="W10" s="54"/>
      <c r="X10" s="53">
        <f>1000000*Tabelle2[[#This Row],[Bevölkerung]]*EXP(-17.9119+0.2965*LN((Tabelle2[[#This Row],[BIP (mrd.)]]*1000000000)/Tabelle2[[#This Row],[Bevölkerung]]))</f>
        <v>13142931.088738624</v>
      </c>
      <c r="Y10" s="53" t="str">
        <f t="shared" ref="Y10" si="14">IF(AND(ISNUMBER(W10), ISNUMBER(X10)), W10-X10, "")</f>
        <v/>
      </c>
      <c r="Z10" s="65" t="str">
        <f t="shared" ref="Z10" si="15">IF(OR(W10=0,W10=""),"",(X10 - W10)/W10)</f>
        <v/>
      </c>
      <c r="AA10" s="54"/>
      <c r="AB10" s="54"/>
      <c r="AC10" s="54"/>
      <c r="AD10" s="54"/>
      <c r="AE10" s="54"/>
      <c r="AF10" s="54"/>
      <c r="AG10" s="54"/>
      <c r="AH10" s="54">
        <v>0</v>
      </c>
      <c r="AI10" s="54" t="s">
        <v>988</v>
      </c>
      <c r="AJ10" s="54">
        <v>17794949</v>
      </c>
      <c r="AK10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15604590.979744634</v>
      </c>
      <c r="AL10" s="54">
        <f t="shared" si="8"/>
        <v>2190358.0202553663</v>
      </c>
      <c r="AM10" s="89">
        <f t="shared" si="9"/>
        <v>-0.12308874952411307</v>
      </c>
      <c r="AN10" s="91">
        <f t="shared" si="10"/>
        <v>0.12308874952411307</v>
      </c>
      <c r="AO10" s="54"/>
      <c r="AP10" s="53"/>
      <c r="AQ10" s="53"/>
      <c r="AR10" s="53"/>
      <c r="AS10" s="53"/>
      <c r="AT10" s="54"/>
      <c r="AU10" s="54"/>
      <c r="AV10" s="54"/>
      <c r="AW10" s="54"/>
      <c r="AX10" s="54"/>
      <c r="AY10" s="54"/>
      <c r="AZ10" s="53"/>
      <c r="BA10" s="53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3"/>
      <c r="BR10" s="53"/>
      <c r="BS10" s="54"/>
      <c r="BT10" s="54"/>
      <c r="BU10" s="68"/>
      <c r="BX10" s="33"/>
    </row>
    <row r="11" spans="1:78" x14ac:dyDescent="0.3">
      <c r="B11" s="4" t="s">
        <v>19</v>
      </c>
      <c r="C11" s="5" t="s">
        <v>20</v>
      </c>
      <c r="D11" s="63">
        <v>2.6257999999999997E-2</v>
      </c>
      <c r="E11" s="63">
        <f>Tabelle2[[#This Row],[BIP (mrd.)]]*1000000000/Tabelle2[[#This Row],[Bevölkerung]]</f>
        <v>8.6560079116532052</v>
      </c>
      <c r="F11" s="63">
        <v>0.63100000000000001</v>
      </c>
      <c r="G11" s="53">
        <v>29740</v>
      </c>
      <c r="H11" s="63">
        <v>3033500</v>
      </c>
      <c r="I11" s="88">
        <v>7.0119999999999996</v>
      </c>
      <c r="J11" s="88">
        <f>Tabelle2[[#This Row],[Strom (mrd.)]]*1000000000/Tabelle2[[#This Row],[Bevölkerung]]</f>
        <v>2311.5213449810449</v>
      </c>
      <c r="K11" s="53">
        <v>437023</v>
      </c>
      <c r="L11" s="63">
        <f>Tabelle2[[#This Row],[Wohnimmobilien Anzahl]]/Tabelle2[[#This Row],[Bevölkerung]]</f>
        <v>0.14406560079116532</v>
      </c>
      <c r="M11" s="53">
        <f t="shared" si="0"/>
        <v>-437022.85593439918</v>
      </c>
      <c r="N11" s="53">
        <f t="shared" si="1"/>
        <v>-0.99999967034778303</v>
      </c>
      <c r="O11" s="53">
        <v>78394950</v>
      </c>
      <c r="P11" s="53"/>
      <c r="Q11" s="53">
        <f>1000000*Tabelle2[[#This Row],[Bevölkerung]]*EXP(-17.8941+0.2965*LN((Tabelle2[[#This Row],[BIP (mrd.)]]*1000000000)/Tabelle2[[#This Row],[Bevölkerung]]))</f>
        <v>97397.94466791788</v>
      </c>
      <c r="R11" s="53" t="str">
        <f t="shared" si="2"/>
        <v/>
      </c>
      <c r="S11" s="53" t="str">
        <f t="shared" si="3"/>
        <v/>
      </c>
      <c r="T11" s="53">
        <f>1000000*Tabelle2[[#This Row],[Bevölkerung]]*EXP(-14.22+0.2263*LN((Tabelle2[[#This Row],[BIP (mrd.)]]*1000000000)/Tabelle2[[#This Row],[Bevölkerung]]))</f>
        <v>3299069.3851990858</v>
      </c>
      <c r="U11" s="53" t="str">
        <f t="shared" si="4"/>
        <v/>
      </c>
      <c r="V11" s="53" t="str">
        <f t="shared" si="5"/>
        <v/>
      </c>
      <c r="W11" s="54"/>
      <c r="X11" s="54"/>
      <c r="Y11" s="54" t="str">
        <f t="shared" si="6"/>
        <v/>
      </c>
      <c r="Z11" s="54" t="str">
        <f t="shared" si="7"/>
        <v/>
      </c>
      <c r="AA11" s="54"/>
      <c r="AB11" s="54"/>
      <c r="AC11" s="54"/>
      <c r="AD11" s="54"/>
      <c r="AE11" s="54"/>
      <c r="AF11" s="54"/>
      <c r="AG11" s="54"/>
      <c r="AH11" s="56">
        <v>0</v>
      </c>
      <c r="AI11" s="56" t="s">
        <v>988</v>
      </c>
      <c r="AJ11" s="80"/>
      <c r="AK11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136364.06014417479</v>
      </c>
      <c r="AL11" s="56" t="str">
        <f t="shared" si="8"/>
        <v/>
      </c>
      <c r="AM11" s="89" t="str">
        <f t="shared" si="9"/>
        <v/>
      </c>
      <c r="AN11" s="91"/>
      <c r="AO11" s="54">
        <v>108680579</v>
      </c>
      <c r="AP11" s="53"/>
      <c r="AQ11" s="53"/>
      <c r="AR11" s="53"/>
      <c r="AS11" s="53"/>
      <c r="AT11" s="54"/>
      <c r="AU11" s="54"/>
      <c r="AV11" s="54"/>
      <c r="AW11" s="54"/>
      <c r="AX11" s="54"/>
      <c r="AY11" s="54"/>
      <c r="AZ11" s="53"/>
      <c r="BA11" s="53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3"/>
      <c r="BR11" s="53"/>
      <c r="BS11" s="54"/>
      <c r="BT11" s="54"/>
      <c r="BU11" s="68"/>
    </row>
    <row r="12" spans="1:78" x14ac:dyDescent="0.3">
      <c r="B12" s="4" t="s">
        <v>21</v>
      </c>
      <c r="C12" s="5" t="s">
        <v>22</v>
      </c>
      <c r="D12" s="63">
        <v>7.8870000000000005</v>
      </c>
      <c r="E12" s="63">
        <f>Tabelle2[[#This Row],[BIP (mrd.)]]*1000000000/Tabelle2[[#This Row],[Bevölkerung]]</f>
        <v>773.01930342992398</v>
      </c>
      <c r="F12" s="63">
        <v>0.55700000000000005</v>
      </c>
      <c r="G12" s="53">
        <v>86600</v>
      </c>
      <c r="H12" s="63">
        <v>10202850</v>
      </c>
      <c r="I12" s="88">
        <v>23.856999999999999</v>
      </c>
      <c r="J12" s="88">
        <f>Tabelle2[[#This Row],[Strom (mrd.)]]*1000000000/Tabelle2[[#This Row],[Bevölkerung]]</f>
        <v>2338.2682289752374</v>
      </c>
      <c r="K12" s="53">
        <v>1705300</v>
      </c>
      <c r="L12" s="63">
        <f>Tabelle2[[#This Row],[Wohnimmobilien Anzahl]]/Tabelle2[[#This Row],[Bevölkerung]]</f>
        <v>0.1671395737465512</v>
      </c>
      <c r="M12" s="53">
        <f t="shared" si="0"/>
        <v>-1705299.8328604263</v>
      </c>
      <c r="N12" s="53">
        <f t="shared" si="1"/>
        <v>-0.99999990198817001</v>
      </c>
      <c r="O12" s="53"/>
      <c r="P12" s="53"/>
      <c r="Q12" s="53">
        <f>1000000*Tabelle2[[#This Row],[Bevölkerung]]*EXP(-17.8941+0.2965*LN((Tabelle2[[#This Row],[BIP (mrd.)]]*1000000000)/Tabelle2[[#This Row],[Bevölkerung]]))</f>
        <v>1240969.331308451</v>
      </c>
      <c r="R12" s="53" t="str">
        <f t="shared" si="2"/>
        <v/>
      </c>
      <c r="S12" s="53" t="str">
        <f t="shared" si="3"/>
        <v/>
      </c>
      <c r="T12" s="53">
        <f>1000000*Tabelle2[[#This Row],[Bevölkerung]]*EXP(-14.22+0.2263*LN((Tabelle2[[#This Row],[BIP (mrd.)]]*1000000000)/Tabelle2[[#This Row],[Bevölkerung]]))</f>
        <v>30665598.332825355</v>
      </c>
      <c r="U12" s="53" t="str">
        <f t="shared" si="4"/>
        <v/>
      </c>
      <c r="V12" s="53" t="str">
        <f t="shared" si="5"/>
        <v/>
      </c>
      <c r="W12" s="54"/>
      <c r="X12" s="54"/>
      <c r="Y12" s="54" t="str">
        <f t="shared" si="6"/>
        <v/>
      </c>
      <c r="Z12" s="54" t="str">
        <f t="shared" si="7"/>
        <v/>
      </c>
      <c r="AA12" s="54"/>
      <c r="AB12" s="54"/>
      <c r="AC12" s="54"/>
      <c r="AD12" s="54"/>
      <c r="AE12" s="54"/>
      <c r="AF12" s="54"/>
      <c r="AG12" s="54"/>
      <c r="AH12" s="54"/>
      <c r="AI12" s="54">
        <v>0</v>
      </c>
      <c r="AJ12" s="54"/>
      <c r="AK12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1556376.4720891549</v>
      </c>
      <c r="AL12" s="54" t="str">
        <f t="shared" si="8"/>
        <v/>
      </c>
      <c r="AM12" s="89" t="str">
        <f t="shared" si="9"/>
        <v/>
      </c>
      <c r="AN12" s="91"/>
      <c r="AO12" s="54"/>
      <c r="AP12" s="53"/>
      <c r="AQ12" s="53"/>
      <c r="AR12" s="53"/>
      <c r="AS12" s="53"/>
      <c r="AT12" s="54"/>
      <c r="AU12" s="54"/>
      <c r="AV12" s="54"/>
      <c r="AW12" s="54"/>
      <c r="AX12" s="54"/>
      <c r="AY12" s="54"/>
      <c r="AZ12" s="53"/>
      <c r="BA12" s="53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4"/>
      <c r="BQ12" s="53"/>
      <c r="BR12" s="53"/>
      <c r="BS12" s="54"/>
      <c r="BT12" s="54"/>
      <c r="BU12" s="68"/>
    </row>
    <row r="13" spans="1:78" x14ac:dyDescent="0.3">
      <c r="B13" s="24" t="s">
        <v>23</v>
      </c>
      <c r="C13" s="25" t="s">
        <v>24</v>
      </c>
      <c r="D13" s="63">
        <v>117.45699999999999</v>
      </c>
      <c r="E13" s="63">
        <f>Tabelle2[[#This Row],[BIP (mrd.)]]*1000000000/Tabelle2[[#This Row],[Bevölkerung]]</f>
        <v>889.42302413520792</v>
      </c>
      <c r="F13" s="63">
        <v>0.20799999999999999</v>
      </c>
      <c r="G13" s="53">
        <v>1136240</v>
      </c>
      <c r="H13" s="63">
        <v>132059769.99999999</v>
      </c>
      <c r="I13" s="88">
        <v>12.298</v>
      </c>
      <c r="J13" s="88">
        <f>Tabelle2[[#This Row],[Strom (mrd.)]]*1000000000/Tabelle2[[#This Row],[Bevölkerung]]</f>
        <v>93.124499611047341</v>
      </c>
      <c r="K13" s="53"/>
      <c r="L13" s="53">
        <f>1000000*Tabelle2[[#This Row],[Bevölkerung]]*EXP(-15.4183+0.052*LN((Tabelle2[[#This Row],[BIP (mrd.)]]*1000000000)/Tabelle2[[#This Row],[Bevölkerung]]))</f>
        <v>37847880.285004221</v>
      </c>
      <c r="M13" s="53" t="str">
        <f t="shared" ref="M13:M16" si="16">IF(AND(ISNUMBER(K13), ISNUMBER(L13)), K13-L13, "")</f>
        <v/>
      </c>
      <c r="N13" s="65" t="str">
        <f t="shared" si="1"/>
        <v/>
      </c>
      <c r="O13" s="53"/>
      <c r="P13" s="53"/>
      <c r="Q13" s="53">
        <f>1000000*Tabelle2[[#This Row],[Bevölkerung]]*EXP(-17.8941+0.2965*LN((Tabelle2[[#This Row],[BIP (mrd.)]]*1000000000)/Tabelle2[[#This Row],[Bevölkerung]]))</f>
        <v>16744503.668399485</v>
      </c>
      <c r="R13" s="53" t="str">
        <f t="shared" si="2"/>
        <v/>
      </c>
      <c r="S13" s="53" t="str">
        <f t="shared" si="3"/>
        <v/>
      </c>
      <c r="T13" s="53">
        <f>1000000*Tabelle2[[#This Row],[Wohneinheiten Anzahl]]*EXP(-14.22+0.02263*LN((Tabelle2[[#This Row],[BIP (mrd.)]]*1000000000)/Tabelle2[[#This Row],[Bevölkerung]]))</f>
        <v>11752743.165781561</v>
      </c>
      <c r="U13" s="53" t="str">
        <f t="shared" si="4"/>
        <v/>
      </c>
      <c r="V13" s="53" t="str">
        <f t="shared" si="5"/>
        <v/>
      </c>
      <c r="W13" s="54"/>
      <c r="X13" s="53">
        <f>1000000*Tabelle2[[#This Row],[Bevölkerung]]*EXP(-17.9119+0.2965*LN((Tabelle2[[#This Row],[BIP (mrd.)]]*1000000000)/Tabelle2[[#This Row],[Bevölkerung]]))</f>
        <v>16449088.498022398</v>
      </c>
      <c r="Y13" s="53" t="str">
        <f t="shared" ref="Y13:Y16" si="17">IF(AND(ISNUMBER(W13), ISNUMBER(X13)), W13-X13, "")</f>
        <v/>
      </c>
      <c r="Z13" s="65" t="str">
        <f t="shared" ref="Z13:Z16" si="18">IF(OR(W13=0,W13=""),"",(X13 - W13)/W13)</f>
        <v/>
      </c>
      <c r="AA13" s="54"/>
      <c r="AB13" s="54"/>
      <c r="AC13" s="54"/>
      <c r="AD13" s="54"/>
      <c r="AE13" s="54"/>
      <c r="AF13" s="54"/>
      <c r="AG13" s="54"/>
      <c r="AH13" s="54">
        <v>0</v>
      </c>
      <c r="AI13" s="54" t="s">
        <v>987</v>
      </c>
      <c r="AJ13" s="54">
        <v>15103182</v>
      </c>
      <c r="AK13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20928273.125643712</v>
      </c>
      <c r="AL13" s="54">
        <f t="shared" si="8"/>
        <v>-5825091.1256437115</v>
      </c>
      <c r="AM13" s="89">
        <f t="shared" si="9"/>
        <v>0.38568634911793498</v>
      </c>
      <c r="AN13" s="91">
        <f t="shared" si="10"/>
        <v>0.38568634911793498</v>
      </c>
      <c r="AO13" s="54"/>
      <c r="AP13" s="53"/>
      <c r="AQ13" s="53"/>
      <c r="AR13" s="53"/>
      <c r="AS13" s="53"/>
      <c r="AT13" s="54"/>
      <c r="AU13" s="54"/>
      <c r="AV13" s="54"/>
      <c r="AW13" s="54"/>
      <c r="AX13" s="54"/>
      <c r="AY13" s="54"/>
      <c r="AZ13" s="53"/>
      <c r="BA13" s="53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3"/>
      <c r="BR13" s="53"/>
      <c r="BS13" s="54"/>
      <c r="BT13" s="54"/>
      <c r="BU13" s="68"/>
    </row>
    <row r="14" spans="1:78" x14ac:dyDescent="0.3">
      <c r="B14" s="11" t="s">
        <v>25</v>
      </c>
      <c r="C14" s="12" t="s">
        <v>26</v>
      </c>
      <c r="D14" s="63">
        <v>1771.681</v>
      </c>
      <c r="E14" s="63">
        <f>Tabelle2[[#This Row],[BIP (mrd.)]]*1000000000/Tabelle2[[#This Row],[Bevölkerung]]</f>
        <v>65123.814501920802</v>
      </c>
      <c r="F14" s="63">
        <v>0.86</v>
      </c>
      <c r="G14" s="53">
        <v>7741220</v>
      </c>
      <c r="H14" s="63">
        <v>27204810</v>
      </c>
      <c r="I14" s="88">
        <v>267.81799999999998</v>
      </c>
      <c r="J14" s="88">
        <f>Tabelle2[[#This Row],[Strom (mrd.)]]*1000000000/Tabelle2[[#This Row],[Bevölkerung]]</f>
        <v>9844.509114380875</v>
      </c>
      <c r="K14" s="87"/>
      <c r="L14" s="87">
        <f>1000000*Tabelle2[[#This Row],[Bevölkerung]]*EXP(-15.4183+0.052*LN((Tabelle2[[#This Row],[BIP (mrd.)]]*1000000000)/Tabelle2[[#This Row],[Bevölkerung]]))</f>
        <v>9747147.9453440029</v>
      </c>
      <c r="M14" s="87" t="str">
        <f t="shared" si="16"/>
        <v/>
      </c>
      <c r="N14" s="92" t="str">
        <f t="shared" si="1"/>
        <v/>
      </c>
      <c r="O14" s="53"/>
      <c r="P14" s="53">
        <v>9808428</v>
      </c>
      <c r="Q14" s="53">
        <f>1000000*Tabelle2[[#This Row],[Bevölkerung]]*EXP(-17.8941+0.2965*LN((Tabelle2[[#This Row],[BIP (mrd.)]]*1000000000)/Tabelle2[[#This Row],[Bevölkerung]]))</f>
        <v>12319998.877492281</v>
      </c>
      <c r="R14" s="53">
        <f t="shared" si="2"/>
        <v>-2511570.8774922807</v>
      </c>
      <c r="S14" s="65">
        <f t="shared" si="3"/>
        <v>0.25606252882646235</v>
      </c>
      <c r="T14" s="53">
        <f>1000000*Tabelle2[[#This Row],[Wohneinheiten Anzahl]]*EXP(-14.22+0.02263*LN((Tabelle2[[#This Row],[BIP (mrd.)]]*1000000000)/Tabelle2[[#This Row],[Bevölkerung]]))</f>
        <v>9306481.2955137249</v>
      </c>
      <c r="U14" s="65">
        <f t="shared" si="4"/>
        <v>501946.70448627509</v>
      </c>
      <c r="V14" s="65">
        <f t="shared" si="5"/>
        <v>-5.1175040942980372E-2</v>
      </c>
      <c r="W14" s="87">
        <v>7003310</v>
      </c>
      <c r="X14" s="87">
        <f>1000000*Tabelle2[[#This Row],[Bevölkerung]]*EXP(-15.6892+0.034*LN((Tabelle2[[#This Row],[BIP (mrd.)]]*1000000000)/Tabelle2[[#This Row],[Bevölkerung]]))</f>
        <v>6089475.1968365191</v>
      </c>
      <c r="Y14" s="87">
        <f t="shared" si="17"/>
        <v>913834.80316348094</v>
      </c>
      <c r="Z14" s="92">
        <f t="shared" si="18"/>
        <v>-0.1304861277258155</v>
      </c>
      <c r="AA14" s="86"/>
      <c r="AB14" s="54"/>
      <c r="AC14" s="54"/>
      <c r="AD14" s="54"/>
      <c r="AE14" s="54"/>
      <c r="AF14" s="54"/>
      <c r="AG14" s="54"/>
      <c r="AH14" s="56">
        <v>1</v>
      </c>
      <c r="AI14" s="56" t="s">
        <v>989</v>
      </c>
      <c r="AJ14" s="54">
        <v>10852208</v>
      </c>
      <c r="AK14" s="80">
        <f>1000000*Tabelle2[[#This Row],[Bevölkerung]]*EXP(-16.79+0.22*LN((Tabelle2[[#This Row],[BIP (mrd.)]]*1000000000)/Tabelle2[[#This Row],[Bevölkerung]]))+0.02*Tabelle2[[#This Row],[Urbanisierung]]-0.04*LN(MAX(Tabelle2[[#This Row],[Strom (mrd.)]],0.000000000001))</f>
        <v>15917105.801510461</v>
      </c>
      <c r="AL14" s="56">
        <f t="shared" si="8"/>
        <v>-5064897.8015104607</v>
      </c>
      <c r="AM14" s="89">
        <f t="shared" si="9"/>
        <v>0.46671587952520449</v>
      </c>
      <c r="AN14" s="91">
        <f>ABS(AM14)</f>
        <v>0.46671587952520449</v>
      </c>
      <c r="AO14" s="54"/>
      <c r="AP14" s="53">
        <v>1047421</v>
      </c>
      <c r="AQ14" s="53"/>
      <c r="AR14" s="53"/>
      <c r="AS14" s="53"/>
      <c r="AT14" s="1"/>
      <c r="AU14" s="54"/>
      <c r="AV14" s="54"/>
      <c r="AW14" s="54"/>
      <c r="AX14" s="54">
        <v>146728</v>
      </c>
      <c r="AY14" s="54"/>
      <c r="AZ14" s="53"/>
      <c r="BA14" s="53"/>
      <c r="BB14" s="54"/>
      <c r="BC14" s="54"/>
      <c r="BD14" s="54">
        <v>127295</v>
      </c>
      <c r="BE14" s="54"/>
      <c r="BF14" s="54"/>
      <c r="BG14" s="54">
        <v>22752</v>
      </c>
      <c r="BH14" s="54"/>
      <c r="BI14" s="54"/>
      <c r="BJ14" s="54"/>
      <c r="BK14" s="54"/>
      <c r="BL14" s="54">
        <v>9035</v>
      </c>
      <c r="BM14" s="54"/>
      <c r="BN14" s="54"/>
      <c r="BO14" s="54"/>
      <c r="BP14" s="54"/>
      <c r="BQ14" s="53"/>
      <c r="BR14" s="53"/>
      <c r="BS14" s="54"/>
      <c r="BT14" s="54"/>
      <c r="BU14" s="68"/>
    </row>
    <row r="15" spans="1:78" x14ac:dyDescent="0.3">
      <c r="B15" s="4" t="s">
        <v>27</v>
      </c>
      <c r="C15" s="5" t="s">
        <v>28</v>
      </c>
      <c r="D15" s="63">
        <v>15.178000000000001</v>
      </c>
      <c r="E15" s="63">
        <f>Tabelle2[[#This Row],[BIP (mrd.)]]*1000000000/Tabelle2[[#This Row],[Bevölkerung]]</f>
        <v>37823.963317384369</v>
      </c>
      <c r="F15" s="63">
        <v>0.83</v>
      </c>
      <c r="G15" s="53">
        <v>13880</v>
      </c>
      <c r="H15" s="63">
        <v>401280</v>
      </c>
      <c r="I15" s="88">
        <v>2.036</v>
      </c>
      <c r="J15" s="88">
        <f>Tabelle2[[#This Row],[Strom (mrd.)]]*1000000000/Tabelle2[[#This Row],[Bevölkerung]]</f>
        <v>5073.7639553429026</v>
      </c>
      <c r="K15" s="53">
        <v>96863</v>
      </c>
      <c r="L15" s="53">
        <f>1000000*Tabelle2[[#This Row],[Bevölkerung]]*EXP(-15.4183+0.052*LN((Tabelle2[[#This Row],[BIP (mrd.)]]*1000000000)/Tabelle2[[#This Row],[Bevölkerung]]))</f>
        <v>139768.33454986627</v>
      </c>
      <c r="M15" s="53">
        <f t="shared" si="16"/>
        <v>-42905.334549866267</v>
      </c>
      <c r="N15" s="65">
        <f t="shared" si="1"/>
        <v>0.44294864447587073</v>
      </c>
      <c r="O15" s="53"/>
      <c r="P15" s="53">
        <v>102493</v>
      </c>
      <c r="Q15" s="53">
        <f>1000000*Tabelle2[[#This Row],[Bevölkerung]]*EXP(-17.8941+0.2965*LN((Tabelle2[[#This Row],[BIP (mrd.)]]*1000000000)/Tabelle2[[#This Row],[Bevölkerung]]))</f>
        <v>154684.41231825706</v>
      </c>
      <c r="R15" s="53">
        <f t="shared" si="2"/>
        <v>-52191.412318257062</v>
      </c>
      <c r="S15" s="65">
        <f t="shared" si="3"/>
        <v>0.50921928637328462</v>
      </c>
      <c r="T15" s="53">
        <f>1000000*Tabelle2[[#This Row],[Wohneinheiten Anzahl]]*EXP(-14.22+0.02263*LN((Tabelle2[[#This Row],[BIP (mrd.)]]*1000000000)/Tabelle2[[#This Row],[Bevölkerung]]))</f>
        <v>107150.40775109999</v>
      </c>
      <c r="U15" s="65">
        <f t="shared" si="4"/>
        <v>-4657.4077510999923</v>
      </c>
      <c r="V15" s="65">
        <f t="shared" si="5"/>
        <v>4.5441227704330955E-2</v>
      </c>
      <c r="W15" s="54"/>
      <c r="X15" s="53">
        <f>1000000*Tabelle2[[#This Row],[Bevölkerung]]*EXP(-17.9119+0.2965*LN((Tabelle2[[#This Row],[BIP (mrd.)]]*1000000000)/Tabelle2[[#This Row],[Bevölkerung]]))</f>
        <v>151955.39013135785</v>
      </c>
      <c r="Y15" s="53" t="str">
        <f t="shared" si="17"/>
        <v/>
      </c>
      <c r="Z15" s="65" t="str">
        <f t="shared" si="18"/>
        <v/>
      </c>
      <c r="AA15" s="54"/>
      <c r="AB15" s="54"/>
      <c r="AC15" s="54"/>
      <c r="AD15" s="54"/>
      <c r="AE15" s="54"/>
      <c r="AF15" s="54"/>
      <c r="AG15" s="54"/>
      <c r="AH15" s="54">
        <v>0</v>
      </c>
      <c r="AI15" s="54" t="s">
        <v>989</v>
      </c>
      <c r="AJ15" s="54">
        <v>126493</v>
      </c>
      <c r="AK15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176362.31710917619</v>
      </c>
      <c r="AL15" s="54">
        <f t="shared" si="8"/>
        <v>-49869.317109176191</v>
      </c>
      <c r="AM15" s="89">
        <f t="shared" si="9"/>
        <v>0.39424566663116689</v>
      </c>
      <c r="AN15" s="91">
        <f t="shared" ref="AN15:AN75" si="19">ABS(AM15)</f>
        <v>0.39424566663116689</v>
      </c>
      <c r="AO15" s="54"/>
      <c r="AP15" s="53"/>
      <c r="AQ15" s="53"/>
      <c r="AR15" s="53"/>
      <c r="AS15" s="53"/>
      <c r="AT15" s="54"/>
      <c r="AU15" s="54"/>
      <c r="AV15" s="54"/>
      <c r="AW15" s="54"/>
      <c r="AX15" s="54"/>
      <c r="AY15" s="54"/>
      <c r="AZ15" s="53"/>
      <c r="BA15" s="53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3"/>
      <c r="BR15" s="53"/>
      <c r="BS15" s="54"/>
      <c r="BT15" s="54"/>
      <c r="BU15" s="68"/>
    </row>
    <row r="16" spans="1:78" x14ac:dyDescent="0.3">
      <c r="B16" s="24" t="s">
        <v>29</v>
      </c>
      <c r="C16" s="25" t="s">
        <v>30</v>
      </c>
      <c r="D16" s="63">
        <v>47.829000000000001</v>
      </c>
      <c r="E16" s="63">
        <f>Tabelle2[[#This Row],[BIP (mrd.)]]*1000000000/Tabelle2[[#This Row],[Bevölkerung]]</f>
        <v>30106.31534554061</v>
      </c>
      <c r="F16" s="63">
        <v>0.89300000000000002</v>
      </c>
      <c r="G16" s="53">
        <v>800</v>
      </c>
      <c r="H16" s="63">
        <v>1588670</v>
      </c>
      <c r="I16" s="88">
        <v>35.090000000000003</v>
      </c>
      <c r="J16" s="88">
        <f>Tabelle2[[#This Row],[Strom (mrd.)]]*1000000000/Tabelle2[[#This Row],[Bevölkerung]]</f>
        <v>22087.658229840054</v>
      </c>
      <c r="K16" s="53"/>
      <c r="L16" s="53">
        <f>1000000*Tabelle2[[#This Row],[Bevölkerung]]*EXP(-15.4183+0.052*LN((Tabelle2[[#This Row],[BIP (mrd.)]]*1000000000)/Tabelle2[[#This Row],[Bevölkerung]]))</f>
        <v>546816.08316859987</v>
      </c>
      <c r="M16" s="53" t="str">
        <f t="shared" si="16"/>
        <v/>
      </c>
      <c r="N16" s="65" t="str">
        <f t="shared" si="1"/>
        <v/>
      </c>
      <c r="O16" s="53"/>
      <c r="P16" s="53"/>
      <c r="Q16" s="53">
        <f>1000000*Tabelle2[[#This Row],[Bevölkerung]]*EXP(-17.8941+0.2965*LN((Tabelle2[[#This Row],[BIP (mrd.)]]*1000000000)/Tabelle2[[#This Row],[Bevölkerung]]))</f>
        <v>572330.36255209148</v>
      </c>
      <c r="R16" s="53" t="str">
        <f t="shared" si="2"/>
        <v/>
      </c>
      <c r="S16" s="53" t="str">
        <f t="shared" si="3"/>
        <v/>
      </c>
      <c r="T16" s="53">
        <f>1000000*Tabelle2[[#This Row],[Wohneinheiten Anzahl]]*EXP(-14.22+0.02263*LN((Tabelle2[[#This Row],[BIP (mrd.)]]*1000000000)/Tabelle2[[#This Row],[Bevölkerung]]))</f>
        <v>326239.7151025979</v>
      </c>
      <c r="U16" s="53" t="str">
        <f t="shared" si="4"/>
        <v/>
      </c>
      <c r="V16" s="53" t="str">
        <f t="shared" si="5"/>
        <v/>
      </c>
      <c r="W16" s="54"/>
      <c r="X16" s="53">
        <f>1000000*Tabelle2[[#This Row],[Bevölkerung]]*EXP(-17.9119+0.2965*LN((Tabelle2[[#This Row],[BIP (mrd.)]]*1000000000)/Tabelle2[[#This Row],[Bevölkerung]]))</f>
        <v>562233.01509327197</v>
      </c>
      <c r="Y16" s="53" t="str">
        <f t="shared" si="17"/>
        <v/>
      </c>
      <c r="Z16" s="65" t="str">
        <f t="shared" si="18"/>
        <v/>
      </c>
      <c r="AA16" s="54"/>
      <c r="AB16" s="54"/>
      <c r="AC16" s="54"/>
      <c r="AD16" s="54"/>
      <c r="AE16" s="54"/>
      <c r="AF16" s="54"/>
      <c r="AG16" s="54"/>
      <c r="AH16" s="54">
        <v>0</v>
      </c>
      <c r="AI16" s="54" t="s">
        <v>989</v>
      </c>
      <c r="AJ16" s="54">
        <v>387126</v>
      </c>
      <c r="AK16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656196.59703717241</v>
      </c>
      <c r="AL16" s="54">
        <f t="shared" si="8"/>
        <v>-269070.59703717241</v>
      </c>
      <c r="AM16" s="89">
        <f t="shared" si="9"/>
        <v>0.69504656633027084</v>
      </c>
      <c r="AN16" s="91">
        <f t="shared" si="19"/>
        <v>0.69504656633027084</v>
      </c>
      <c r="AO16" s="54"/>
      <c r="AP16" s="53"/>
      <c r="AQ16" s="53"/>
      <c r="AR16" s="53"/>
      <c r="AS16" s="53"/>
      <c r="AT16" s="54"/>
      <c r="AU16" s="54"/>
      <c r="AV16" s="54"/>
      <c r="AW16" s="54"/>
      <c r="AX16" s="54"/>
      <c r="AY16" s="54"/>
      <c r="AZ16" s="53"/>
      <c r="BA16" s="53"/>
      <c r="BB16" s="54"/>
      <c r="BC16" s="54"/>
      <c r="BD16" s="54"/>
      <c r="BE16" s="54"/>
      <c r="BF16" s="54"/>
      <c r="BG16" s="54"/>
      <c r="BH16" s="54"/>
      <c r="BI16" s="54"/>
      <c r="BJ16" s="54"/>
      <c r="BK16" s="54"/>
      <c r="BL16" s="54"/>
      <c r="BM16" s="54"/>
      <c r="BN16" s="54"/>
      <c r="BO16" s="54"/>
      <c r="BP16" s="54"/>
      <c r="BQ16" s="53"/>
      <c r="BR16" s="53"/>
      <c r="BS16" s="54"/>
      <c r="BT16" s="54"/>
      <c r="BU16" s="68"/>
    </row>
    <row r="17" spans="1:73" x14ac:dyDescent="0.3">
      <c r="B17" s="4" t="s">
        <v>31</v>
      </c>
      <c r="C17" s="5" t="s">
        <v>32</v>
      </c>
      <c r="D17" s="63">
        <v>0.46721800000000002</v>
      </c>
      <c r="E17" s="63">
        <f>Tabelle2[[#This Row],[BIP (mrd.)]]*1000000000/Tabelle2[[#This Row],[Bevölkerung]]</f>
        <v>2.691931591619289</v>
      </c>
      <c r="F17" s="63">
        <v>0.36599999999999999</v>
      </c>
      <c r="G17" s="53">
        <v>147570</v>
      </c>
      <c r="H17" s="63">
        <v>173562360</v>
      </c>
      <c r="I17" s="88"/>
      <c r="J17" s="88">
        <f>Tabelle2[[#This Row],[Strom (mrd.)]]*1000000000/Tabelle2[[#This Row],[Bevölkerung]]</f>
        <v>0</v>
      </c>
      <c r="K17" s="53"/>
      <c r="L17" s="53">
        <f>Tabelle2[[#This Row],[Wohnimmobilien Anzahl]]/Tabelle2[[#This Row],[Bevölkerung]]</f>
        <v>0</v>
      </c>
      <c r="M17" s="53">
        <f t="shared" si="0"/>
        <v>0</v>
      </c>
      <c r="N17" s="53" t="str">
        <f t="shared" si="1"/>
        <v/>
      </c>
      <c r="O17" s="53"/>
      <c r="P17" s="53"/>
      <c r="Q17" s="53">
        <f>1000000*Tabelle2[[#This Row],[Bevölkerung]]*EXP(-17.8941+0.2965*LN((Tabelle2[[#This Row],[BIP (mrd.)]]*1000000000)/Tabelle2[[#This Row],[Bevölkerung]]))</f>
        <v>3941491.913259224</v>
      </c>
      <c r="R17" s="53" t="str">
        <f t="shared" si="2"/>
        <v/>
      </c>
      <c r="S17" s="53" t="str">
        <f t="shared" si="3"/>
        <v/>
      </c>
      <c r="T17" s="53">
        <f>1000000*Tabelle2[[#This Row],[Bevölkerung]]*EXP(-14.22+0.2263*LN((Tabelle2[[#This Row],[BIP (mrd.)]]*1000000000)/Tabelle2[[#This Row],[Bevölkerung]]))</f>
        <v>144914386.20020083</v>
      </c>
      <c r="U17" s="53" t="str">
        <f t="shared" si="4"/>
        <v/>
      </c>
      <c r="V17" s="53" t="str">
        <f t="shared" si="5"/>
        <v/>
      </c>
      <c r="W17" s="54"/>
      <c r="X17" s="56"/>
      <c r="Y17" s="56" t="str">
        <f t="shared" si="6"/>
        <v/>
      </c>
      <c r="Z17" s="56" t="str">
        <f t="shared" si="7"/>
        <v/>
      </c>
      <c r="AA17" s="56"/>
      <c r="AB17" s="54"/>
      <c r="AC17" s="54"/>
      <c r="AD17" s="54"/>
      <c r="AE17" s="54"/>
      <c r="AF17" s="54"/>
      <c r="AG17" s="54"/>
      <c r="AH17" s="54"/>
      <c r="AI17" s="54">
        <v>0</v>
      </c>
      <c r="AJ17" s="54"/>
      <c r="AK17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5678562.4057071991</v>
      </c>
      <c r="AL17" s="54" t="str">
        <f t="shared" si="8"/>
        <v/>
      </c>
      <c r="AM17" s="89" t="str">
        <f t="shared" si="9"/>
        <v/>
      </c>
      <c r="AN17" s="91"/>
      <c r="AO17" s="54"/>
      <c r="AP17" s="53"/>
      <c r="AQ17" s="53"/>
      <c r="AR17" s="53"/>
      <c r="AS17" s="53"/>
      <c r="AT17" s="56"/>
      <c r="AU17" s="54"/>
      <c r="AV17" s="54"/>
      <c r="AW17" s="54"/>
      <c r="AX17" s="54"/>
      <c r="AY17" s="54"/>
      <c r="AZ17" s="53"/>
      <c r="BA17" s="53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3"/>
      <c r="BR17" s="53"/>
      <c r="BS17" s="54"/>
      <c r="BT17" s="54"/>
      <c r="BU17" s="68"/>
    </row>
    <row r="18" spans="1:73" x14ac:dyDescent="0.3">
      <c r="B18" s="4" t="s">
        <v>33</v>
      </c>
      <c r="C18" s="5" t="s">
        <v>34</v>
      </c>
      <c r="D18" s="63">
        <v>7.5519999999999988E-3</v>
      </c>
      <c r="E18" s="63">
        <f>Tabelle2[[#This Row],[BIP (mrd.)]]*1000000000/Tabelle2[[#This Row],[Bevölkerung]]</f>
        <v>26.735582539738729</v>
      </c>
      <c r="F18" s="63">
        <v>0.311</v>
      </c>
      <c r="G18" s="53">
        <v>430</v>
      </c>
      <c r="H18" s="63">
        <v>282470</v>
      </c>
      <c r="I18" s="88"/>
      <c r="J18" s="88">
        <f>Tabelle2[[#This Row],[Strom (mrd.)]]*1000000000/Tabelle2[[#This Row],[Bevölkerung]]</f>
        <v>0</v>
      </c>
      <c r="K18" s="53"/>
      <c r="L18" s="53">
        <f>Tabelle2[[#This Row],[Wohnimmobilien Anzahl]]/Tabelle2[[#This Row],[Bevölkerung]]</f>
        <v>0</v>
      </c>
      <c r="M18" s="53">
        <f t="shared" si="0"/>
        <v>0</v>
      </c>
      <c r="N18" s="53" t="str">
        <f t="shared" si="1"/>
        <v/>
      </c>
      <c r="O18" s="55"/>
      <c r="P18" s="55"/>
      <c r="Q18" s="55">
        <f>1000000*Tabelle2[[#This Row],[Bevölkerung]]*EXP(-17.8941+0.2965*LN((Tabelle2[[#This Row],[BIP (mrd.)]]*1000000000)/Tabelle2[[#This Row],[Bevölkerung]]))</f>
        <v>12670.551630959459</v>
      </c>
      <c r="R18" s="55" t="str">
        <f t="shared" si="2"/>
        <v/>
      </c>
      <c r="S18" s="55" t="str">
        <f t="shared" si="3"/>
        <v/>
      </c>
      <c r="T18" s="55">
        <f>1000000*Tabelle2[[#This Row],[Bevölkerung]]*EXP(-14.22+0.2263*LN((Tabelle2[[#This Row],[BIP (mrd.)]]*1000000000)/Tabelle2[[#This Row],[Bevölkerung]]))</f>
        <v>396510.95011891489</v>
      </c>
      <c r="U18" s="55" t="str">
        <f t="shared" si="4"/>
        <v/>
      </c>
      <c r="V18" s="55" t="str">
        <f t="shared" si="5"/>
        <v/>
      </c>
      <c r="W18" s="54"/>
      <c r="X18" s="54"/>
      <c r="Y18" s="54" t="str">
        <f t="shared" si="6"/>
        <v/>
      </c>
      <c r="Z18" s="54" t="str">
        <f t="shared" si="7"/>
        <v/>
      </c>
      <c r="AA18" s="54"/>
      <c r="AB18" s="54"/>
      <c r="AC18" s="54"/>
      <c r="AD18" s="54"/>
      <c r="AE18" s="54"/>
      <c r="AF18" s="54"/>
      <c r="AG18" s="54"/>
      <c r="AH18" s="54"/>
      <c r="AI18" s="54">
        <v>0</v>
      </c>
      <c r="AJ18" s="54"/>
      <c r="AK18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17257.016717487524</v>
      </c>
      <c r="AL18" s="54" t="str">
        <f t="shared" si="8"/>
        <v/>
      </c>
      <c r="AM18" s="89" t="str">
        <f t="shared" si="9"/>
        <v/>
      </c>
      <c r="AN18" s="91"/>
      <c r="AO18" s="54"/>
      <c r="AP18" s="53"/>
      <c r="AQ18" s="53"/>
      <c r="AR18" s="53"/>
      <c r="AS18" s="53"/>
      <c r="AT18" s="54"/>
      <c r="AU18" s="54"/>
      <c r="AV18" s="54"/>
      <c r="AW18" s="54"/>
      <c r="AX18" s="54"/>
      <c r="AY18" s="54"/>
      <c r="AZ18" s="53"/>
      <c r="BA18" s="53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3"/>
      <c r="BR18" s="53"/>
      <c r="BS18" s="54"/>
      <c r="BT18" s="54"/>
      <c r="BU18" s="68"/>
    </row>
    <row r="19" spans="1:73" x14ac:dyDescent="0.3">
      <c r="A19" t="s">
        <v>588</v>
      </c>
      <c r="B19" s="11" t="s">
        <v>35</v>
      </c>
      <c r="C19" s="12" t="s">
        <v>36</v>
      </c>
      <c r="D19" s="63">
        <v>684.86400000000003</v>
      </c>
      <c r="E19" s="63">
        <f>Tabelle2[[#This Row],[BIP (mrd.)]]*1000000000/Tabelle2[[#This Row],[Bevölkerung]]</f>
        <v>57663.823037104143</v>
      </c>
      <c r="F19" s="63">
        <v>0.98</v>
      </c>
      <c r="G19" s="53">
        <v>30689</v>
      </c>
      <c r="H19" s="63">
        <v>11876840</v>
      </c>
      <c r="I19" s="88">
        <v>74.537000000000006</v>
      </c>
      <c r="J19" s="88">
        <f>Tabelle2[[#This Row],[Strom (mrd.)]]*1000000000/Tabelle2[[#This Row],[Bevölkerung]]</f>
        <v>6275.8275770322743</v>
      </c>
      <c r="K19" s="87">
        <v>3876177</v>
      </c>
      <c r="L19" s="87">
        <f>1000000*Tabelle2[[#This Row],[Bevölkerung]]*EXP(-15.4183+0.052*LN((Tabelle2[[#This Row],[BIP (mrd.)]]*1000000000)/Tabelle2[[#This Row],[Bevölkerung]]))</f>
        <v>4228489.6704610977</v>
      </c>
      <c r="M19" s="87">
        <f t="shared" ref="M19:M20" si="20">IF(AND(ISNUMBER(K19), ISNUMBER(L19)), K19-L19, "")</f>
        <v>-352312.67046109773</v>
      </c>
      <c r="N19" s="92">
        <f t="shared" si="1"/>
        <v>9.0891791180097742E-2</v>
      </c>
      <c r="O19" s="53"/>
      <c r="P19" s="53"/>
      <c r="Q19" s="53">
        <f>1000000*Tabelle2[[#This Row],[Bevölkerung]]*EXP(-17.8941+0.2965*LN((Tabelle2[[#This Row],[BIP (mrd.)]]*1000000000)/Tabelle2[[#This Row],[Bevölkerung]]))</f>
        <v>5187999.0141448956</v>
      </c>
      <c r="R19" s="53" t="str">
        <f t="shared" si="2"/>
        <v/>
      </c>
      <c r="S19" s="53" t="str">
        <f t="shared" si="3"/>
        <v/>
      </c>
      <c r="T19" s="53">
        <f>1000000*Tabelle2[[#This Row],[Bevölkerung]]*EXP(-14.22+0.2263*LN((Tabelle2[[#This Row],[BIP (mrd.)]]*1000000000)/Tabelle2[[#This Row],[Bevölkerung]]))</f>
        <v>94716538.917805105</v>
      </c>
      <c r="U19" s="53" t="str">
        <f t="shared" si="4"/>
        <v/>
      </c>
      <c r="V19" s="53" t="str">
        <f t="shared" si="5"/>
        <v/>
      </c>
      <c r="W19" s="87">
        <v>1437107</v>
      </c>
      <c r="X19" s="87">
        <f>1000000*Tabelle2[[#This Row],[Bevölkerung]]*EXP(-15.6892+0.034*LN((Tabelle2[[#This Row],[BIP (mrd.)]]*1000000000)/Tabelle2[[#This Row],[Bevölkerung]]))</f>
        <v>2647516.2663119286</v>
      </c>
      <c r="Y19" s="87">
        <f t="shared" ref="Y19:Y20" si="21">IF(AND(ISNUMBER(W19), ISNUMBER(X19)), W19-X19, "")</f>
        <v>-1210409.2663119286</v>
      </c>
      <c r="Z19" s="92">
        <f t="shared" ref="Z19:Z20" si="22">IF(OR(W19=0,W19=""),"",(X19 - W19)/W19)</f>
        <v>0.84225410238202769</v>
      </c>
      <c r="AA19" s="54"/>
      <c r="AB19" s="54"/>
      <c r="AC19" s="54"/>
      <c r="AD19" s="54">
        <v>1183673</v>
      </c>
      <c r="AE19" s="54"/>
      <c r="AF19" s="54"/>
      <c r="AG19" s="54"/>
      <c r="AH19" s="54">
        <v>1</v>
      </c>
      <c r="AI19" s="54" t="s">
        <v>989</v>
      </c>
      <c r="AJ19" s="54">
        <v>5783434</v>
      </c>
      <c r="AK19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5854260.2454807078</v>
      </c>
      <c r="AL19" s="54">
        <f t="shared" si="8"/>
        <v>-70826.245480707847</v>
      </c>
      <c r="AM19" s="89">
        <f t="shared" si="9"/>
        <v>1.2246399886418319E-2</v>
      </c>
      <c r="AN19" s="91">
        <f t="shared" si="19"/>
        <v>1.2246399886418319E-2</v>
      </c>
      <c r="AO19" s="54"/>
      <c r="AP19" s="53"/>
      <c r="AQ19" s="53"/>
      <c r="AR19" s="53"/>
      <c r="AS19" s="53"/>
      <c r="AT19" s="54"/>
      <c r="AU19" s="54"/>
      <c r="AV19" s="54"/>
      <c r="AW19" s="54"/>
      <c r="AX19" s="54"/>
      <c r="AY19" s="54"/>
      <c r="AZ19" s="53"/>
      <c r="BA19" s="53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/>
      <c r="BN19" s="54"/>
      <c r="BO19" s="54"/>
      <c r="BP19" s="54"/>
      <c r="BQ19" s="53">
        <v>4649265</v>
      </c>
      <c r="BR19" s="53"/>
      <c r="BS19" s="54"/>
      <c r="BT19" s="54"/>
      <c r="BU19" s="68"/>
    </row>
    <row r="20" spans="1:73" x14ac:dyDescent="0.3">
      <c r="B20" s="4" t="s">
        <v>37</v>
      </c>
      <c r="C20" s="5" t="s">
        <v>38</v>
      </c>
      <c r="D20" s="63">
        <v>3.6110000000000002</v>
      </c>
      <c r="E20" s="63">
        <f>Tabelle2[[#This Row],[BIP (mrd.)]]*1000000000/Tabelle2[[#This Row],[Bevölkerung]]</f>
        <v>8658.0190375716302</v>
      </c>
      <c r="F20" s="63">
        <v>0.45700000000000002</v>
      </c>
      <c r="G20" s="53">
        <v>22966</v>
      </c>
      <c r="H20" s="63">
        <v>417070</v>
      </c>
      <c r="I20" s="88">
        <v>0.59538899999999995</v>
      </c>
      <c r="J20" s="88">
        <f>Tabelle2[[#This Row],[Strom (mrd.)]]*1000000000/Tabelle2[[#This Row],[Bevölkerung]]</f>
        <v>1427.5517299254323</v>
      </c>
      <c r="K20" s="87"/>
      <c r="L20" s="87">
        <f>1000000*Tabelle2[[#This Row],[Bevölkerung]]*EXP(-15.4183+0.052*LN((Tabelle2[[#This Row],[BIP (mrd.)]]*1000000000)/Tabelle2[[#This Row],[Bevölkerung]]))</f>
        <v>134546.40729460208</v>
      </c>
      <c r="M20" s="87" t="str">
        <f t="shared" si="20"/>
        <v/>
      </c>
      <c r="N20" s="92" t="str">
        <f t="shared" si="1"/>
        <v/>
      </c>
      <c r="O20" s="53"/>
      <c r="P20" s="53"/>
      <c r="Q20" s="53">
        <f>1000000*Tabelle2[[#This Row],[Bevölkerung]]*EXP(-17.8941+0.2965*LN((Tabelle2[[#This Row],[BIP (mrd.)]]*1000000000)/Tabelle2[[#This Row],[Bevölkerung]]))</f>
        <v>103835.2133132483</v>
      </c>
      <c r="R20" s="53" t="str">
        <f t="shared" si="2"/>
        <v/>
      </c>
      <c r="S20" s="53" t="str">
        <f t="shared" si="3"/>
        <v/>
      </c>
      <c r="T20" s="53">
        <f>1000000*Tabelle2[[#This Row],[Bevölkerung]]*EXP(-14.22+0.2263*LN((Tabelle2[[#This Row],[BIP (mrd.)]]*1000000000)/Tabelle2[[#This Row],[Bevölkerung]]))</f>
        <v>2165604.943456965</v>
      </c>
      <c r="U20" s="53" t="str">
        <f t="shared" si="4"/>
        <v/>
      </c>
      <c r="V20" s="53" t="str">
        <f t="shared" si="5"/>
        <v/>
      </c>
      <c r="W20" s="87">
        <v>97176</v>
      </c>
      <c r="X20" s="87">
        <f>1000000*Tabelle2[[#This Row],[Bevölkerung]]*EXP(-15.6892+0.034*LN((Tabelle2[[#This Row],[BIP (mrd.)]]*1000000000)/Tabelle2[[#This Row],[Bevölkerung]]))</f>
        <v>87166.216736016024</v>
      </c>
      <c r="Y20" s="87">
        <f t="shared" si="21"/>
        <v>10009.783263983976</v>
      </c>
      <c r="Z20" s="92">
        <f t="shared" si="22"/>
        <v>-0.10300674306396616</v>
      </c>
      <c r="AA20" s="54"/>
      <c r="AB20" s="54">
        <v>1396</v>
      </c>
      <c r="AC20" s="54"/>
      <c r="AD20" s="54"/>
      <c r="AE20" s="54"/>
      <c r="AF20" s="54"/>
      <c r="AG20" s="54"/>
      <c r="AH20" s="54">
        <v>0</v>
      </c>
      <c r="AI20" s="54" t="s">
        <v>988</v>
      </c>
      <c r="AJ20" s="54">
        <v>110718</v>
      </c>
      <c r="AK20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122741.79548401371</v>
      </c>
      <c r="AL20" s="54">
        <f t="shared" si="8"/>
        <v>-12023.79548401371</v>
      </c>
      <c r="AM20" s="89">
        <f t="shared" si="9"/>
        <v>0.10859838042607083</v>
      </c>
      <c r="AN20" s="91">
        <f t="shared" si="19"/>
        <v>0.10859838042607083</v>
      </c>
      <c r="AO20" s="54"/>
      <c r="AP20" s="53"/>
      <c r="AQ20" s="53"/>
      <c r="AR20" s="53"/>
      <c r="AS20" s="53"/>
      <c r="AT20" s="54"/>
      <c r="AU20" s="54"/>
      <c r="AV20" s="54"/>
      <c r="AW20" s="54"/>
      <c r="AX20" s="54"/>
      <c r="AY20" s="54"/>
      <c r="AZ20" s="53"/>
      <c r="BA20" s="53"/>
      <c r="BB20" s="54"/>
      <c r="BC20" s="54"/>
      <c r="BD20" s="54"/>
      <c r="BE20" s="54"/>
      <c r="BF20" s="54"/>
      <c r="BG20" s="54"/>
      <c r="BH20" s="54"/>
      <c r="BI20" s="54"/>
      <c r="BJ20" s="54"/>
      <c r="BK20" s="54"/>
      <c r="BL20" s="54"/>
      <c r="BM20" s="54"/>
      <c r="BN20" s="54"/>
      <c r="BO20" s="54"/>
      <c r="BP20" s="54"/>
      <c r="BQ20" s="53"/>
      <c r="BR20" s="53"/>
      <c r="BS20" s="54"/>
      <c r="BT20" s="54"/>
      <c r="BU20" s="68"/>
    </row>
    <row r="21" spans="1:73" x14ac:dyDescent="0.3">
      <c r="B21" s="4" t="s">
        <v>39</v>
      </c>
      <c r="C21" s="5" t="s">
        <v>40</v>
      </c>
      <c r="D21" s="63">
        <v>2.2235999999999999E-2</v>
      </c>
      <c r="E21" s="63">
        <f>Tabelle2[[#This Row],[BIP (mrd.)]]*1000000000/Tabelle2[[#This Row],[Bevölkerung]]</f>
        <v>1.5374701301000089</v>
      </c>
      <c r="F21" s="63">
        <v>0.47299999999999998</v>
      </c>
      <c r="G21" s="53">
        <v>114760</v>
      </c>
      <c r="H21" s="63">
        <v>14462720</v>
      </c>
      <c r="I21" s="88"/>
      <c r="J21" s="88">
        <f>Tabelle2[[#This Row],[Strom (mrd.)]]*1000000000/Tabelle2[[#This Row],[Bevölkerung]]</f>
        <v>0</v>
      </c>
      <c r="K21" s="53"/>
      <c r="L21" s="53">
        <f>Tabelle2[[#This Row],[Wohnimmobilien Anzahl]]/Tabelle2[[#This Row],[Bevölkerung]]</f>
        <v>0</v>
      </c>
      <c r="M21" s="53">
        <f t="shared" si="0"/>
        <v>0</v>
      </c>
      <c r="N21" s="53" t="str">
        <f t="shared" si="1"/>
        <v/>
      </c>
      <c r="O21" s="53"/>
      <c r="P21" s="53"/>
      <c r="Q21" s="53">
        <f>1000000*Tabelle2[[#This Row],[Bevölkerung]]*EXP(-17.8941+0.2965*LN((Tabelle2[[#This Row],[BIP (mrd.)]]*1000000000)/Tabelle2[[#This Row],[Bevölkerung]]))</f>
        <v>278182.15834595275</v>
      </c>
      <c r="R21" s="53" t="str">
        <f t="shared" si="2"/>
        <v/>
      </c>
      <c r="S21" s="53" t="str">
        <f t="shared" si="3"/>
        <v/>
      </c>
      <c r="T21" s="53">
        <f>1000000*Tabelle2[[#This Row],[Bevölkerung]]*EXP(-14.22+0.2263*LN((Tabelle2[[#This Row],[BIP (mrd.)]]*1000000000)/Tabelle2[[#This Row],[Bevölkerung]]))</f>
        <v>10637921.933253523</v>
      </c>
      <c r="U21" s="53" t="str">
        <f t="shared" si="4"/>
        <v/>
      </c>
      <c r="V21" s="53" t="str">
        <f t="shared" si="5"/>
        <v/>
      </c>
      <c r="W21" s="54"/>
      <c r="X21" s="54"/>
      <c r="Y21" s="54" t="str">
        <f t="shared" si="6"/>
        <v/>
      </c>
      <c r="Z21" s="54" t="str">
        <f t="shared" si="7"/>
        <v/>
      </c>
      <c r="AA21" s="54"/>
      <c r="AB21" s="54"/>
      <c r="AC21" s="54"/>
      <c r="AD21" s="54"/>
      <c r="AE21" s="54"/>
      <c r="AF21" s="54"/>
      <c r="AG21" s="54"/>
      <c r="AH21" s="54"/>
      <c r="AI21" s="54">
        <v>0</v>
      </c>
      <c r="AJ21" s="54"/>
      <c r="AK21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406319.47585535131</v>
      </c>
      <c r="AL21" s="54" t="str">
        <f t="shared" si="8"/>
        <v/>
      </c>
      <c r="AM21" s="89" t="str">
        <f t="shared" si="9"/>
        <v/>
      </c>
      <c r="AN21" s="91"/>
      <c r="AO21" s="54"/>
      <c r="AP21" s="53"/>
      <c r="AQ21" s="53"/>
      <c r="AR21" s="53"/>
      <c r="AS21" s="53"/>
      <c r="AT21" s="54"/>
      <c r="AU21" s="54"/>
      <c r="AV21" s="54"/>
      <c r="AW21" s="54"/>
      <c r="AX21" s="54"/>
      <c r="AY21" s="54"/>
      <c r="AZ21" s="53"/>
      <c r="BA21" s="53"/>
      <c r="BB21" s="54"/>
      <c r="BC21" s="54"/>
      <c r="BD21" s="54"/>
      <c r="BE21" s="54"/>
      <c r="BF21" s="54"/>
      <c r="BG21" s="54"/>
      <c r="BH21" s="54"/>
      <c r="BI21" s="54"/>
      <c r="BJ21" s="54"/>
      <c r="BK21" s="54"/>
      <c r="BL21" s="54"/>
      <c r="BM21" s="54"/>
      <c r="BN21" s="54"/>
      <c r="BO21" s="54"/>
      <c r="BP21" s="54"/>
      <c r="BQ21" s="53"/>
      <c r="BR21" s="53"/>
      <c r="BS21" s="54"/>
      <c r="BT21" s="54"/>
      <c r="BU21" s="68"/>
    </row>
    <row r="22" spans="1:73" x14ac:dyDescent="0.3">
      <c r="B22" s="4" t="s">
        <v>41</v>
      </c>
      <c r="C22" s="5" t="s">
        <v>42</v>
      </c>
      <c r="D22" s="63">
        <v>3.4220000000000001E-3</v>
      </c>
      <c r="E22" s="63">
        <f>Tabelle2[[#This Row],[BIP (mrd.)]]*1000000000/Tabelle2[[#This Row],[Bevölkerung]]</f>
        <v>4.3233272690519504</v>
      </c>
      <c r="F22" s="63">
        <v>0.40899999999999997</v>
      </c>
      <c r="G22" s="53">
        <v>38390</v>
      </c>
      <c r="H22" s="63">
        <v>791520</v>
      </c>
      <c r="I22" s="88"/>
      <c r="J22" s="88">
        <f>Tabelle2[[#This Row],[Strom (mrd.)]]*1000000000/Tabelle2[[#This Row],[Bevölkerung]]</f>
        <v>0</v>
      </c>
      <c r="K22" s="53"/>
      <c r="L22" s="53">
        <f>Tabelle2[[#This Row],[Wohnimmobilien Anzahl]]/Tabelle2[[#This Row],[Bevölkerung]]</f>
        <v>0</v>
      </c>
      <c r="M22" s="53">
        <f t="shared" si="0"/>
        <v>0</v>
      </c>
      <c r="N22" s="53" t="str">
        <f t="shared" si="1"/>
        <v/>
      </c>
      <c r="O22" s="53"/>
      <c r="P22" s="53"/>
      <c r="Q22" s="53">
        <f>1000000*Tabelle2[[#This Row],[Bevölkerung]]*EXP(-17.8941+0.2965*LN((Tabelle2[[#This Row],[BIP (mrd.)]]*1000000000)/Tabelle2[[#This Row],[Bevölkerung]]))</f>
        <v>20685.835878040354</v>
      </c>
      <c r="R22" s="53" t="str">
        <f t="shared" si="2"/>
        <v/>
      </c>
      <c r="S22" s="53" t="str">
        <f t="shared" si="3"/>
        <v/>
      </c>
      <c r="T22" s="53">
        <f>1000000*Tabelle2[[#This Row],[Bevölkerung]]*EXP(-14.22+0.2263*LN((Tabelle2[[#This Row],[BIP (mrd.)]]*1000000000)/Tabelle2[[#This Row],[Bevölkerung]]))</f>
        <v>735664.83840704185</v>
      </c>
      <c r="U22" s="53" t="str">
        <f t="shared" si="4"/>
        <v/>
      </c>
      <c r="V22" s="53" t="str">
        <f t="shared" si="5"/>
        <v/>
      </c>
      <c r="W22" s="54"/>
      <c r="X22" s="54"/>
      <c r="Y22" s="54" t="str">
        <f t="shared" si="6"/>
        <v/>
      </c>
      <c r="Z22" s="54" t="str">
        <f t="shared" si="7"/>
        <v/>
      </c>
      <c r="AA22" s="54"/>
      <c r="AB22" s="54"/>
      <c r="AC22" s="54"/>
      <c r="AD22" s="54"/>
      <c r="AE22" s="54"/>
      <c r="AF22" s="54"/>
      <c r="AG22" s="54"/>
      <c r="AH22" s="54"/>
      <c r="AI22" s="54">
        <v>0</v>
      </c>
      <c r="AJ22" s="54"/>
      <c r="AK22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29459.238537662211</v>
      </c>
      <c r="AL22" s="54" t="str">
        <f t="shared" si="8"/>
        <v/>
      </c>
      <c r="AM22" s="89" t="str">
        <f t="shared" si="9"/>
        <v/>
      </c>
      <c r="AN22" s="91"/>
      <c r="AO22" s="54"/>
      <c r="AP22" s="53"/>
      <c r="AQ22" s="53"/>
      <c r="AR22" s="53"/>
      <c r="AS22" s="53"/>
      <c r="AT22" s="54"/>
      <c r="AU22" s="54"/>
      <c r="AV22" s="54"/>
      <c r="AW22" s="54"/>
      <c r="AX22" s="54"/>
      <c r="AY22" s="54"/>
      <c r="AZ22" s="53"/>
      <c r="BA22" s="53"/>
      <c r="BB22" s="54"/>
      <c r="BC22" s="54"/>
      <c r="BD22" s="54"/>
      <c r="BE22" s="54"/>
      <c r="BF22" s="54"/>
      <c r="BG22" s="54"/>
      <c r="BH22" s="54"/>
      <c r="BI22" s="54"/>
      <c r="BJ22" s="54"/>
      <c r="BK22" s="54"/>
      <c r="BL22" s="54"/>
      <c r="BM22" s="54"/>
      <c r="BN22" s="54"/>
      <c r="BO22" s="54"/>
      <c r="BP22" s="54"/>
      <c r="BQ22" s="53"/>
      <c r="BR22" s="53"/>
      <c r="BS22" s="54"/>
      <c r="BT22" s="54"/>
      <c r="BU22" s="68"/>
    </row>
    <row r="23" spans="1:73" x14ac:dyDescent="0.3">
      <c r="B23" s="4" t="s">
        <v>43</v>
      </c>
      <c r="C23" s="5" t="s">
        <v>44</v>
      </c>
      <c r="D23" s="63">
        <v>5.6338999999999993E-2</v>
      </c>
      <c r="E23" s="63">
        <f>Tabelle2[[#This Row],[BIP (mrd.)]]*1000000000/Tabelle2[[#This Row],[Bevölkerung]]</f>
        <v>4.5385924152442696</v>
      </c>
      <c r="F23" s="63">
        <v>0.69399999999999995</v>
      </c>
      <c r="G23" s="53">
        <v>1098580</v>
      </c>
      <c r="H23" s="63">
        <v>12413320</v>
      </c>
      <c r="I23" s="88"/>
      <c r="J23" s="88">
        <f>Tabelle2[[#This Row],[Strom (mrd.)]]*1000000000/Tabelle2[[#This Row],[Bevölkerung]]</f>
        <v>0</v>
      </c>
      <c r="K23" s="53"/>
      <c r="L23" s="53">
        <f>Tabelle2[[#This Row],[Wohnimmobilien Anzahl]]/Tabelle2[[#This Row],[Bevölkerung]]</f>
        <v>0</v>
      </c>
      <c r="M23" s="53">
        <f t="shared" si="0"/>
        <v>0</v>
      </c>
      <c r="N23" s="53" t="str">
        <f t="shared" si="1"/>
        <v/>
      </c>
      <c r="O23" s="53"/>
      <c r="P23" s="53"/>
      <c r="Q23" s="53">
        <f>1000000*Tabelle2[[#This Row],[Bevölkerung]]*EXP(-17.8941+0.2965*LN((Tabelle2[[#This Row],[BIP (mrd.)]]*1000000000)/Tabelle2[[#This Row],[Bevölkerung]]))</f>
        <v>329121.45419434935</v>
      </c>
      <c r="R23" s="53" t="str">
        <f t="shared" si="2"/>
        <v/>
      </c>
      <c r="S23" s="53" t="str">
        <f t="shared" si="3"/>
        <v/>
      </c>
      <c r="T23" s="53">
        <f>1000000*Tabelle2[[#This Row],[Bevölkerung]]*EXP(-14.22+0.2263*LN((Tabelle2[[#This Row],[BIP (mrd.)]]*1000000000)/Tabelle2[[#This Row],[Bevölkerung]]))</f>
        <v>11664917.783698581</v>
      </c>
      <c r="U23" s="53" t="str">
        <f t="shared" si="4"/>
        <v/>
      </c>
      <c r="V23" s="53" t="str">
        <f t="shared" si="5"/>
        <v/>
      </c>
      <c r="W23" s="54"/>
      <c r="X23" s="54"/>
      <c r="Y23" s="54" t="str">
        <f t="shared" si="6"/>
        <v/>
      </c>
      <c r="Z23" s="54" t="str">
        <f t="shared" si="7"/>
        <v/>
      </c>
      <c r="AA23" s="54"/>
      <c r="AB23" s="54"/>
      <c r="AC23" s="54"/>
      <c r="AD23" s="54"/>
      <c r="AE23" s="54"/>
      <c r="AF23" s="54"/>
      <c r="AG23" s="54"/>
      <c r="AH23" s="54"/>
      <c r="AI23" s="54">
        <v>0</v>
      </c>
      <c r="AJ23" s="54"/>
      <c r="AK23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468140.99412227841</v>
      </c>
      <c r="AL23" s="54" t="str">
        <f t="shared" si="8"/>
        <v/>
      </c>
      <c r="AM23" s="89" t="str">
        <f t="shared" si="9"/>
        <v/>
      </c>
      <c r="AN23" s="91"/>
      <c r="AO23" s="54"/>
      <c r="AP23" s="53"/>
      <c r="AQ23" s="53"/>
      <c r="AR23" s="53"/>
      <c r="AS23" s="53"/>
      <c r="AT23" s="54"/>
      <c r="AU23" s="54"/>
      <c r="AV23" s="54"/>
      <c r="AW23" s="54"/>
      <c r="AX23" s="54"/>
      <c r="AY23" s="54"/>
      <c r="AZ23" s="53"/>
      <c r="BA23" s="53"/>
      <c r="BB23" s="54"/>
      <c r="BC23" s="54"/>
      <c r="BD23" s="54"/>
      <c r="BE23" s="54"/>
      <c r="BF23" s="54"/>
      <c r="BG23" s="54"/>
      <c r="BH23" s="54"/>
      <c r="BI23" s="54"/>
      <c r="BJ23" s="54"/>
      <c r="BK23" s="54"/>
      <c r="BL23" s="54"/>
      <c r="BM23" s="54"/>
      <c r="BN23" s="54"/>
      <c r="BO23" s="54"/>
      <c r="BP23" s="54"/>
      <c r="BQ23" s="53"/>
      <c r="BR23" s="53"/>
      <c r="BS23" s="54"/>
      <c r="BT23" s="54"/>
      <c r="BU23" s="68"/>
    </row>
    <row r="24" spans="1:73" x14ac:dyDescent="0.3">
      <c r="B24" s="4" t="s">
        <v>45</v>
      </c>
      <c r="C24" s="5" t="s">
        <v>46</v>
      </c>
      <c r="D24" s="63">
        <v>28.806999999999999</v>
      </c>
      <c r="E24" s="63">
        <f>Tabelle2[[#This Row],[BIP (mrd.)]]*1000000000/Tabelle2[[#This Row],[Bevölkerung]]</f>
        <v>9103.895077822548</v>
      </c>
      <c r="F24" s="63">
        <v>0.48199999999999998</v>
      </c>
      <c r="G24" s="53">
        <v>51210</v>
      </c>
      <c r="H24" s="63">
        <v>3164250</v>
      </c>
      <c r="I24" s="88">
        <v>12.867000000000001</v>
      </c>
      <c r="J24" s="88">
        <f>Tabelle2[[#This Row],[Strom (mrd.)]]*1000000000/Tabelle2[[#This Row],[Bevölkerung]]</f>
        <v>4066.3664375444419</v>
      </c>
      <c r="K24" s="53"/>
      <c r="L24" s="53">
        <f>1000000*Tabelle2[[#This Row],[Bevölkerung]]*EXP(-15.4183+0.052*LN((Tabelle2[[#This Row],[BIP (mrd.)]]*1000000000)/Tabelle2[[#This Row],[Bevölkerung]]))</f>
        <v>1023453.2162406864</v>
      </c>
      <c r="M24" s="53" t="str">
        <f>IF(AND(ISNUMBER(K24), ISNUMBER(L24)), K24-L24, "")</f>
        <v/>
      </c>
      <c r="N24" s="65" t="str">
        <f t="shared" si="1"/>
        <v/>
      </c>
      <c r="O24" s="53"/>
      <c r="P24" s="53"/>
      <c r="Q24" s="53">
        <f>1000000*Tabelle2[[#This Row],[Bevölkerung]]*EXP(-17.8941+0.2965*LN((Tabelle2[[#This Row],[BIP (mrd.)]]*1000000000)/Tabelle2[[#This Row],[Bevölkerung]]))</f>
        <v>799599.98619672575</v>
      </c>
      <c r="R24" s="53" t="str">
        <f t="shared" si="2"/>
        <v/>
      </c>
      <c r="S24" s="53" t="str">
        <f t="shared" si="3"/>
        <v/>
      </c>
      <c r="T24" s="53">
        <f>1000000*Tabelle2[[#This Row],[Bevölkerung]]*EXP(-14.22+0.2263*LN((Tabelle2[[#This Row],[BIP (mrd.)]]*1000000000)/Tabelle2[[#This Row],[Bevölkerung]]))</f>
        <v>16617909.189697953</v>
      </c>
      <c r="U24" s="53" t="str">
        <f t="shared" si="4"/>
        <v/>
      </c>
      <c r="V24" s="53" t="str">
        <f t="shared" si="5"/>
        <v/>
      </c>
      <c r="W24" s="54"/>
      <c r="X24" s="53">
        <f>1000000*Tabelle2[[#This Row],[Bevölkerung]]*EXP(-17.9119+0.2965*LN((Tabelle2[[#This Row],[BIP (mrd.)]]*1000000000)/Tabelle2[[#This Row],[Bevölkerung]]))</f>
        <v>785493.03081401053</v>
      </c>
      <c r="Y24" s="53" t="str">
        <f t="shared" ref="Y24" si="23">IF(AND(ISNUMBER(W24), ISNUMBER(X24)), W24-X24, "")</f>
        <v/>
      </c>
      <c r="Z24" s="65" t="str">
        <f t="shared" ref="Z24" si="24">IF(OR(W24=0,W24=""),"",(X24 - W24)/W24)</f>
        <v/>
      </c>
      <c r="AA24" s="54"/>
      <c r="AB24" s="54"/>
      <c r="AC24" s="54"/>
      <c r="AD24" s="54"/>
      <c r="AE24" s="54"/>
      <c r="AF24" s="54"/>
      <c r="AG24" s="54"/>
      <c r="AH24" s="54">
        <v>0</v>
      </c>
      <c r="AI24" s="54" t="s">
        <v>988</v>
      </c>
      <c r="AJ24" s="54">
        <v>1617308</v>
      </c>
      <c r="AK24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944030.40998566838</v>
      </c>
      <c r="AL24" s="54">
        <f t="shared" si="8"/>
        <v>673277.59001433162</v>
      </c>
      <c r="AM24" s="89">
        <f t="shared" si="9"/>
        <v>-0.41629522021428922</v>
      </c>
      <c r="AN24" s="91">
        <f t="shared" si="19"/>
        <v>0.41629522021428922</v>
      </c>
      <c r="AO24" s="54"/>
      <c r="AP24" s="53"/>
      <c r="AQ24" s="53"/>
      <c r="AR24" s="53"/>
      <c r="AS24" s="53"/>
      <c r="AT24" s="54"/>
      <c r="AU24" s="54"/>
      <c r="AV24" s="54"/>
      <c r="AW24" s="54"/>
      <c r="AX24" s="54"/>
      <c r="AY24" s="54"/>
      <c r="AZ24" s="53"/>
      <c r="BA24" s="53"/>
      <c r="BB24" s="54"/>
      <c r="BC24" s="54"/>
      <c r="BD24" s="54"/>
      <c r="BE24" s="54"/>
      <c r="BF24" s="54"/>
      <c r="BG24" s="54"/>
      <c r="BH24" s="54"/>
      <c r="BI24" s="54"/>
      <c r="BJ24" s="54"/>
      <c r="BK24" s="54"/>
      <c r="BL24" s="54"/>
      <c r="BM24" s="54"/>
      <c r="BN24" s="54"/>
      <c r="BO24" s="54"/>
      <c r="BP24" s="54"/>
      <c r="BQ24" s="53"/>
      <c r="BR24" s="53"/>
      <c r="BS24" s="54"/>
      <c r="BT24" s="54"/>
      <c r="BU24" s="68"/>
    </row>
    <row r="25" spans="1:73" x14ac:dyDescent="0.3">
      <c r="B25" s="24" t="s">
        <v>47</v>
      </c>
      <c r="C25" s="25" t="s">
        <v>48</v>
      </c>
      <c r="D25" s="63">
        <v>1.9399999999999997E-2</v>
      </c>
      <c r="E25" s="63">
        <f>Tabelle2[[#This Row],[BIP (mrd.)]]*1000000000/Tabelle2[[#This Row],[Bevölkerung]]</f>
        <v>7.6949316579007894</v>
      </c>
      <c r="F25" s="63">
        <v>0.69399999999999995</v>
      </c>
      <c r="G25" s="53">
        <v>581730</v>
      </c>
      <c r="H25" s="63">
        <v>2521140</v>
      </c>
      <c r="I25" s="88"/>
      <c r="J25" s="88">
        <f>Tabelle2[[#This Row],[Strom (mrd.)]]*1000000000/Tabelle2[[#This Row],[Bevölkerung]]</f>
        <v>0</v>
      </c>
      <c r="K25" s="53"/>
      <c r="L25" s="53">
        <f>Tabelle2[[#This Row],[Wohnimmobilien Anzahl]]/Tabelle2[[#This Row],[Bevölkerung]]</f>
        <v>0</v>
      </c>
      <c r="M25" s="53">
        <f t="shared" si="0"/>
        <v>0</v>
      </c>
      <c r="N25" s="53" t="str">
        <f t="shared" si="1"/>
        <v/>
      </c>
      <c r="O25" s="53"/>
      <c r="P25" s="53"/>
      <c r="Q25" s="53">
        <f>1000000*Tabelle2[[#This Row],[Bevölkerung]]*EXP(-17.8941+0.2965*LN((Tabelle2[[#This Row],[BIP (mrd.)]]*1000000000)/Tabelle2[[#This Row],[Bevölkerung]]))</f>
        <v>78171.381593632614</v>
      </c>
      <c r="R25" s="53" t="str">
        <f t="shared" si="2"/>
        <v/>
      </c>
      <c r="S25" s="53" t="str">
        <f t="shared" si="3"/>
        <v/>
      </c>
      <c r="T25" s="53">
        <f>1000000*Tabelle2[[#This Row],[Wohneinheiten Anzahl]]*EXP(-14.22+0.02263*LN((Tabelle2[[#This Row],[BIP (mrd.)]]*1000000000)/Tabelle2[[#This Row],[Bevölkerung]]))</f>
        <v>0</v>
      </c>
      <c r="U25" s="53" t="str">
        <f t="shared" si="4"/>
        <v/>
      </c>
      <c r="V25" s="53" t="str">
        <f t="shared" si="5"/>
        <v/>
      </c>
      <c r="W25" s="54"/>
      <c r="X25" s="54"/>
      <c r="Y25" s="54" t="str">
        <f t="shared" si="6"/>
        <v/>
      </c>
      <c r="Z25" s="54" t="str">
        <f t="shared" si="7"/>
        <v/>
      </c>
      <c r="AA25" s="54"/>
      <c r="AB25" s="54"/>
      <c r="AC25" s="54"/>
      <c r="AD25" s="54"/>
      <c r="AE25" s="54"/>
      <c r="AF25" s="54"/>
      <c r="AG25" s="54"/>
      <c r="AH25" s="54"/>
      <c r="AI25" s="54">
        <v>0</v>
      </c>
      <c r="AJ25" s="54"/>
      <c r="AK25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109762.34032443566</v>
      </c>
      <c r="AL25" s="54" t="str">
        <f t="shared" si="8"/>
        <v/>
      </c>
      <c r="AM25" s="89" t="str">
        <f t="shared" si="9"/>
        <v/>
      </c>
      <c r="AN25" s="91"/>
      <c r="AO25" s="54"/>
      <c r="AP25" s="53"/>
      <c r="AQ25" s="53"/>
      <c r="AR25" s="53"/>
      <c r="AS25" s="53"/>
      <c r="AT25" s="54"/>
      <c r="AU25" s="54"/>
      <c r="AV25" s="54"/>
      <c r="AW25" s="54"/>
      <c r="AX25" s="54"/>
      <c r="AY25" s="54"/>
      <c r="AZ25" s="53"/>
      <c r="BA25" s="53"/>
      <c r="BB25" s="54"/>
      <c r="BC25" s="54"/>
      <c r="BD25" s="54"/>
      <c r="BE25" s="54"/>
      <c r="BF25" s="54"/>
      <c r="BG25" s="54"/>
      <c r="BH25" s="54"/>
      <c r="BI25" s="54"/>
      <c r="BJ25" s="54"/>
      <c r="BK25" s="54"/>
      <c r="BL25" s="54"/>
      <c r="BM25" s="54"/>
      <c r="BN25" s="54"/>
      <c r="BO25" s="54"/>
      <c r="BP25" s="54"/>
      <c r="BQ25" s="53"/>
      <c r="BR25" s="53"/>
      <c r="BS25" s="54"/>
      <c r="BT25" s="54"/>
      <c r="BU25" s="68"/>
    </row>
    <row r="26" spans="1:73" x14ac:dyDescent="0.3">
      <c r="B26" s="19" t="s">
        <v>49</v>
      </c>
      <c r="C26" s="20" t="s">
        <v>50</v>
      </c>
      <c r="D26" s="63">
        <v>2125.9580000000001</v>
      </c>
      <c r="E26" s="63">
        <f>Tabelle2[[#This Row],[BIP (mrd.)]]*1000000000/Tabelle2[[#This Row],[Bevölkerung]]</f>
        <v>10028.171416439271</v>
      </c>
      <c r="F26" s="63">
        <v>0.86599999999999999</v>
      </c>
      <c r="G26" s="53">
        <v>8510420</v>
      </c>
      <c r="H26" s="63">
        <v>211998570</v>
      </c>
      <c r="I26" s="88">
        <v>608.45100000000002</v>
      </c>
      <c r="J26" s="88">
        <f>Tabelle2[[#This Row],[Strom (mrd.)]]*1000000000/Tabelle2[[#This Row],[Bevölkerung]]</f>
        <v>2870.0712462352931</v>
      </c>
      <c r="K26" s="53"/>
      <c r="L26" s="53">
        <f>1000000*Tabelle2[[#This Row],[Bevölkerung]]*EXP(-15.4183+0.052*LN((Tabelle2[[#This Row],[BIP (mrd.)]]*1000000000)/Tabelle2[[#This Row],[Bevölkerung]]))</f>
        <v>68915014.536629304</v>
      </c>
      <c r="M26" s="53" t="str">
        <f>IF(AND(ISNUMBER(K26), ISNUMBER(L26)), K26-L26, "")</f>
        <v/>
      </c>
      <c r="N26" s="65" t="str">
        <f t="shared" si="1"/>
        <v/>
      </c>
      <c r="O26" s="53"/>
      <c r="P26" s="53"/>
      <c r="Q26" s="53">
        <f>1000000*Tabelle2[[#This Row],[Bevölkerung]]*EXP(-17.8941+0.2965*LN((Tabelle2[[#This Row],[BIP (mrd.)]]*1000000000)/Tabelle2[[#This Row],[Bevölkerung]]))</f>
        <v>55129784.065461181</v>
      </c>
      <c r="R26" s="53" t="str">
        <f t="shared" si="2"/>
        <v/>
      </c>
      <c r="S26" s="53" t="str">
        <f t="shared" si="3"/>
        <v/>
      </c>
      <c r="T26" s="53">
        <f>1000000*Tabelle2[[#This Row],[Bevölkerung]]*EXP(-14.22+0.2263*LN((Tabelle2[[#This Row],[BIP (mrd.)]]*1000000000)/Tabelle2[[#This Row],[Bevölkerung]]))</f>
        <v>1137999000.459249</v>
      </c>
      <c r="U26" s="53" t="str">
        <f t="shared" si="4"/>
        <v/>
      </c>
      <c r="V26" s="53" t="str">
        <f t="shared" si="5"/>
        <v/>
      </c>
      <c r="W26" s="54"/>
      <c r="X26" s="53">
        <f>1000000*Tabelle2[[#This Row],[Bevölkerung]]*EXP(-17.9119+0.2965*LN((Tabelle2[[#This Row],[BIP (mrd.)]]*1000000000)/Tabelle2[[#This Row],[Bevölkerung]]))</f>
        <v>54157155.979548678</v>
      </c>
      <c r="Y26" s="53" t="str">
        <f t="shared" ref="Y26" si="25">IF(AND(ISNUMBER(W26), ISNUMBER(X26)), W26-X26, "")</f>
        <v/>
      </c>
      <c r="Z26" s="65" t="str">
        <f t="shared" ref="Z26" si="26">IF(OR(W26=0,W26=""),"",(X26 - W26)/W26)</f>
        <v/>
      </c>
      <c r="AA26" s="54"/>
      <c r="AB26" s="54"/>
      <c r="AC26" s="54"/>
      <c r="AD26" s="54"/>
      <c r="AE26" s="54"/>
      <c r="AF26" s="54"/>
      <c r="AG26" s="54"/>
      <c r="AH26" s="54">
        <v>0</v>
      </c>
      <c r="AI26" s="54">
        <v>0</v>
      </c>
      <c r="AJ26" s="54">
        <v>72079514</v>
      </c>
      <c r="AK26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64933771.673868507</v>
      </c>
      <c r="AL26" s="54">
        <f t="shared" si="8"/>
        <v>7145742.3261314929</v>
      </c>
      <c r="AM26" s="89">
        <f t="shared" si="9"/>
        <v>-9.9136938217029222E-2</v>
      </c>
      <c r="AN26" s="91">
        <f t="shared" si="19"/>
        <v>9.9136938217029222E-2</v>
      </c>
      <c r="AO26" s="54"/>
      <c r="AP26" s="53"/>
      <c r="AQ26" s="53"/>
      <c r="AR26" s="53"/>
      <c r="AS26" s="53"/>
      <c r="AT26" s="54"/>
      <c r="AU26" s="54"/>
      <c r="AV26" s="54"/>
      <c r="AW26" s="54"/>
      <c r="AX26" s="54"/>
      <c r="AY26" s="54"/>
      <c r="AZ26" s="53"/>
      <c r="BA26" s="53"/>
      <c r="BB26" s="54"/>
      <c r="BC26" s="54"/>
      <c r="BD26" s="54"/>
      <c r="BE26" s="54"/>
      <c r="BF26" s="54"/>
      <c r="BG26" s="54"/>
      <c r="BH26" s="54"/>
      <c r="BI26" s="54"/>
      <c r="BJ26" s="54"/>
      <c r="BK26" s="54"/>
      <c r="BL26" s="54"/>
      <c r="BM26" s="54"/>
      <c r="BN26" s="54"/>
      <c r="BO26" s="54"/>
      <c r="BP26" s="54"/>
      <c r="BQ26" s="53"/>
      <c r="BR26" s="53"/>
      <c r="BS26" s="54"/>
      <c r="BT26" s="54"/>
      <c r="BU26" s="68"/>
    </row>
    <row r="27" spans="1:73" x14ac:dyDescent="0.3">
      <c r="B27" s="4" t="s">
        <v>51</v>
      </c>
      <c r="C27" s="5" t="s">
        <v>52</v>
      </c>
      <c r="D27" s="63">
        <v>1.6007E-2</v>
      </c>
      <c r="E27" s="63">
        <f>Tabelle2[[#This Row],[BIP (mrd.)]]*1000000000/Tabelle2[[#This Row],[Bevölkerung]]</f>
        <v>34.593274550484097</v>
      </c>
      <c r="F27" s="63">
        <v>0.77600000000000002</v>
      </c>
      <c r="G27" s="53">
        <v>5770</v>
      </c>
      <c r="H27" s="63">
        <v>462720</v>
      </c>
      <c r="I27" s="88">
        <v>5.0810000000000004</v>
      </c>
      <c r="J27" s="88">
        <f>Tabelle2[[#This Row],[Strom (mrd.)]]*1000000000/Tabelle2[[#This Row],[Bevölkerung]]</f>
        <v>10980.722683264177</v>
      </c>
      <c r="K27" s="53"/>
      <c r="L27" s="53">
        <f>Tabelle2[[#This Row],[Wohnimmobilien Anzahl]]/Tabelle2[[#This Row],[Bevölkerung]]</f>
        <v>0</v>
      </c>
      <c r="M27" s="53">
        <f t="shared" si="0"/>
        <v>0</v>
      </c>
      <c r="N27" s="53" t="str">
        <f t="shared" si="1"/>
        <v/>
      </c>
      <c r="O27" s="53"/>
      <c r="P27" s="53">
        <v>83810</v>
      </c>
      <c r="Q27" s="53">
        <f>1000000*Tabelle2[[#This Row],[Bevölkerung]]*EXP(-17.8941+0.2965*LN((Tabelle2[[#This Row],[BIP (mrd.)]]*1000000000)/Tabelle2[[#This Row],[Bevölkerung]]))</f>
        <v>22403.734322640797</v>
      </c>
      <c r="R27" s="53">
        <f t="shared" si="2"/>
        <v>61406.265677359203</v>
      </c>
      <c r="S27" s="53">
        <f t="shared" si="3"/>
        <v>-0.73268423430806828</v>
      </c>
      <c r="T27" s="53">
        <f>1000000*Tabelle2[[#This Row],[Wohneinheiten Anzahl]]*EXP(-14.22+0.02263*LN((Tabelle2[[#This Row],[BIP (mrd.)]]*1000000000)/Tabelle2[[#This Row],[Bevölkerung]]))</f>
        <v>0</v>
      </c>
      <c r="U27" s="53">
        <f t="shared" si="4"/>
        <v>83810</v>
      </c>
      <c r="V27" s="53">
        <f t="shared" si="5"/>
        <v>-1</v>
      </c>
      <c r="W27" s="54"/>
      <c r="X27" s="54"/>
      <c r="Y27" s="54" t="str">
        <f t="shared" si="6"/>
        <v/>
      </c>
      <c r="Z27" s="54" t="str">
        <f t="shared" si="7"/>
        <v/>
      </c>
      <c r="AA27" s="54"/>
      <c r="AB27" s="54"/>
      <c r="AC27" s="54"/>
      <c r="AD27" s="54"/>
      <c r="AE27" s="54"/>
      <c r="AF27" s="54"/>
      <c r="AG27" s="54"/>
      <c r="AH27" s="54"/>
      <c r="AI27" s="54">
        <v>0</v>
      </c>
      <c r="AJ27" s="54"/>
      <c r="AK27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30320.088758750804</v>
      </c>
      <c r="AL27" s="54" t="str">
        <f t="shared" si="8"/>
        <v/>
      </c>
      <c r="AM27" s="89" t="str">
        <f t="shared" si="9"/>
        <v/>
      </c>
      <c r="AN27" s="91"/>
      <c r="AO27" s="54"/>
      <c r="AP27" s="53"/>
      <c r="AQ27" s="53"/>
      <c r="AR27" s="53"/>
      <c r="AS27" s="53"/>
      <c r="AT27" s="54"/>
      <c r="AU27" s="54"/>
      <c r="AV27" s="54"/>
      <c r="AW27" s="54"/>
      <c r="AX27" s="54"/>
      <c r="AY27" s="54"/>
      <c r="AZ27" s="53"/>
      <c r="BA27" s="53"/>
      <c r="BB27" s="54"/>
      <c r="BC27" s="54"/>
      <c r="BD27" s="54"/>
      <c r="BE27" s="54"/>
      <c r="BF27" s="54"/>
      <c r="BG27" s="54"/>
      <c r="BH27" s="54"/>
      <c r="BI27" s="54"/>
      <c r="BJ27" s="54"/>
      <c r="BK27" s="54"/>
      <c r="BL27" s="54"/>
      <c r="BM27" s="54"/>
      <c r="BN27" s="54"/>
      <c r="BO27" s="54"/>
      <c r="BP27" s="54"/>
      <c r="BQ27" s="53"/>
      <c r="BR27" s="53"/>
      <c r="BS27" s="54"/>
      <c r="BT27" s="54"/>
      <c r="BU27" s="68"/>
    </row>
    <row r="28" spans="1:73" x14ac:dyDescent="0.3">
      <c r="B28" s="19" t="s">
        <v>53</v>
      </c>
      <c r="C28" s="20" t="s">
        <v>54</v>
      </c>
      <c r="D28" s="63">
        <v>117.00700000000001</v>
      </c>
      <c r="E28" s="63">
        <f>Tabelle2[[#This Row],[BIP (mrd.)]]*1000000000/Tabelle2[[#This Row],[Bevölkerung]]</f>
        <v>18156.46835920346</v>
      </c>
      <c r="F28" s="63">
        <v>0.75</v>
      </c>
      <c r="G28" s="53">
        <v>110997</v>
      </c>
      <c r="H28" s="63">
        <v>6444370</v>
      </c>
      <c r="I28" s="88">
        <v>34.220999999999997</v>
      </c>
      <c r="J28" s="88">
        <f>Tabelle2[[#This Row],[Strom (mrd.)]]*1000000000/Tabelle2[[#This Row],[Bevölkerung]]</f>
        <v>5310.2165145700819</v>
      </c>
      <c r="K28" s="53">
        <v>3860000</v>
      </c>
      <c r="L28" s="53">
        <f>1000000*Tabelle2[[#This Row],[Bevölkerung]]*EXP(-15.4183+0.052*LN((Tabelle2[[#This Row],[BIP (mrd.)]]*1000000000)/Tabelle2[[#This Row],[Bevölkerung]]))</f>
        <v>2160565.7564545502</v>
      </c>
      <c r="M28" s="53">
        <f t="shared" ref="M28:M29" si="27">IF(AND(ISNUMBER(K28), ISNUMBER(L28)), K28-L28, "")</f>
        <v>1699434.2435454498</v>
      </c>
      <c r="N28" s="65">
        <f t="shared" si="1"/>
        <v>-0.44026793874234449</v>
      </c>
      <c r="O28" s="53"/>
      <c r="P28" s="53"/>
      <c r="Q28" s="53">
        <f>1000000*Tabelle2[[#This Row],[Bevölkerung]]*EXP(-17.8941+0.2965*LN((Tabelle2[[#This Row],[BIP (mrd.)]]*1000000000)/Tabelle2[[#This Row],[Bevölkerung]]))</f>
        <v>1998363.0086093233</v>
      </c>
      <c r="R28" s="53" t="str">
        <f t="shared" si="2"/>
        <v/>
      </c>
      <c r="S28" s="53" t="str">
        <f t="shared" si="3"/>
        <v/>
      </c>
      <c r="T28" s="53">
        <f>1000000*Tabelle2[[#This Row],[Bevölkerung]]*EXP(-14.22+0.2263*LN((Tabelle2[[#This Row],[BIP (mrd.)]]*1000000000)/Tabelle2[[#This Row],[Bevölkerung]]))</f>
        <v>39566873.567659147</v>
      </c>
      <c r="U28" s="53" t="str">
        <f t="shared" si="4"/>
        <v/>
      </c>
      <c r="V28" s="53" t="str">
        <f t="shared" si="5"/>
        <v/>
      </c>
      <c r="W28" s="54"/>
      <c r="X28" s="53">
        <f>1000000*Tabelle2[[#This Row],[Bevölkerung]]*EXP(-17.9119+0.2965*LN((Tabelle2[[#This Row],[BIP (mrd.)]]*1000000000)/Tabelle2[[#This Row],[Bevölkerung]]))</f>
        <v>1963106.8576743924</v>
      </c>
      <c r="Y28" s="53" t="str">
        <f t="shared" ref="Y28:Y29" si="28">IF(AND(ISNUMBER(W28), ISNUMBER(X28)), W28-X28, "")</f>
        <v/>
      </c>
      <c r="Z28" s="65" t="str">
        <f t="shared" ref="Z28:Z29" si="29">IF(OR(W28=0,W28=""),"",(X28 - W28)/W28)</f>
        <v/>
      </c>
      <c r="AA28" s="54"/>
      <c r="AB28" s="54"/>
      <c r="AC28" s="54"/>
      <c r="AD28" s="54"/>
      <c r="AE28" s="54"/>
      <c r="AF28" s="54"/>
      <c r="AG28" s="54"/>
      <c r="AH28" s="54">
        <v>0</v>
      </c>
      <c r="AI28" s="54" t="s">
        <v>989</v>
      </c>
      <c r="AJ28" s="54">
        <v>4324193</v>
      </c>
      <c r="AK28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2319756.4362279032</v>
      </c>
      <c r="AL28" s="54">
        <f t="shared" si="8"/>
        <v>2004436.5637720968</v>
      </c>
      <c r="AM28" s="89">
        <f t="shared" si="9"/>
        <v>-0.46354003250365949</v>
      </c>
      <c r="AN28" s="91">
        <f t="shared" si="19"/>
        <v>0.46354003250365949</v>
      </c>
      <c r="AO28" s="54">
        <v>239441812</v>
      </c>
      <c r="AP28" s="53"/>
      <c r="AQ28" s="53"/>
      <c r="AR28" s="53"/>
      <c r="AS28" s="53"/>
      <c r="AT28" s="54"/>
      <c r="AU28" s="54"/>
      <c r="AV28" s="54"/>
      <c r="AW28" s="54"/>
      <c r="AX28" s="54"/>
      <c r="AY28" s="54"/>
      <c r="AZ28" s="53"/>
      <c r="BA28" s="53"/>
      <c r="BB28" s="54"/>
      <c r="BC28" s="54"/>
      <c r="BD28" s="54"/>
      <c r="BE28" s="54"/>
      <c r="BF28" s="54"/>
      <c r="BG28" s="54"/>
      <c r="BH28" s="54"/>
      <c r="BI28" s="54"/>
      <c r="BJ28" s="54"/>
      <c r="BK28" s="54"/>
      <c r="BL28" s="54"/>
      <c r="BM28" s="54"/>
      <c r="BN28" s="54"/>
      <c r="BO28" s="54"/>
      <c r="BP28" s="54"/>
      <c r="BQ28" s="53"/>
      <c r="BR28" s="53"/>
      <c r="BS28" s="54"/>
      <c r="BT28" s="54"/>
      <c r="BU28" s="68"/>
    </row>
    <row r="29" spans="1:73" x14ac:dyDescent="0.3">
      <c r="B29" s="4" t="s">
        <v>55</v>
      </c>
      <c r="C29" s="5" t="s">
        <v>56</v>
      </c>
      <c r="D29" s="63">
        <v>27.056000000000001</v>
      </c>
      <c r="E29" s="63">
        <f>Tabelle2[[#This Row],[BIP (mrd.)]]*1000000000/Tabelle2[[#This Row],[Bevölkerung]]</f>
        <v>1148.9342547681877</v>
      </c>
      <c r="F29" s="63">
        <v>0.29399999999999998</v>
      </c>
      <c r="G29" s="53">
        <v>274200</v>
      </c>
      <c r="H29" s="63">
        <v>23548780</v>
      </c>
      <c r="I29" s="88">
        <v>3.0960000000000001</v>
      </c>
      <c r="J29" s="88">
        <f>Tabelle2[[#This Row],[Strom (mrd.)]]*1000000000/Tabelle2[[#This Row],[Bevölkerung]]</f>
        <v>131.47177900511196</v>
      </c>
      <c r="K29" s="53"/>
      <c r="L29" s="53">
        <f>1000000*Tabelle2[[#This Row],[Bevölkerung]]*EXP(-15.4183+0.052*LN((Tabelle2[[#This Row],[BIP (mrd.)]]*1000000000)/Tabelle2[[#This Row],[Bevölkerung]]))</f>
        <v>6839449.5644430909</v>
      </c>
      <c r="M29" s="53" t="str">
        <f t="shared" si="27"/>
        <v/>
      </c>
      <c r="N29" s="65" t="str">
        <f t="shared" si="1"/>
        <v/>
      </c>
      <c r="O29" s="53"/>
      <c r="P29" s="53"/>
      <c r="Q29" s="53">
        <f>1000000*Tabelle2[[#This Row],[Bevölkerung]]*EXP(-17.8941+0.2965*LN((Tabelle2[[#This Row],[BIP (mrd.)]]*1000000000)/Tabelle2[[#This Row],[Bevölkerung]]))</f>
        <v>3221343.5504452009</v>
      </c>
      <c r="R29" s="53" t="str">
        <f t="shared" si="2"/>
        <v/>
      </c>
      <c r="S29" s="53" t="str">
        <f t="shared" si="3"/>
        <v/>
      </c>
      <c r="T29" s="53">
        <f>1000000*Tabelle2[[#This Row],[Bevölkerung]]*EXP(-14.22+0.2263*LN((Tabelle2[[#This Row],[BIP (mrd.)]]*1000000000)/Tabelle2[[#This Row],[Bevölkerung]]))</f>
        <v>77418665.06565243</v>
      </c>
      <c r="U29" s="53" t="str">
        <f t="shared" si="4"/>
        <v/>
      </c>
      <c r="V29" s="53" t="str">
        <f t="shared" si="5"/>
        <v/>
      </c>
      <c r="W29" s="54"/>
      <c r="X29" s="53">
        <f>1000000*Tabelle2[[#This Row],[Bevölkerung]]*EXP(-17.9119+0.2965*LN((Tabelle2[[#This Row],[BIP (mrd.)]]*1000000000)/Tabelle2[[#This Row],[Bevölkerung]]))</f>
        <v>3164510.9459892181</v>
      </c>
      <c r="Y29" s="53" t="str">
        <f t="shared" si="28"/>
        <v/>
      </c>
      <c r="Z29" s="65" t="str">
        <f t="shared" si="29"/>
        <v/>
      </c>
      <c r="AA29" s="54"/>
      <c r="AB29" s="54"/>
      <c r="AC29" s="54"/>
      <c r="AD29" s="54"/>
      <c r="AE29" s="54"/>
      <c r="AF29" s="54"/>
      <c r="AG29" s="54"/>
      <c r="AH29" s="54">
        <v>0</v>
      </c>
      <c r="AI29" s="54" t="s">
        <v>987</v>
      </c>
      <c r="AJ29" s="54">
        <v>3488258</v>
      </c>
      <c r="AK29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4001050.9798115045</v>
      </c>
      <c r="AL29" s="54">
        <f t="shared" si="8"/>
        <v>-512792.97981150448</v>
      </c>
      <c r="AM29" s="89">
        <f t="shared" si="9"/>
        <v>0.14700546227128397</v>
      </c>
      <c r="AN29" s="91">
        <f t="shared" si="19"/>
        <v>0.14700546227128397</v>
      </c>
      <c r="AO29" s="54"/>
      <c r="AP29" s="53"/>
      <c r="AQ29" s="53"/>
      <c r="AR29" s="53"/>
      <c r="AS29" s="53"/>
      <c r="AT29" s="54"/>
      <c r="AU29" s="54"/>
      <c r="AV29" s="54"/>
      <c r="AW29" s="54"/>
      <c r="AX29" s="54"/>
      <c r="AY29" s="54"/>
      <c r="AZ29" s="53"/>
      <c r="BA29" s="53"/>
      <c r="BB29" s="54"/>
      <c r="BC29" s="54"/>
      <c r="BD29" s="54"/>
      <c r="BE29" s="54"/>
      <c r="BF29" s="54"/>
      <c r="BG29" s="54"/>
      <c r="BH29" s="54"/>
      <c r="BI29" s="54"/>
      <c r="BJ29" s="54"/>
      <c r="BK29" s="54"/>
      <c r="BL29" s="54"/>
      <c r="BM29" s="54"/>
      <c r="BN29" s="54"/>
      <c r="BO29" s="54"/>
      <c r="BP29" s="54"/>
      <c r="BQ29" s="53"/>
      <c r="BR29" s="53"/>
      <c r="BS29" s="54"/>
      <c r="BT29" s="54"/>
      <c r="BU29" s="68"/>
    </row>
    <row r="30" spans="1:73" x14ac:dyDescent="0.3">
      <c r="B30" s="4" t="s">
        <v>57</v>
      </c>
      <c r="C30" s="5" t="s">
        <v>58</v>
      </c>
      <c r="D30" s="63">
        <v>6.7449999999999993E-3</v>
      </c>
      <c r="E30" s="63">
        <f>Tabelle2[[#This Row],[BIP (mrd.)]]*1000000000/Tabelle2[[#This Row],[Bevölkerung]]</f>
        <v>0.48014669923169401</v>
      </c>
      <c r="F30" s="63">
        <v>0.13</v>
      </c>
      <c r="G30" s="53">
        <v>27830</v>
      </c>
      <c r="H30" s="63">
        <v>14047790</v>
      </c>
      <c r="I30" s="88"/>
      <c r="J30" s="88">
        <f>Tabelle2[[#This Row],[Strom (mrd.)]]*1000000000/Tabelle2[[#This Row],[Bevölkerung]]</f>
        <v>0</v>
      </c>
      <c r="K30" s="53"/>
      <c r="L30" s="53">
        <f>Tabelle2[[#This Row],[Wohnimmobilien Anzahl]]/Tabelle2[[#This Row],[Bevölkerung]]</f>
        <v>0</v>
      </c>
      <c r="M30" s="53">
        <f t="shared" si="0"/>
        <v>0</v>
      </c>
      <c r="N30" s="53" t="str">
        <f t="shared" si="1"/>
        <v/>
      </c>
      <c r="O30" s="53"/>
      <c r="P30" s="53"/>
      <c r="Q30" s="53">
        <f>1000000*Tabelle2[[#This Row],[Bevölkerung]]*EXP(-17.8941+0.2965*LN((Tabelle2[[#This Row],[BIP (mrd.)]]*1000000000)/Tabelle2[[#This Row],[Bevölkerung]]))</f>
        <v>191349.13054405351</v>
      </c>
      <c r="R30" s="53" t="str">
        <f t="shared" si="2"/>
        <v/>
      </c>
      <c r="S30" s="53" t="str">
        <f t="shared" si="3"/>
        <v/>
      </c>
      <c r="T30" s="53">
        <f>1000000*Tabelle2[[#This Row],[Bevölkerung]]*EXP(-14.22+0.2263*LN((Tabelle2[[#This Row],[BIP (mrd.)]]*1000000000)/Tabelle2[[#This Row],[Bevölkerung]]))</f>
        <v>7940272.3341809241</v>
      </c>
      <c r="U30" s="53" t="str">
        <f t="shared" si="4"/>
        <v/>
      </c>
      <c r="V30" s="53" t="str">
        <f t="shared" si="5"/>
        <v/>
      </c>
      <c r="W30" s="54"/>
      <c r="X30" s="54"/>
      <c r="Y30" s="54" t="str">
        <f t="shared" si="6"/>
        <v/>
      </c>
      <c r="Z30" s="54" t="str">
        <f t="shared" si="7"/>
        <v/>
      </c>
      <c r="AA30" s="54"/>
      <c r="AB30" s="54"/>
      <c r="AC30" s="54"/>
      <c r="AD30" s="54"/>
      <c r="AE30" s="54"/>
      <c r="AF30" s="54"/>
      <c r="AG30" s="54"/>
      <c r="AH30" s="54"/>
      <c r="AI30" s="54">
        <v>0</v>
      </c>
      <c r="AJ30" s="54"/>
      <c r="AK30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287573.08637882496</v>
      </c>
      <c r="AL30" s="54" t="str">
        <f t="shared" si="8"/>
        <v/>
      </c>
      <c r="AM30" s="89" t="str">
        <f t="shared" si="9"/>
        <v/>
      </c>
      <c r="AN30" s="91"/>
      <c r="AO30" s="54"/>
      <c r="AP30" s="53"/>
      <c r="AQ30" s="53"/>
      <c r="AR30" s="53"/>
      <c r="AS30" s="53"/>
      <c r="AT30" s="54"/>
      <c r="AU30" s="54"/>
      <c r="AV30" s="54"/>
      <c r="AW30" s="54"/>
      <c r="AX30" s="54"/>
      <c r="AY30" s="54"/>
      <c r="AZ30" s="53"/>
      <c r="BA30" s="53"/>
      <c r="BB30" s="54"/>
      <c r="BC30" s="54"/>
      <c r="BD30" s="54"/>
      <c r="BE30" s="54"/>
      <c r="BF30" s="54"/>
      <c r="BG30" s="54"/>
      <c r="BH30" s="54"/>
      <c r="BI30" s="54"/>
      <c r="BJ30" s="54"/>
      <c r="BK30" s="54"/>
      <c r="BL30" s="54"/>
      <c r="BM30" s="54"/>
      <c r="BN30" s="54"/>
      <c r="BO30" s="54"/>
      <c r="BP30" s="54"/>
      <c r="BQ30" s="53"/>
      <c r="BR30" s="53"/>
      <c r="BS30" s="54"/>
      <c r="BT30" s="54"/>
      <c r="BU30" s="68"/>
    </row>
    <row r="31" spans="1:73" x14ac:dyDescent="0.3">
      <c r="B31" s="19" t="s">
        <v>59</v>
      </c>
      <c r="C31" s="20" t="s">
        <v>60</v>
      </c>
      <c r="D31" s="63">
        <v>343.82299999999998</v>
      </c>
      <c r="E31" s="63">
        <f>Tabelle2[[#This Row],[BIP (mrd.)]]*1000000000/Tabelle2[[#This Row],[Bevölkerung]]</f>
        <v>17395.750114977305</v>
      </c>
      <c r="F31" s="63">
        <v>0.876</v>
      </c>
      <c r="G31" s="53">
        <v>757245</v>
      </c>
      <c r="H31" s="63">
        <v>19764770</v>
      </c>
      <c r="I31" s="88">
        <v>83.295000000000002</v>
      </c>
      <c r="J31" s="88">
        <f>Tabelle2[[#This Row],[Strom (mrd.)]]*1000000000/Tabelle2[[#This Row],[Bevölkerung]]</f>
        <v>4214.3166856988473</v>
      </c>
      <c r="K31" s="53"/>
      <c r="L31" s="53">
        <f>1000000*Tabelle2[[#This Row],[Bevölkerung]]*EXP(-15.4183+0.052*LN((Tabelle2[[#This Row],[BIP (mrd.)]]*1000000000)/Tabelle2[[#This Row],[Bevölkerung]]))</f>
        <v>6611685.678467731</v>
      </c>
      <c r="M31" s="53" t="str">
        <f>IF(AND(ISNUMBER(K31), ISNUMBER(L31)), K31-L31, "")</f>
        <v/>
      </c>
      <c r="N31" s="65" t="str">
        <f t="shared" si="1"/>
        <v/>
      </c>
      <c r="O31" s="53"/>
      <c r="P31" s="53">
        <v>6408172</v>
      </c>
      <c r="Q31" s="53">
        <f>1000000*Tabelle2[[#This Row],[Bevölkerung]]*EXP(-17.8941+0.2965*LN((Tabelle2[[#This Row],[BIP (mrd.)]]*1000000000)/Tabelle2[[#This Row],[Bevölkerung]]))</f>
        <v>6051656.5616913997</v>
      </c>
      <c r="R31" s="53">
        <f t="shared" si="2"/>
        <v>356515.43830860034</v>
      </c>
      <c r="S31" s="65">
        <f t="shared" si="3"/>
        <v>-5.5634498934891315E-2</v>
      </c>
      <c r="T31" s="53">
        <f>1000000*Tabelle2[[#This Row],[Wohneinheiten Anzahl]]*EXP(-14.22+0.02263*LN((Tabelle2[[#This Row],[BIP (mrd.)]]*1000000000)/Tabelle2[[#This Row],[Bevölkerung]]))</f>
        <v>6361234.6769872662</v>
      </c>
      <c r="U31" s="65">
        <f t="shared" si="4"/>
        <v>46937.323012733832</v>
      </c>
      <c r="V31" s="65">
        <f t="shared" si="5"/>
        <v>-7.324604116857948E-3</v>
      </c>
      <c r="W31" s="54"/>
      <c r="X31" s="53">
        <f>1000000*Tabelle2[[#This Row],[Bevölkerung]]*EXP(-17.9119+0.2965*LN((Tabelle2[[#This Row],[BIP (mrd.)]]*1000000000)/Tabelle2[[#This Row],[Bevölkerung]]))</f>
        <v>5944890.1152418954</v>
      </c>
      <c r="Y31" s="53" t="str">
        <f t="shared" ref="Y31" si="30">IF(AND(ISNUMBER(W31), ISNUMBER(X31)), W31-X31, "")</f>
        <v/>
      </c>
      <c r="Z31" s="65" t="str">
        <f t="shared" ref="Z31" si="31">IF(OR(W31=0,W31=""),"",(X31 - W31)/W31)</f>
        <v/>
      </c>
      <c r="AA31" s="54"/>
      <c r="AB31" s="54"/>
      <c r="AC31" s="54"/>
      <c r="AD31" s="54"/>
      <c r="AE31" s="54"/>
      <c r="AF31" s="54"/>
      <c r="AG31" s="54"/>
      <c r="AH31" s="54">
        <v>1</v>
      </c>
      <c r="AI31" s="54" t="s">
        <v>989</v>
      </c>
      <c r="AJ31" s="54">
        <v>7642716</v>
      </c>
      <c r="AK31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7032304.8350248458</v>
      </c>
      <c r="AL31" s="54">
        <f t="shared" si="8"/>
        <v>610411.16497515421</v>
      </c>
      <c r="AM31" s="89">
        <f t="shared" si="9"/>
        <v>-7.9868356350694461E-2</v>
      </c>
      <c r="AN31" s="91">
        <f t="shared" si="19"/>
        <v>7.9868356350694461E-2</v>
      </c>
      <c r="AO31" s="54"/>
      <c r="AP31" s="53"/>
      <c r="AQ31" s="53"/>
      <c r="AR31" s="53"/>
      <c r="AS31" s="53"/>
      <c r="AT31" s="54"/>
      <c r="AU31" s="54"/>
      <c r="AV31" s="54"/>
      <c r="AW31" s="54"/>
      <c r="AX31" s="54"/>
      <c r="AY31" s="54"/>
      <c r="AZ31" s="53"/>
      <c r="BA31" s="53"/>
      <c r="BB31" s="54"/>
      <c r="BC31" s="54"/>
      <c r="BD31" s="54"/>
      <c r="BE31" s="54"/>
      <c r="BF31" s="54"/>
      <c r="BG31" s="54"/>
      <c r="BH31" s="54"/>
      <c r="BI31" s="54"/>
      <c r="BJ31" s="54"/>
      <c r="BK31" s="54"/>
      <c r="BL31" s="54"/>
      <c r="BM31" s="54"/>
      <c r="BN31" s="54"/>
      <c r="BO31" s="54"/>
      <c r="BP31" s="54"/>
      <c r="BQ31" s="53"/>
      <c r="BR31" s="53"/>
      <c r="BS31" s="54"/>
      <c r="BT31" s="54"/>
      <c r="BU31" s="68"/>
    </row>
    <row r="32" spans="1:73" x14ac:dyDescent="0.3">
      <c r="B32" s="13" t="s">
        <v>61</v>
      </c>
      <c r="C32" s="14" t="s">
        <v>62</v>
      </c>
      <c r="D32" s="63">
        <v>19.231705000000002</v>
      </c>
      <c r="E32" s="63">
        <f>Tabelle2[[#This Row],[BIP (mrd.)]]*1000000000/Tabelle2[[#This Row],[Bevölkerung]]</f>
        <v>13.649429549850069</v>
      </c>
      <c r="F32" s="63">
        <v>0.59199999999999997</v>
      </c>
      <c r="G32" s="53">
        <v>9562910</v>
      </c>
      <c r="H32" s="63">
        <v>1408975000</v>
      </c>
      <c r="I32" s="88"/>
      <c r="J32" s="88">
        <f>Tabelle2[[#This Row],[Strom (mrd.)]]*1000000000/Tabelle2[[#This Row],[Bevölkerung]]</f>
        <v>0</v>
      </c>
      <c r="K32" s="53"/>
      <c r="L32" s="53">
        <f>Tabelle2[[#This Row],[Wohnimmobilien Anzahl]]/Tabelle2[[#This Row],[Bevölkerung]]</f>
        <v>0</v>
      </c>
      <c r="M32" s="53">
        <f t="shared" si="0"/>
        <v>0</v>
      </c>
      <c r="N32" s="53" t="str">
        <f t="shared" si="1"/>
        <v/>
      </c>
      <c r="O32" s="53"/>
      <c r="P32" s="53"/>
      <c r="Q32" s="53">
        <f>1000000*Tabelle2[[#This Row],[Bevölkerung]]*EXP(-17.8941+0.2965*LN((Tabelle2[[#This Row],[BIP (mrd.)]]*1000000000)/Tabelle2[[#This Row],[Bevölkerung]]))</f>
        <v>51779261.058585502</v>
      </c>
      <c r="R32" s="53" t="str">
        <f t="shared" si="2"/>
        <v/>
      </c>
      <c r="S32" s="53" t="str">
        <f t="shared" si="3"/>
        <v/>
      </c>
      <c r="T32" s="53">
        <f>1000000*Tabelle2[[#This Row],[Bevölkerung]]*EXP(-14.22+0.2263*LN((Tabelle2[[#This Row],[BIP (mrd.)]]*1000000000)/Tabelle2[[#This Row],[Bevölkerung]]))</f>
        <v>1698682318.6541355</v>
      </c>
      <c r="U32" s="53" t="str">
        <f t="shared" si="4"/>
        <v/>
      </c>
      <c r="V32" s="53" t="str">
        <f t="shared" si="5"/>
        <v/>
      </c>
      <c r="W32" s="54"/>
      <c r="X32" s="54"/>
      <c r="Y32" s="54" t="str">
        <f t="shared" si="6"/>
        <v/>
      </c>
      <c r="Z32" s="54" t="str">
        <f t="shared" si="7"/>
        <v/>
      </c>
      <c r="AA32" s="54"/>
      <c r="AB32" s="54"/>
      <c r="AC32" s="54"/>
      <c r="AD32" s="54"/>
      <c r="AE32" s="54"/>
      <c r="AF32" s="54"/>
      <c r="AG32" s="54"/>
      <c r="AH32" s="54"/>
      <c r="AI32" s="54">
        <v>0</v>
      </c>
      <c r="AJ32" s="54"/>
      <c r="AK32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71690204.508111373</v>
      </c>
      <c r="AL32" s="54" t="str">
        <f t="shared" si="8"/>
        <v/>
      </c>
      <c r="AM32" s="89" t="str">
        <f t="shared" si="9"/>
        <v/>
      </c>
      <c r="AN32" s="91"/>
      <c r="AO32" s="54"/>
      <c r="AP32" s="53"/>
      <c r="AQ32" s="53"/>
      <c r="AR32" s="53"/>
      <c r="AS32" s="53"/>
      <c r="AT32" s="54"/>
      <c r="AU32" s="54"/>
      <c r="AV32" s="54"/>
      <c r="AW32" s="54"/>
      <c r="AX32" s="54"/>
      <c r="AY32" s="54"/>
      <c r="AZ32" s="53"/>
      <c r="BA32" s="53"/>
      <c r="BB32" s="54"/>
      <c r="BC32" s="54"/>
      <c r="BD32" s="54"/>
      <c r="BE32" s="54"/>
      <c r="BF32" s="54"/>
      <c r="BG32" s="54"/>
      <c r="BH32" s="54"/>
      <c r="BI32" s="54"/>
      <c r="BJ32" s="54"/>
      <c r="BK32" s="54"/>
      <c r="BL32" s="54"/>
      <c r="BM32" s="54"/>
      <c r="BN32" s="54"/>
      <c r="BO32" s="54"/>
      <c r="BP32" s="54"/>
      <c r="BQ32" s="53"/>
      <c r="BR32" s="53"/>
      <c r="BS32" s="54"/>
      <c r="BT32" s="54"/>
      <c r="BU32" s="68"/>
    </row>
    <row r="33" spans="2:73" x14ac:dyDescent="0.3">
      <c r="B33" s="2" t="s">
        <v>63</v>
      </c>
      <c r="C33" s="3" t="s">
        <v>64</v>
      </c>
      <c r="D33" s="63">
        <v>0.36599999999999999</v>
      </c>
      <c r="E33" s="63">
        <f>Tabelle2[[#This Row],[BIP (mrd.)]]*1000000000/Tabelle2[[#This Row],[Bevölkerung]]</f>
        <v>24417.906464740809</v>
      </c>
      <c r="F33" s="63">
        <v>0.751</v>
      </c>
      <c r="G33" s="53">
        <v>236</v>
      </c>
      <c r="H33" s="63">
        <v>14989</v>
      </c>
      <c r="I33" s="88">
        <v>3.7499999999999999E-2</v>
      </c>
      <c r="J33" s="88">
        <f>Tabelle2[[#This Row],[Strom (mrd.)]]*1000000000/Tabelle2[[#This Row],[Bevölkerung]]</f>
        <v>2501.8346787644273</v>
      </c>
      <c r="K33" s="53"/>
      <c r="L33" s="53">
        <f>Tabelle2[[#This Row],[Wohnimmobilien Anzahl]]/Tabelle2[[#This Row],[Bevölkerung]]</f>
        <v>0</v>
      </c>
      <c r="M33" s="53">
        <f t="shared" si="0"/>
        <v>0</v>
      </c>
      <c r="N33" s="53" t="str">
        <f t="shared" si="1"/>
        <v/>
      </c>
      <c r="O33" s="53"/>
      <c r="P33" s="53">
        <v>4681</v>
      </c>
      <c r="Q33" s="53">
        <f>1000000*Tabelle2[[#This Row],[Bevölkerung]]*EXP(-17.8941+0.2965*LN((Tabelle2[[#This Row],[BIP (mrd.)]]*1000000000)/Tabelle2[[#This Row],[Bevölkerung]]))</f>
        <v>5074.8045341897441</v>
      </c>
      <c r="R33" s="53">
        <f t="shared" si="2"/>
        <v>-393.80453418974412</v>
      </c>
      <c r="S33" s="53">
        <f t="shared" si="3"/>
        <v>8.4128291858522566E-2</v>
      </c>
      <c r="T33" s="53">
        <f>1000000*Tabelle2[[#This Row],[Wohneinheiten Anzahl]]*EXP(-14.22+0.02263*LN((Tabelle2[[#This Row],[BIP (mrd.)]]*1000000000)/Tabelle2[[#This Row],[Bevölkerung]]))</f>
        <v>0</v>
      </c>
      <c r="U33" s="53">
        <f t="shared" si="4"/>
        <v>4681</v>
      </c>
      <c r="V33" s="53">
        <f t="shared" si="5"/>
        <v>-1</v>
      </c>
      <c r="W33" s="54"/>
      <c r="X33" s="54"/>
      <c r="Y33" s="54" t="str">
        <f t="shared" si="6"/>
        <v/>
      </c>
      <c r="Z33" s="54" t="str">
        <f t="shared" si="7"/>
        <v/>
      </c>
      <c r="AA33" s="54"/>
      <c r="AB33" s="54"/>
      <c r="AC33" s="54"/>
      <c r="AD33" s="54"/>
      <c r="AE33" s="54"/>
      <c r="AF33" s="54"/>
      <c r="AG33" s="54"/>
      <c r="AH33" s="54"/>
      <c r="AI33" s="54">
        <v>0</v>
      </c>
      <c r="AJ33" s="54"/>
      <c r="AK33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5848.570177197741</v>
      </c>
      <c r="AL33" s="54" t="str">
        <f t="shared" si="8"/>
        <v/>
      </c>
      <c r="AM33" s="89" t="str">
        <f t="shared" si="9"/>
        <v/>
      </c>
      <c r="AN33" s="91"/>
      <c r="AO33" s="54"/>
      <c r="AP33" s="53"/>
      <c r="AQ33" s="53"/>
      <c r="AR33" s="53"/>
      <c r="AS33" s="53"/>
      <c r="AT33" s="54"/>
      <c r="AU33" s="54"/>
      <c r="AV33" s="54"/>
      <c r="AW33" s="54"/>
      <c r="AX33" s="54"/>
      <c r="AY33" s="54"/>
      <c r="AZ33" s="53"/>
      <c r="BA33" s="53"/>
      <c r="BB33" s="54"/>
      <c r="BC33" s="54"/>
      <c r="BD33" s="54"/>
      <c r="BE33" s="54"/>
      <c r="BF33" s="54"/>
      <c r="BG33" s="54"/>
      <c r="BH33" s="54"/>
      <c r="BI33" s="54"/>
      <c r="BJ33" s="54"/>
      <c r="BK33" s="54"/>
      <c r="BL33" s="54"/>
      <c r="BM33" s="54"/>
      <c r="BN33" s="54"/>
      <c r="BO33" s="54"/>
      <c r="BP33" s="54"/>
      <c r="BQ33" s="53"/>
      <c r="BR33" s="53"/>
      <c r="BS33" s="54"/>
      <c r="BT33" s="54"/>
      <c r="BU33" s="68"/>
    </row>
    <row r="34" spans="2:73" x14ac:dyDescent="0.3">
      <c r="B34" s="22" t="s">
        <v>65</v>
      </c>
      <c r="C34" s="23" t="s">
        <v>66</v>
      </c>
      <c r="D34" s="63">
        <v>102.59099999999999</v>
      </c>
      <c r="E34" s="63">
        <f>Tabelle2[[#This Row],[BIP (mrd.)]]*1000000000/Tabelle2[[#This Row],[Bevölkerung]]</f>
        <v>19998.596466604678</v>
      </c>
      <c r="F34" s="63">
        <v>0.79300000000000004</v>
      </c>
      <c r="G34" s="53">
        <v>51100</v>
      </c>
      <c r="H34" s="63">
        <v>5129910</v>
      </c>
      <c r="I34" s="88">
        <v>9.9570000000000007</v>
      </c>
      <c r="J34" s="88">
        <f>Tabelle2[[#This Row],[Strom (mrd.)]]*1000000000/Tabelle2[[#This Row],[Bevölkerung]]</f>
        <v>1940.9697246150517</v>
      </c>
      <c r="K34" s="53"/>
      <c r="L34" s="53">
        <f>1000000*Tabelle2[[#This Row],[Bevölkerung]]*EXP(-15.4183+0.052*LN((Tabelle2[[#This Row],[BIP (mrd.)]]*1000000000)/Tabelle2[[#This Row],[Bevölkerung]]))</f>
        <v>1728538.7122148436</v>
      </c>
      <c r="M34" s="53" t="str">
        <f>IF(AND(ISNUMBER(K34), ISNUMBER(L34)), K34-L34, "")</f>
        <v/>
      </c>
      <c r="N34" s="65" t="str">
        <f t="shared" ref="N34:N65" si="32">IF(OR(K34=0,K34=""),"",(L34 - K34)/K34)</f>
        <v/>
      </c>
      <c r="O34" s="53"/>
      <c r="P34" s="53">
        <v>1621381</v>
      </c>
      <c r="Q34" s="53">
        <f>1000000*Tabelle2[[#This Row],[Bevölkerung]]*EXP(-17.8941+0.2965*LN((Tabelle2[[#This Row],[BIP (mrd.)]]*1000000000)/Tabelle2[[#This Row],[Bevölkerung]]))</f>
        <v>1636994.476703635</v>
      </c>
      <c r="R34" s="53">
        <f t="shared" ref="R34:R65" si="33">IF(AND(ISNUMBER(P34), ISNUMBER(Q34)), P34-Q34, "")</f>
        <v>-15613.476703634951</v>
      </c>
      <c r="S34" s="65">
        <f t="shared" ref="S34:S65" si="34">IF(OR(P34=0,P34=""),"",(Q34 - P34)/P34)</f>
        <v>9.6297395267583314E-3</v>
      </c>
      <c r="T34" s="53">
        <f>1000000*Tabelle2[[#This Row],[Wohneinheiten Anzahl]]*EXP(-14.22+0.02263*LN((Tabelle2[[#This Row],[BIP (mrd.)]]*1000000000)/Tabelle2[[#This Row],[Bevölkerung]]))</f>
        <v>1533223.9410607391</v>
      </c>
      <c r="U34" s="65">
        <f t="shared" ref="U34:U65" si="35">IF(AND(ISNUMBER(P34), ISNUMBER(T34)), P34-T34, "")</f>
        <v>88157.058939260896</v>
      </c>
      <c r="V34" s="65">
        <f t="shared" ref="V34:V65" si="36">IF(OR(P34=0,P34=""),"",(T34 - P34)/P34)</f>
        <v>-5.4371587516605223E-2</v>
      </c>
      <c r="W34" s="54"/>
      <c r="X34" s="53">
        <f>1000000*Tabelle2[[#This Row],[Bevölkerung]]*EXP(-17.9119+0.2965*LN((Tabelle2[[#This Row],[BIP (mrd.)]]*1000000000)/Tabelle2[[#This Row],[Bevölkerung]]))</f>
        <v>1608113.7757991103</v>
      </c>
      <c r="Y34" s="53" t="str">
        <f t="shared" ref="Y34" si="37">IF(AND(ISNUMBER(W34), ISNUMBER(X34)), W34-X34, "")</f>
        <v/>
      </c>
      <c r="Z34" s="65" t="str">
        <f t="shared" ref="Z34" si="38">IF(OR(W34=0,W34=""),"",(X34 - W34)/W34)</f>
        <v/>
      </c>
      <c r="AA34" s="54"/>
      <c r="AB34" s="54"/>
      <c r="AC34" s="54"/>
      <c r="AD34" s="54"/>
      <c r="AE34" s="54"/>
      <c r="AF34" s="54"/>
      <c r="AG34" s="54"/>
      <c r="AH34" s="54">
        <v>1</v>
      </c>
      <c r="AI34" s="54" t="s">
        <v>989</v>
      </c>
      <c r="AJ34" s="54">
        <v>1836291</v>
      </c>
      <c r="AK34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1895775.9564196053</v>
      </c>
      <c r="AL34" s="54">
        <f t="shared" ref="AL34:AL65" si="39">IF(AND(ISNUMBER(AJ34), ISNUMBER(AK34)), AJ34-AK34, "")</f>
        <v>-59484.956419605296</v>
      </c>
      <c r="AM34" s="89">
        <f t="shared" ref="AM34:AM65" si="40">IF(OR(AJ34=0,AJ34=""),"",(AK34 - AJ34)/AJ34)</f>
        <v>3.2394079380449664E-2</v>
      </c>
      <c r="AN34" s="91">
        <f t="shared" si="19"/>
        <v>3.2394079380449664E-2</v>
      </c>
      <c r="AO34" s="54"/>
      <c r="AP34" s="53"/>
      <c r="AQ34" s="53"/>
      <c r="AR34" s="53"/>
      <c r="AS34" s="53"/>
      <c r="AT34" s="54"/>
      <c r="AU34" s="54"/>
      <c r="AV34" s="54"/>
      <c r="AW34" s="54"/>
      <c r="AX34" s="54"/>
      <c r="AY34" s="54"/>
      <c r="AZ34" s="53"/>
      <c r="BA34" s="53"/>
      <c r="BB34" s="54"/>
      <c r="BC34" s="54"/>
      <c r="BD34" s="54"/>
      <c r="BE34" s="54"/>
      <c r="BF34" s="54"/>
      <c r="BG34" s="54"/>
      <c r="BH34" s="54"/>
      <c r="BI34" s="54"/>
      <c r="BJ34" s="54"/>
      <c r="BK34" s="54"/>
      <c r="BL34" s="54"/>
      <c r="BM34" s="54"/>
      <c r="BN34" s="54"/>
      <c r="BO34" s="54"/>
      <c r="BP34" s="54"/>
      <c r="BQ34" s="53"/>
      <c r="BR34" s="53"/>
      <c r="BS34" s="54"/>
      <c r="BT34" s="54"/>
      <c r="BU34" s="68"/>
    </row>
    <row r="35" spans="2:73" x14ac:dyDescent="0.3">
      <c r="B35" s="22" t="s">
        <v>67</v>
      </c>
      <c r="C35" s="23" t="s">
        <v>68</v>
      </c>
      <c r="D35" s="63">
        <v>9.4482999999999998E-2</v>
      </c>
      <c r="E35" s="63">
        <f>Tabelle2[[#This Row],[BIP (mrd.)]]*1000000000/Tabelle2[[#This Row],[Bevölkerung]]</f>
        <v>2.9586747511995748</v>
      </c>
      <c r="F35" s="63">
        <v>0.50800000000000001</v>
      </c>
      <c r="G35" s="53">
        <v>322460</v>
      </c>
      <c r="H35" s="63">
        <v>31934230</v>
      </c>
      <c r="I35" s="88"/>
      <c r="J35" s="88">
        <f>Tabelle2[[#This Row],[Strom (mrd.)]]*1000000000/Tabelle2[[#This Row],[Bevölkerung]]</f>
        <v>0</v>
      </c>
      <c r="K35" s="53"/>
      <c r="L35" s="53">
        <f>Tabelle2[[#This Row],[Wohnimmobilien Anzahl]]/Tabelle2[[#This Row],[Bevölkerung]]</f>
        <v>0</v>
      </c>
      <c r="M35" s="53">
        <f t="shared" ref="M35:M64" si="41">L35-K35</f>
        <v>0</v>
      </c>
      <c r="N35" s="53" t="str">
        <f t="shared" si="32"/>
        <v/>
      </c>
      <c r="O35" s="53"/>
      <c r="P35" s="53"/>
      <c r="Q35" s="53">
        <f>1000000*Tabelle2[[#This Row],[Bevölkerung]]*EXP(-17.8941+0.2965*LN((Tabelle2[[#This Row],[BIP (mrd.)]]*1000000000)/Tabelle2[[#This Row],[Bevölkerung]]))</f>
        <v>745809.45982011582</v>
      </c>
      <c r="R35" s="53" t="str">
        <f t="shared" si="33"/>
        <v/>
      </c>
      <c r="S35" s="53" t="str">
        <f t="shared" si="34"/>
        <v/>
      </c>
      <c r="T35" s="53">
        <f>1000000*Tabelle2[[#This Row],[Wohneinheiten Anzahl]]*EXP(-14.22+0.02263*LN((Tabelle2[[#This Row],[BIP (mrd.)]]*1000000000)/Tabelle2[[#This Row],[Bevölkerung]]))</f>
        <v>0</v>
      </c>
      <c r="U35" s="53" t="str">
        <f t="shared" si="35"/>
        <v/>
      </c>
      <c r="V35" s="53" t="str">
        <f t="shared" si="36"/>
        <v/>
      </c>
      <c r="W35" s="54"/>
      <c r="X35" s="54"/>
      <c r="Y35" s="54" t="str">
        <f t="shared" ref="Y35:Y66" si="42">IF(AND(ISNUMBER(W35), ISNUMBER(X35)), W35-X35, "")</f>
        <v/>
      </c>
      <c r="Z35" s="54" t="str">
        <f t="shared" ref="Z35:Z66" si="43">IF(OR(W35=0,W35=""),"",(X35 - W35)/W35)</f>
        <v/>
      </c>
      <c r="AA35" s="54"/>
      <c r="AB35" s="54"/>
      <c r="AC35" s="54"/>
      <c r="AD35" s="54"/>
      <c r="AE35" s="54"/>
      <c r="AF35" s="54"/>
      <c r="AG35" s="54"/>
      <c r="AH35" s="54"/>
      <c r="AI35" s="54">
        <v>0</v>
      </c>
      <c r="AJ35" s="54"/>
      <c r="AK35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1072014.3649044042</v>
      </c>
      <c r="AL35" s="54" t="str">
        <f t="shared" si="39"/>
        <v/>
      </c>
      <c r="AM35" s="89" t="str">
        <f t="shared" si="40"/>
        <v/>
      </c>
      <c r="AN35" s="91"/>
      <c r="AO35" s="54"/>
      <c r="AP35" s="53"/>
      <c r="AQ35" s="53"/>
      <c r="AR35" s="53"/>
      <c r="AS35" s="53"/>
      <c r="AT35" s="54"/>
      <c r="AU35" s="54"/>
      <c r="AV35" s="54"/>
      <c r="AW35" s="54"/>
      <c r="AX35" s="54"/>
      <c r="AY35" s="54"/>
      <c r="AZ35" s="53"/>
      <c r="BA35" s="53"/>
      <c r="BB35" s="54"/>
      <c r="BC35" s="54"/>
      <c r="BD35" s="54"/>
      <c r="BE35" s="54"/>
      <c r="BF35" s="54"/>
      <c r="BG35" s="54"/>
      <c r="BH35" s="54"/>
      <c r="BI35" s="54"/>
      <c r="BJ35" s="54"/>
      <c r="BK35" s="54"/>
      <c r="BL35" s="54"/>
      <c r="BM35" s="54"/>
      <c r="BN35" s="54"/>
      <c r="BO35" s="54"/>
      <c r="BP35" s="54"/>
      <c r="BQ35" s="53"/>
      <c r="BR35" s="53"/>
      <c r="BS35" s="54"/>
      <c r="BT35" s="54"/>
      <c r="BU35" s="68"/>
    </row>
    <row r="36" spans="2:73" x14ac:dyDescent="0.3">
      <c r="B36" s="13" t="s">
        <v>69</v>
      </c>
      <c r="C36" s="14" t="s">
        <v>70</v>
      </c>
      <c r="D36" s="63">
        <v>449.94</v>
      </c>
      <c r="E36" s="63">
        <f>Tabelle2[[#This Row],[BIP (mrd.)]]*1000000000/Tabelle2[[#This Row],[Bevölkerung]]</f>
        <v>75278.693790687292</v>
      </c>
      <c r="F36" s="63">
        <v>0.879</v>
      </c>
      <c r="G36" s="53">
        <v>42920</v>
      </c>
      <c r="H36" s="63">
        <v>5976990</v>
      </c>
      <c r="I36" s="88">
        <v>35.253</v>
      </c>
      <c r="J36" s="88">
        <f>Tabelle2[[#This Row],[Strom (mrd.)]]*1000000000/Tabelle2[[#This Row],[Bevölkerung]]</f>
        <v>5898.119287467438</v>
      </c>
      <c r="K36" s="53">
        <v>2060000</v>
      </c>
      <c r="L36" s="53">
        <f>1000000*Tabelle2[[#This Row],[Bevölkerung]]*EXP(-15.4183+0.052*LN((Tabelle2[[#This Row],[BIP (mrd.)]]*1000000000)/Tabelle2[[#This Row],[Bevölkerung]]))</f>
        <v>2157679.1591899078</v>
      </c>
      <c r="M36" s="53">
        <f t="shared" ref="M36:M37" si="44">IF(AND(ISNUMBER(K36), ISNUMBER(L36)), K36-L36, "")</f>
        <v>-97679.159189907834</v>
      </c>
      <c r="N36" s="65">
        <f t="shared" si="32"/>
        <v>4.7417067567916422E-2</v>
      </c>
      <c r="O36" s="53"/>
      <c r="P36" s="53">
        <v>2852000</v>
      </c>
      <c r="Q36" s="53">
        <f>1000000*Tabelle2[[#This Row],[Bevölkerung]]*EXP(-17.8941+0.2965*LN((Tabelle2[[#This Row],[BIP (mrd.)]]*1000000000)/Tabelle2[[#This Row],[Bevölkerung]]))</f>
        <v>2825575.4644230139</v>
      </c>
      <c r="R36" s="53">
        <f t="shared" si="33"/>
        <v>26424.535576986149</v>
      </c>
      <c r="S36" s="65">
        <f t="shared" si="34"/>
        <v>-9.265264928817022E-3</v>
      </c>
      <c r="T36" s="53">
        <f>1000000*Tabelle2[[#This Row],[Wohneinheiten Anzahl]]*EXP(-14.22+0.02263*LN((Tabelle2[[#This Row],[BIP (mrd.)]]*1000000000)/Tabelle2[[#This Row],[Bevölkerung]]))</f>
        <v>2820426.6786462856</v>
      </c>
      <c r="U36" s="65">
        <f t="shared" si="35"/>
        <v>31573.321353714447</v>
      </c>
      <c r="V36" s="65">
        <f t="shared" si="36"/>
        <v>-1.1070589534962989E-2</v>
      </c>
      <c r="W36" s="54"/>
      <c r="X36" s="53">
        <f>1000000*Tabelle2[[#This Row],[Bevölkerung]]*EXP(-17.9119+0.2965*LN((Tabelle2[[#This Row],[BIP (mrd.)]]*1000000000)/Tabelle2[[#This Row],[Bevölkerung]]))</f>
        <v>2775725.2046741303</v>
      </c>
      <c r="Y36" s="53" t="str">
        <f t="shared" si="42"/>
        <v/>
      </c>
      <c r="Z36" s="65" t="str">
        <f t="shared" si="43"/>
        <v/>
      </c>
      <c r="AA36" s="54"/>
      <c r="AB36" s="54"/>
      <c r="AC36" s="54"/>
      <c r="AD36" s="54"/>
      <c r="AE36" s="54"/>
      <c r="AF36" s="54"/>
      <c r="AG36" s="54"/>
      <c r="AH36" s="54">
        <v>1</v>
      </c>
      <c r="AI36" s="54" t="s">
        <v>989</v>
      </c>
      <c r="AJ36" s="54">
        <v>3278108</v>
      </c>
      <c r="AK36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3167690.3504386405</v>
      </c>
      <c r="AL36" s="54">
        <f t="shared" si="39"/>
        <v>110417.64956135955</v>
      </c>
      <c r="AM36" s="89">
        <f t="shared" si="40"/>
        <v>-3.3683347089650352E-2</v>
      </c>
      <c r="AN36" s="91">
        <f t="shared" si="19"/>
        <v>3.3683347089650352E-2</v>
      </c>
      <c r="AO36" s="54"/>
      <c r="AP36" s="53"/>
      <c r="AQ36" s="53"/>
      <c r="AR36" s="53"/>
      <c r="AS36" s="53"/>
      <c r="AT36" s="54"/>
      <c r="AU36" s="54"/>
      <c r="AV36" s="54"/>
      <c r="AW36" s="54"/>
      <c r="AX36" s="54"/>
      <c r="AY36" s="54"/>
      <c r="AZ36" s="53"/>
      <c r="BA36" s="53"/>
      <c r="BB36" s="54"/>
      <c r="BC36" s="54"/>
      <c r="BD36" s="54"/>
      <c r="BE36" s="54"/>
      <c r="BF36" s="54"/>
      <c r="BG36" s="54"/>
      <c r="BH36" s="54"/>
      <c r="BI36" s="54"/>
      <c r="BJ36" s="54"/>
      <c r="BK36" s="54"/>
      <c r="BL36" s="54"/>
      <c r="BM36" s="54"/>
      <c r="BN36" s="54"/>
      <c r="BO36" s="54"/>
      <c r="BP36" s="54"/>
      <c r="BQ36" s="53"/>
      <c r="BR36" s="53"/>
      <c r="BS36" s="54"/>
      <c r="BT36" s="54"/>
      <c r="BU36" s="68"/>
    </row>
    <row r="37" spans="2:73" x14ac:dyDescent="0.3">
      <c r="B37" s="9" t="s">
        <v>71</v>
      </c>
      <c r="C37" s="10" t="s">
        <v>72</v>
      </c>
      <c r="D37" s="63">
        <v>4744.8040000000001</v>
      </c>
      <c r="E37" s="63">
        <f>Tabelle2[[#This Row],[BIP (mrd.)]]*1000000000/Tabelle2[[#This Row],[Bevölkerung]]</f>
        <v>56816.549207020158</v>
      </c>
      <c r="F37" s="63">
        <v>0.77400000000000002</v>
      </c>
      <c r="G37" s="53">
        <v>357680</v>
      </c>
      <c r="H37" s="63">
        <v>83510950</v>
      </c>
      <c r="I37" s="88">
        <v>519.69100000000003</v>
      </c>
      <c r="J37" s="88">
        <f>Tabelle2[[#This Row],[Strom (mrd.)]]*1000000000/Tabelle2[[#This Row],[Bevölkerung]]</f>
        <v>6223.0282376143496</v>
      </c>
      <c r="K37" s="87">
        <v>19488974</v>
      </c>
      <c r="L37" s="87">
        <f>1000000*Tabelle2[[#This Row],[Bevölkerung]]*EXP(-15.4183+0.052*LN((Tabelle2[[#This Row],[BIP (mrd.)]]*1000000000)/Tabelle2[[#This Row],[Bevölkerung]]))</f>
        <v>29709374.355402302</v>
      </c>
      <c r="M37" s="87">
        <f t="shared" si="44"/>
        <v>-10220400.355402302</v>
      </c>
      <c r="N37" s="92">
        <f t="shared" si="32"/>
        <v>0.52441962082777172</v>
      </c>
      <c r="O37" s="53">
        <v>3841438000</v>
      </c>
      <c r="P37" s="53"/>
      <c r="Q37" s="53">
        <f>1000000*Tabelle2[[#This Row],[Bevölkerung]]*EXP(-17.8941+0.2965*LN((Tabelle2[[#This Row],[BIP (mrd.)]]*1000000000)/Tabelle2[[#This Row],[Bevölkerung]]))</f>
        <v>36319204.653538913</v>
      </c>
      <c r="R37" s="53" t="str">
        <f t="shared" si="33"/>
        <v/>
      </c>
      <c r="S37" s="53" t="str">
        <f t="shared" si="34"/>
        <v/>
      </c>
      <c r="T37" s="53">
        <f>1000000*Tabelle2[[#This Row],[Bevölkerung]]*EXP(-14.22+0.2263*LN((Tabelle2[[#This Row],[BIP (mrd.)]]*1000000000)/Tabelle2[[#This Row],[Bevölkerung]]))</f>
        <v>663763780.61433399</v>
      </c>
      <c r="U37" s="53" t="str">
        <f t="shared" si="35"/>
        <v/>
      </c>
      <c r="V37" s="53" t="str">
        <f t="shared" si="36"/>
        <v/>
      </c>
      <c r="W37" s="87">
        <v>12939452</v>
      </c>
      <c r="X37" s="87">
        <f>1000000*Tabelle2[[#This Row],[Bevölkerung]]*EXP(-15.6892+0.034*LN((Tabelle2[[#This Row],[BIP (mrd.)]]*1000000000)/Tabelle2[[#This Row],[Bevölkerung]]))</f>
        <v>18606409.874864247</v>
      </c>
      <c r="Y37" s="87">
        <f t="shared" si="42"/>
        <v>-5666957.8748642467</v>
      </c>
      <c r="Z37" s="92">
        <f t="shared" si="43"/>
        <v>0.43795965044456647</v>
      </c>
      <c r="AA37" s="54">
        <v>1676403000</v>
      </c>
      <c r="AB37" s="54">
        <v>2778512</v>
      </c>
      <c r="AC37" s="54">
        <v>612785000</v>
      </c>
      <c r="AD37" s="54">
        <v>3737451</v>
      </c>
      <c r="AE37" s="54"/>
      <c r="AF37" s="54">
        <v>3247507</v>
      </c>
      <c r="AG37" s="54">
        <v>1529925000</v>
      </c>
      <c r="AH37" s="54">
        <v>1</v>
      </c>
      <c r="AI37" s="54" t="s">
        <v>989</v>
      </c>
      <c r="AJ37" s="54">
        <v>43084122</v>
      </c>
      <c r="AK37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40998311.070307322</v>
      </c>
      <c r="AL37" s="54">
        <f t="shared" si="39"/>
        <v>2085810.9296926782</v>
      </c>
      <c r="AM37" s="89">
        <f t="shared" si="40"/>
        <v>-4.8412520271219131E-2</v>
      </c>
      <c r="AN37" s="91">
        <f t="shared" si="19"/>
        <v>4.8412520271219131E-2</v>
      </c>
      <c r="AO37" s="54">
        <v>3967765000</v>
      </c>
      <c r="AP37" s="53">
        <v>21124000</v>
      </c>
      <c r="AQ37" s="53"/>
      <c r="AR37" s="53"/>
      <c r="AS37" s="53"/>
      <c r="AT37" s="54"/>
      <c r="AU37" s="54"/>
      <c r="AV37" s="54">
        <v>187000</v>
      </c>
      <c r="AW37" s="54"/>
      <c r="AX37" s="54">
        <v>758000</v>
      </c>
      <c r="AY37" s="54"/>
      <c r="AZ37" s="53">
        <f>K37+AP37</f>
        <v>40612974</v>
      </c>
      <c r="BA37" s="53"/>
      <c r="BB37" s="54"/>
      <c r="BC37" s="54"/>
      <c r="BD37" s="54">
        <v>307000</v>
      </c>
      <c r="BE37" s="54"/>
      <c r="BF37" s="54"/>
      <c r="BG37" s="54">
        <v>63000</v>
      </c>
      <c r="BH37" s="54"/>
      <c r="BI37" s="54">
        <f>141000+78000</f>
        <v>219000</v>
      </c>
      <c r="BJ37" s="54"/>
      <c r="BK37" s="54">
        <v>270000</v>
      </c>
      <c r="BL37" s="54"/>
      <c r="BM37" s="54"/>
      <c r="BN37" s="54"/>
      <c r="BO37" s="54"/>
      <c r="BP37" s="54"/>
      <c r="BQ37" s="53"/>
      <c r="BR37" s="53"/>
      <c r="BS37" s="54"/>
      <c r="BT37" s="54"/>
      <c r="BU37" s="68"/>
    </row>
    <row r="38" spans="2:73" x14ac:dyDescent="0.3">
      <c r="B38" s="2" t="s">
        <v>73</v>
      </c>
      <c r="C38" s="3" t="s">
        <v>74</v>
      </c>
      <c r="D38" s="63">
        <v>7.4200000000000005E-7</v>
      </c>
      <c r="E38" s="63">
        <f>Tabelle2[[#This Row],[BIP (mrd.)]]*1000000000/Tabelle2[[#This Row],[Bevölkerung]]</f>
        <v>1.1208459214501511E-2</v>
      </c>
      <c r="F38" s="63">
        <v>0.70499999999999996</v>
      </c>
      <c r="G38" s="53">
        <v>750</v>
      </c>
      <c r="H38" s="63">
        <v>66200</v>
      </c>
      <c r="I38" s="88"/>
      <c r="J38" s="88">
        <f>Tabelle2[[#This Row],[Strom (mrd.)]]*1000000000/Tabelle2[[#This Row],[Bevölkerung]]</f>
        <v>0</v>
      </c>
      <c r="K38" s="53"/>
      <c r="L38" s="53">
        <f>Tabelle2[[#This Row],[Wohnimmobilien Anzahl]]/Tabelle2[[#This Row],[Bevölkerung]]</f>
        <v>0</v>
      </c>
      <c r="M38" s="53">
        <f t="shared" si="41"/>
        <v>0</v>
      </c>
      <c r="N38" s="53" t="str">
        <f t="shared" si="32"/>
        <v/>
      </c>
      <c r="O38" s="53"/>
      <c r="P38" s="53"/>
      <c r="Q38" s="53">
        <f>1000000*Tabelle2[[#This Row],[Bevölkerung]]*EXP(-17.8941+0.2965*LN((Tabelle2[[#This Row],[BIP (mrd.)]]*1000000000)/Tabelle2[[#This Row],[Bevölkerung]]))</f>
        <v>295.96439295219045</v>
      </c>
      <c r="R38" s="53" t="str">
        <f t="shared" si="33"/>
        <v/>
      </c>
      <c r="S38" s="53" t="str">
        <f t="shared" si="34"/>
        <v/>
      </c>
      <c r="T38" s="53">
        <f>1000000*Tabelle2[[#This Row],[Bevölkerung]]*EXP(-14.22+0.2263*LN((Tabelle2[[#This Row],[BIP (mrd.)]]*1000000000)/Tabelle2[[#This Row],[Bevölkerung]]))</f>
        <v>15988.315052868047</v>
      </c>
      <c r="U38" s="53" t="str">
        <f t="shared" si="35"/>
        <v/>
      </c>
      <c r="V38" s="53" t="str">
        <f t="shared" si="36"/>
        <v/>
      </c>
      <c r="W38" s="54"/>
      <c r="X38" s="54"/>
      <c r="Y38" s="54" t="str">
        <f t="shared" si="42"/>
        <v/>
      </c>
      <c r="Z38" s="54" t="str">
        <f t="shared" si="43"/>
        <v/>
      </c>
      <c r="AA38" s="54"/>
      <c r="AB38" s="54"/>
      <c r="AC38" s="54"/>
      <c r="AD38" s="54"/>
      <c r="AE38" s="54"/>
      <c r="AF38" s="54"/>
      <c r="AG38" s="54"/>
      <c r="AH38" s="54"/>
      <c r="AI38" s="54">
        <v>0</v>
      </c>
      <c r="AJ38" s="54"/>
      <c r="AK38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488.52532522317466</v>
      </c>
      <c r="AL38" s="54" t="str">
        <f t="shared" si="39"/>
        <v/>
      </c>
      <c r="AM38" s="89" t="str">
        <f t="shared" si="40"/>
        <v/>
      </c>
      <c r="AN38" s="91"/>
      <c r="AO38" s="54"/>
      <c r="AP38" s="53"/>
      <c r="AQ38" s="53"/>
      <c r="AR38" s="53"/>
      <c r="AS38" s="53"/>
      <c r="AT38" s="54"/>
      <c r="AU38" s="54"/>
      <c r="AV38" s="54"/>
      <c r="AW38" s="54"/>
      <c r="AX38" s="54"/>
      <c r="AY38" s="54"/>
      <c r="AZ38" s="53"/>
      <c r="BA38" s="53"/>
      <c r="BB38" s="54"/>
      <c r="BC38" s="54"/>
      <c r="BD38" s="54"/>
      <c r="BE38" s="54"/>
      <c r="BF38" s="54"/>
      <c r="BG38" s="54"/>
      <c r="BH38" s="54"/>
      <c r="BI38" s="54"/>
      <c r="BJ38" s="54"/>
      <c r="BK38" s="54"/>
      <c r="BL38" s="54"/>
      <c r="BM38" s="54"/>
      <c r="BN38" s="54"/>
      <c r="BO38" s="54"/>
      <c r="BP38" s="54"/>
      <c r="BQ38" s="53"/>
      <c r="BR38" s="53"/>
      <c r="BS38" s="54"/>
      <c r="BT38" s="54"/>
      <c r="BU38" s="68"/>
    </row>
    <row r="39" spans="2:73" x14ac:dyDescent="0.3">
      <c r="B39" s="22" t="s">
        <v>75</v>
      </c>
      <c r="C39" s="23" t="s">
        <v>76</v>
      </c>
      <c r="D39" s="63">
        <v>127.828</v>
      </c>
      <c r="E39" s="63">
        <f>Tabelle2[[#This Row],[BIP (mrd.)]]*1000000000/Tabelle2[[#This Row],[Bevölkerung]]</f>
        <v>11185.939955686079</v>
      </c>
      <c r="F39" s="63">
        <v>0.81100000000000005</v>
      </c>
      <c r="G39" s="53">
        <v>146839</v>
      </c>
      <c r="H39" s="63">
        <v>11427560</v>
      </c>
      <c r="I39" s="88">
        <v>22.193000000000001</v>
      </c>
      <c r="J39" s="88">
        <f>Tabelle2[[#This Row],[Strom (mrd.)]]*1000000000/Tabelle2[[#This Row],[Bevölkerung]]</f>
        <v>1942.0593722544445</v>
      </c>
      <c r="K39" s="87"/>
      <c r="L39" s="87">
        <f>1000000*Tabelle2[[#This Row],[Bevölkerung]]*EXP(-15.4183+0.052*LN((Tabelle2[[#This Row],[BIP (mrd.)]]*1000000000)/Tabelle2[[#This Row],[Bevölkerung]]))</f>
        <v>3735957.0007289289</v>
      </c>
      <c r="M39" s="87" t="str">
        <f>IF(AND(ISNUMBER(K39), ISNUMBER(L39)), K39-L39, "")</f>
        <v/>
      </c>
      <c r="N39" s="92" t="str">
        <f t="shared" si="32"/>
        <v/>
      </c>
      <c r="O39" s="53"/>
      <c r="P39" s="53"/>
      <c r="Q39" s="53">
        <f>1000000*Tabelle2[[#This Row],[Bevölkerung]]*EXP(-17.8941+0.2965*LN((Tabelle2[[#This Row],[BIP (mrd.)]]*1000000000)/Tabelle2[[#This Row],[Bevölkerung]]))</f>
        <v>3069559.1954853628</v>
      </c>
      <c r="R39" s="53" t="str">
        <f t="shared" si="33"/>
        <v/>
      </c>
      <c r="S39" s="53" t="str">
        <f t="shared" si="34"/>
        <v/>
      </c>
      <c r="T39" s="53">
        <f>1000000*Tabelle2[[#This Row],[Wohneinheiten Anzahl]]*EXP(-14.22+0.02263*LN((Tabelle2[[#This Row],[BIP (mrd.)]]*1000000000)/Tabelle2[[#This Row],[Bevölkerung]]))</f>
        <v>3044092.6798369768</v>
      </c>
      <c r="U39" s="53" t="str">
        <f t="shared" si="35"/>
        <v/>
      </c>
      <c r="V39" s="53" t="str">
        <f t="shared" si="36"/>
        <v/>
      </c>
      <c r="W39" s="87">
        <v>2442901</v>
      </c>
      <c r="X39" s="87">
        <f>1000000*Tabelle2[[#This Row],[Bevölkerung]]*EXP(-15.6892+0.034*LN((Tabelle2[[#This Row],[BIP (mrd.)]]*1000000000)/Tabelle2[[#This Row],[Bevölkerung]]))</f>
        <v>2409214.0609417888</v>
      </c>
      <c r="Y39" s="87">
        <f t="shared" si="42"/>
        <v>33686.939058211166</v>
      </c>
      <c r="Z39" s="92">
        <f t="shared" si="43"/>
        <v>-1.3789727483107653E-2</v>
      </c>
      <c r="AA39" s="54"/>
      <c r="AB39" s="54">
        <v>256875</v>
      </c>
      <c r="AC39" s="54"/>
      <c r="AD39" s="54">
        <v>99203</v>
      </c>
      <c r="AE39" s="54"/>
      <c r="AF39" s="54"/>
      <c r="AG39" s="54"/>
      <c r="AH39" s="54">
        <v>0</v>
      </c>
      <c r="AI39" s="54" t="s">
        <v>988</v>
      </c>
      <c r="AJ39" s="54">
        <v>3694060</v>
      </c>
      <c r="AK39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3605768.2760853223</v>
      </c>
      <c r="AL39" s="54">
        <f t="shared" si="39"/>
        <v>88291.723914677743</v>
      </c>
      <c r="AM39" s="89">
        <f t="shared" si="40"/>
        <v>-2.3900998877841112E-2</v>
      </c>
      <c r="AN39" s="91">
        <f t="shared" si="19"/>
        <v>2.3900998877841112E-2</v>
      </c>
      <c r="AO39" s="54"/>
      <c r="AP39" s="53"/>
      <c r="AQ39" s="53"/>
      <c r="AR39" s="53"/>
      <c r="AS39" s="53"/>
      <c r="AT39" s="54"/>
      <c r="AU39" s="54"/>
      <c r="AV39" s="54"/>
      <c r="AW39" s="54"/>
      <c r="AX39" s="54"/>
      <c r="AY39" s="54"/>
      <c r="AZ39" s="53"/>
      <c r="BA39" s="53"/>
      <c r="BB39" s="54"/>
      <c r="BC39" s="54"/>
      <c r="BD39" s="54"/>
      <c r="BE39" s="54"/>
      <c r="BF39" s="54"/>
      <c r="BG39" s="54"/>
      <c r="BH39" s="54"/>
      <c r="BI39" s="54"/>
      <c r="BJ39" s="54"/>
      <c r="BK39" s="54"/>
      <c r="BL39" s="54"/>
      <c r="BM39" s="54"/>
      <c r="BN39" s="54"/>
      <c r="BO39" s="54"/>
      <c r="BP39" s="54"/>
      <c r="BQ39" s="53"/>
      <c r="BR39" s="53"/>
      <c r="BS39" s="54"/>
      <c r="BT39" s="54"/>
      <c r="BU39" s="68"/>
    </row>
    <row r="40" spans="2:73" x14ac:dyDescent="0.3">
      <c r="B40" s="4" t="s">
        <v>77</v>
      </c>
      <c r="C40" s="5" t="s">
        <v>78</v>
      </c>
      <c r="D40" s="63">
        <v>4.5869999999999991E-3</v>
      </c>
      <c r="E40" s="63">
        <f>Tabelle2[[#This Row],[BIP (mrd.)]]*1000000000/Tabelle2[[#This Row],[Bevölkerung]]</f>
        <v>3.9248066260524328</v>
      </c>
      <c r="F40" s="63">
        <v>0.77800000000000002</v>
      </c>
      <c r="G40" s="53">
        <v>23200</v>
      </c>
      <c r="H40" s="63">
        <v>1168720</v>
      </c>
      <c r="I40" s="88"/>
      <c r="J40" s="88">
        <f>Tabelle2[[#This Row],[Strom (mrd.)]]*1000000000/Tabelle2[[#This Row],[Bevölkerung]]</f>
        <v>0</v>
      </c>
      <c r="K40" s="84"/>
      <c r="L40" s="84">
        <f>Tabelle2[[#This Row],[Wohnimmobilien Anzahl]]/Tabelle2[[#This Row],[Bevölkerung]]</f>
        <v>0</v>
      </c>
      <c r="M40" s="84">
        <f t="shared" si="41"/>
        <v>0</v>
      </c>
      <c r="N40" s="84" t="str">
        <f t="shared" si="32"/>
        <v/>
      </c>
      <c r="O40" s="84"/>
      <c r="P40" s="84"/>
      <c r="Q40" s="84">
        <f>1000000*Tabelle2[[#This Row],[Bevölkerung]]*EXP(-17.8941+0.2965*LN((Tabelle2[[#This Row],[BIP (mrd.)]]*1000000000)/Tabelle2[[#This Row],[Bevölkerung]]))</f>
        <v>29680.328456472973</v>
      </c>
      <c r="R40" s="84" t="str">
        <f t="shared" si="33"/>
        <v/>
      </c>
      <c r="S40" s="84" t="str">
        <f t="shared" si="34"/>
        <v/>
      </c>
      <c r="T40" s="84">
        <f>1000000*Tabelle2[[#This Row],[Bevölkerung]]*EXP(-14.22+0.2263*LN((Tabelle2[[#This Row],[BIP (mrd.)]]*1000000000)/Tabelle2[[#This Row],[Bevölkerung]]))</f>
        <v>1062732.6330864609</v>
      </c>
      <c r="U40" s="84" t="str">
        <f t="shared" si="35"/>
        <v/>
      </c>
      <c r="V40" s="84" t="str">
        <f t="shared" si="36"/>
        <v/>
      </c>
      <c r="W40" s="54"/>
      <c r="X40" s="54"/>
      <c r="Y40" s="54" t="str">
        <f t="shared" si="42"/>
        <v/>
      </c>
      <c r="Z40" s="54" t="str">
        <f t="shared" si="43"/>
        <v/>
      </c>
      <c r="AA40" s="54"/>
      <c r="AB40" s="54"/>
      <c r="AC40" s="54"/>
      <c r="AD40" s="54"/>
      <c r="AE40" s="54"/>
      <c r="AF40" s="54"/>
      <c r="AG40" s="54"/>
      <c r="AH40" s="54"/>
      <c r="AI40" s="54">
        <v>0</v>
      </c>
      <c r="AJ40" s="54"/>
      <c r="AK40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42368.50590077362</v>
      </c>
      <c r="AL40" s="54" t="str">
        <f t="shared" si="39"/>
        <v/>
      </c>
      <c r="AM40" s="89" t="str">
        <f t="shared" si="40"/>
        <v/>
      </c>
      <c r="AN40" s="91"/>
      <c r="AO40" s="54"/>
      <c r="AP40" s="53"/>
      <c r="AQ40" s="53"/>
      <c r="AR40" s="53"/>
      <c r="AS40" s="53"/>
      <c r="AT40" s="54"/>
      <c r="AU40" s="54"/>
      <c r="AV40" s="54"/>
      <c r="AW40" s="54"/>
      <c r="AX40" s="54"/>
      <c r="AY40" s="54"/>
      <c r="AZ40" s="53"/>
      <c r="BA40" s="53"/>
      <c r="BB40" s="54"/>
      <c r="BC40" s="54"/>
      <c r="BD40" s="54"/>
      <c r="BE40" s="54"/>
      <c r="BF40" s="54"/>
      <c r="BG40" s="54"/>
      <c r="BH40" s="54"/>
      <c r="BI40" s="54"/>
      <c r="BJ40" s="54"/>
      <c r="BK40" s="54"/>
      <c r="BL40" s="54"/>
      <c r="BM40" s="54"/>
      <c r="BN40" s="54"/>
      <c r="BO40" s="54"/>
      <c r="BP40" s="54"/>
      <c r="BQ40" s="53"/>
      <c r="BR40" s="53"/>
      <c r="BS40" s="54"/>
      <c r="BT40" s="54"/>
      <c r="BU40" s="68"/>
    </row>
    <row r="41" spans="2:73" x14ac:dyDescent="0.3">
      <c r="B41" s="22" t="s">
        <v>79</v>
      </c>
      <c r="C41" s="23" t="s">
        <v>80</v>
      </c>
      <c r="D41" s="63">
        <v>125.67700000000001</v>
      </c>
      <c r="E41" s="63">
        <f>Tabelle2[[#This Row],[BIP (mrd.)]]*1000000000/Tabelle2[[#This Row],[Bevölkerung]]</f>
        <v>6929.896534307336</v>
      </c>
      <c r="F41" s="63">
        <v>0.63800000000000001</v>
      </c>
      <c r="G41" s="53">
        <v>256370</v>
      </c>
      <c r="H41" s="63">
        <v>18135480</v>
      </c>
      <c r="I41" s="88">
        <v>29.305</v>
      </c>
      <c r="J41" s="88">
        <f>Tabelle2[[#This Row],[Strom (mrd.)]]*1000000000/Tabelle2[[#This Row],[Bevölkerung]]</f>
        <v>1615.8932655766487</v>
      </c>
      <c r="K41" s="53"/>
      <c r="L41" s="53">
        <f>1000000*Tabelle2[[#This Row],[Bevölkerung]]*EXP(-15.4183+0.052*LN((Tabelle2[[#This Row],[BIP (mrd.)]]*1000000000)/Tabelle2[[#This Row],[Bevölkerung]]))</f>
        <v>5783147.0505484277</v>
      </c>
      <c r="M41" s="53" t="str">
        <f>IF(AND(ISNUMBER(K41), ISNUMBER(L41)), K41-L41, "")</f>
        <v/>
      </c>
      <c r="N41" s="65" t="str">
        <f t="shared" si="32"/>
        <v/>
      </c>
      <c r="O41" s="53"/>
      <c r="P41" s="53">
        <v>5062650</v>
      </c>
      <c r="Q41" s="53">
        <f>1000000*Tabelle2[[#This Row],[Bevölkerung]]*EXP(-17.8941+0.2965*LN((Tabelle2[[#This Row],[BIP (mrd.)]]*1000000000)/Tabelle2[[#This Row],[Bevölkerung]]))</f>
        <v>4226643.784332864</v>
      </c>
      <c r="R41" s="53">
        <f t="shared" si="33"/>
        <v>836006.21566713601</v>
      </c>
      <c r="S41" s="65">
        <f t="shared" si="34"/>
        <v>-0.16513213745116412</v>
      </c>
      <c r="T41" s="53">
        <f>1000000*Tabelle2[[#This Row],[Wohneinheiten Anzahl]]*EXP(-14.22+0.02263*LN((Tabelle2[[#This Row],[BIP (mrd.)]]*1000000000)/Tabelle2[[#This Row],[Bevölkerung]]))</f>
        <v>5388465.1541943951</v>
      </c>
      <c r="U41" s="65">
        <f t="shared" si="35"/>
        <v>-325815.15419439506</v>
      </c>
      <c r="V41" s="65">
        <f t="shared" si="36"/>
        <v>6.4356642113200607E-2</v>
      </c>
      <c r="W41" s="54"/>
      <c r="X41" s="53">
        <f>1000000*Tabelle2[[#This Row],[Bevölkerung]]*EXP(-17.9119+0.2965*LN((Tabelle2[[#This Row],[BIP (mrd.)]]*1000000000)/Tabelle2[[#This Row],[Bevölkerung]]))</f>
        <v>4152075.1546261292</v>
      </c>
      <c r="Y41" s="53" t="str">
        <f t="shared" si="42"/>
        <v/>
      </c>
      <c r="Z41" s="65" t="str">
        <f t="shared" si="43"/>
        <v/>
      </c>
      <c r="AA41" s="54"/>
      <c r="AB41" s="54"/>
      <c r="AC41" s="54"/>
      <c r="AD41" s="54"/>
      <c r="AE41" s="54"/>
      <c r="AF41" s="54"/>
      <c r="AG41" s="54"/>
      <c r="AH41" s="54">
        <v>0</v>
      </c>
      <c r="AI41" s="54" t="s">
        <v>988</v>
      </c>
      <c r="AJ41" s="54">
        <v>6610236</v>
      </c>
      <c r="AK41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5023566.0202705907</v>
      </c>
      <c r="AL41" s="54">
        <f t="shared" si="39"/>
        <v>1586669.9797294093</v>
      </c>
      <c r="AM41" s="89">
        <f t="shared" si="40"/>
        <v>-0.24003227414715742</v>
      </c>
      <c r="AN41" s="91">
        <f t="shared" si="19"/>
        <v>0.24003227414715742</v>
      </c>
      <c r="AO41" s="54"/>
      <c r="AP41" s="53"/>
      <c r="AQ41" s="53"/>
      <c r="AR41" s="53"/>
      <c r="AS41" s="53"/>
      <c r="AT41" s="54"/>
      <c r="AU41" s="54"/>
      <c r="AV41" s="54"/>
      <c r="AW41" s="54"/>
      <c r="AX41" s="54"/>
      <c r="AY41" s="54"/>
      <c r="AZ41" s="53"/>
      <c r="BA41" s="53"/>
      <c r="BB41" s="54"/>
      <c r="BC41" s="54"/>
      <c r="BD41" s="54"/>
      <c r="BE41" s="54"/>
      <c r="BF41" s="54"/>
      <c r="BG41" s="54"/>
      <c r="BH41" s="54"/>
      <c r="BI41" s="54"/>
      <c r="BJ41" s="54"/>
      <c r="BK41" s="54"/>
      <c r="BL41" s="54"/>
      <c r="BM41" s="54"/>
      <c r="BN41" s="54"/>
      <c r="BO41" s="54"/>
      <c r="BP41" s="54"/>
      <c r="BQ41" s="53"/>
      <c r="BR41" s="53"/>
      <c r="BS41" s="54"/>
      <c r="BT41" s="54"/>
      <c r="BU41" s="68"/>
    </row>
    <row r="42" spans="2:73" x14ac:dyDescent="0.3">
      <c r="B42" s="2" t="s">
        <v>81</v>
      </c>
      <c r="C42" s="3" t="s">
        <v>82</v>
      </c>
      <c r="D42" s="63">
        <v>3.6749000000000004E-2</v>
      </c>
      <c r="E42" s="63">
        <f>Tabelle2[[#This Row],[BIP (mrd.)]]*1000000000/Tabelle2[[#This Row],[Bevölkerung]]</f>
        <v>5.798027512586402</v>
      </c>
      <c r="F42" s="63">
        <v>0.72</v>
      </c>
      <c r="G42" s="53">
        <v>21040</v>
      </c>
      <c r="H42" s="63">
        <v>6338190</v>
      </c>
      <c r="I42" s="88"/>
      <c r="J42" s="88">
        <f>Tabelle2[[#This Row],[Strom (mrd.)]]*1000000000/Tabelle2[[#This Row],[Bevölkerung]]</f>
        <v>0</v>
      </c>
      <c r="K42" s="53"/>
      <c r="L42" s="53">
        <f>Tabelle2[[#This Row],[Wohnimmobilien Anzahl]]/Tabelle2[[#This Row],[Bevölkerung]]</f>
        <v>0</v>
      </c>
      <c r="M42" s="53">
        <f t="shared" si="41"/>
        <v>0</v>
      </c>
      <c r="N42" s="53" t="str">
        <f t="shared" si="32"/>
        <v/>
      </c>
      <c r="O42" s="53"/>
      <c r="P42" s="53"/>
      <c r="Q42" s="53">
        <f>1000000*Tabelle2[[#This Row],[Bevölkerung]]*EXP(-17.8941+0.2965*LN((Tabelle2[[#This Row],[BIP (mrd.)]]*1000000000)/Tabelle2[[#This Row],[Bevölkerung]]))</f>
        <v>180704.49922687729</v>
      </c>
      <c r="R42" s="53" t="str">
        <f t="shared" si="33"/>
        <v/>
      </c>
      <c r="S42" s="53" t="str">
        <f t="shared" si="34"/>
        <v/>
      </c>
      <c r="T42" s="53">
        <f>1000000*Tabelle2[[#This Row],[Bevölkerung]]*EXP(-14.22+0.2263*LN((Tabelle2[[#This Row],[BIP (mrd.)]]*1000000000)/Tabelle2[[#This Row],[Bevölkerung]]))</f>
        <v>6295468.3769649034</v>
      </c>
      <c r="U42" s="53" t="str">
        <f t="shared" si="35"/>
        <v/>
      </c>
      <c r="V42" s="53" t="str">
        <f t="shared" si="36"/>
        <v/>
      </c>
      <c r="W42" s="54"/>
      <c r="X42" s="54"/>
      <c r="Y42" s="54" t="str">
        <f t="shared" si="42"/>
        <v/>
      </c>
      <c r="Z42" s="54" t="str">
        <f t="shared" si="43"/>
        <v/>
      </c>
      <c r="AA42" s="54"/>
      <c r="AB42" s="54"/>
      <c r="AC42" s="54"/>
      <c r="AD42" s="54"/>
      <c r="AE42" s="54"/>
      <c r="AF42" s="54"/>
      <c r="AG42" s="54"/>
      <c r="AH42" s="54"/>
      <c r="AI42" s="54">
        <v>0</v>
      </c>
      <c r="AJ42" s="54"/>
      <c r="AK42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255496.11564745588</v>
      </c>
      <c r="AL42" s="54" t="str">
        <f t="shared" si="39"/>
        <v/>
      </c>
      <c r="AM42" s="89" t="str">
        <f t="shared" si="40"/>
        <v/>
      </c>
      <c r="AN42" s="91"/>
      <c r="AO42" s="54"/>
      <c r="AP42" s="53"/>
      <c r="AQ42" s="53"/>
      <c r="AR42" s="53"/>
      <c r="AS42" s="53"/>
      <c r="AT42" s="54"/>
      <c r="AU42" s="54"/>
      <c r="AV42" s="54"/>
      <c r="AW42" s="54"/>
      <c r="AX42" s="54"/>
      <c r="AY42" s="54"/>
      <c r="AZ42" s="53"/>
      <c r="BA42" s="53"/>
      <c r="BB42" s="54"/>
      <c r="BC42" s="54"/>
      <c r="BD42" s="54"/>
      <c r="BE42" s="54"/>
      <c r="BF42" s="54"/>
      <c r="BG42" s="54"/>
      <c r="BH42" s="54"/>
      <c r="BI42" s="54"/>
      <c r="BJ42" s="54"/>
      <c r="BK42" s="54"/>
      <c r="BL42" s="54"/>
      <c r="BM42" s="54"/>
      <c r="BN42" s="54"/>
      <c r="BO42" s="54"/>
      <c r="BP42" s="54"/>
      <c r="BQ42" s="53"/>
      <c r="BR42" s="53"/>
      <c r="BS42" s="54"/>
      <c r="BT42" s="54"/>
      <c r="BU42" s="68"/>
    </row>
    <row r="43" spans="2:73" x14ac:dyDescent="0.3">
      <c r="B43" s="2" t="s">
        <v>83</v>
      </c>
      <c r="C43" s="3" t="s">
        <v>84</v>
      </c>
      <c r="D43" s="63" t="s">
        <v>592</v>
      </c>
      <c r="E43" s="63" t="e">
        <f>Tabelle2[[#This Row],[BIP (mrd.)]]*1000000000/Tabelle2[[#This Row],[Bevölkerung]]</f>
        <v>#VALUE!</v>
      </c>
      <c r="F43" s="63">
        <v>0.40100000000000002</v>
      </c>
      <c r="G43" s="53">
        <v>121766</v>
      </c>
      <c r="H43" s="63">
        <v>3535600</v>
      </c>
      <c r="I43" s="88"/>
      <c r="J43" s="88">
        <f>Tabelle2[[#This Row],[Strom (mrd.)]]*1000000000/Tabelle2[[#This Row],[Bevölkerung]]</f>
        <v>0</v>
      </c>
      <c r="K43" s="53"/>
      <c r="L43" s="53">
        <f>Tabelle2[[#This Row],[Wohnimmobilien Anzahl]]/Tabelle2[[#This Row],[Bevölkerung]]</f>
        <v>0</v>
      </c>
      <c r="M43" s="53">
        <f t="shared" si="41"/>
        <v>0</v>
      </c>
      <c r="N43" s="53" t="str">
        <f t="shared" si="32"/>
        <v/>
      </c>
      <c r="O43" s="53"/>
      <c r="P43" s="53"/>
      <c r="Q43" s="53" t="e">
        <f>1000000*Tabelle2[[#This Row],[Bevölkerung]]*EXP(-17.8941+0.2965*LN((Tabelle2[[#This Row],[BIP (mrd.)]]*1000000000)/Tabelle2[[#This Row],[Bevölkerung]]))</f>
        <v>#VALUE!</v>
      </c>
      <c r="R43" s="53" t="str">
        <f t="shared" si="33"/>
        <v/>
      </c>
      <c r="S43" s="53" t="str">
        <f t="shared" si="34"/>
        <v/>
      </c>
      <c r="T43" s="53" t="e">
        <f>1000000*Tabelle2[[#This Row],[Bevölkerung]]*EXP(-14.22+0.2263*LN((Tabelle2[[#This Row],[BIP (mrd.)]]*1000000000)/Tabelle2[[#This Row],[Bevölkerung]]))</f>
        <v>#VALUE!</v>
      </c>
      <c r="U43" s="53" t="str">
        <f t="shared" si="35"/>
        <v/>
      </c>
      <c r="V43" s="53" t="str">
        <f t="shared" si="36"/>
        <v/>
      </c>
      <c r="W43" s="54"/>
      <c r="X43" s="54"/>
      <c r="Y43" s="54" t="str">
        <f t="shared" si="42"/>
        <v/>
      </c>
      <c r="Z43" s="54" t="str">
        <f t="shared" si="43"/>
        <v/>
      </c>
      <c r="AA43" s="54"/>
      <c r="AB43" s="54"/>
      <c r="AC43" s="54"/>
      <c r="AD43" s="54"/>
      <c r="AE43" s="54"/>
      <c r="AF43" s="54"/>
      <c r="AG43" s="54"/>
      <c r="AH43" s="54"/>
      <c r="AI43" s="54">
        <v>0</v>
      </c>
      <c r="AJ43" s="54"/>
      <c r="AK43" s="80"/>
      <c r="AL43" s="54" t="str">
        <f t="shared" si="39"/>
        <v/>
      </c>
      <c r="AM43" s="89" t="str">
        <f t="shared" si="40"/>
        <v/>
      </c>
      <c r="AN43" s="91"/>
      <c r="AO43" s="54"/>
      <c r="AP43" s="53"/>
      <c r="AQ43" s="53"/>
      <c r="AR43" s="53"/>
      <c r="AS43" s="53"/>
      <c r="AT43" s="54"/>
      <c r="AU43" s="54"/>
      <c r="AV43" s="54"/>
      <c r="AW43" s="54"/>
      <c r="AX43" s="54"/>
      <c r="AY43" s="54"/>
      <c r="AZ43" s="53"/>
      <c r="BA43" s="53"/>
      <c r="BB43" s="54"/>
      <c r="BC43" s="54"/>
      <c r="BD43" s="54"/>
      <c r="BE43" s="54"/>
      <c r="BF43" s="54"/>
      <c r="BG43" s="54"/>
      <c r="BH43" s="54"/>
      <c r="BI43" s="54"/>
      <c r="BJ43" s="54"/>
      <c r="BK43" s="54"/>
      <c r="BL43" s="54"/>
      <c r="BM43" s="54"/>
      <c r="BN43" s="54"/>
      <c r="BO43" s="54"/>
      <c r="BP43" s="54"/>
      <c r="BQ43" s="53"/>
      <c r="BR43" s="53"/>
      <c r="BS43" s="54"/>
      <c r="BT43" s="54"/>
      <c r="BU43" s="68"/>
    </row>
    <row r="44" spans="2:73" x14ac:dyDescent="0.3">
      <c r="B44" s="2" t="s">
        <v>85</v>
      </c>
      <c r="C44" s="3" t="s">
        <v>86</v>
      </c>
      <c r="D44" s="63">
        <v>45.004000000000005</v>
      </c>
      <c r="E44" s="63">
        <f>Tabelle2[[#This Row],[BIP (mrd.)]]*1000000000/Tabelle2[[#This Row],[Bevölkerung]]</f>
        <v>32801.988352684792</v>
      </c>
      <c r="F44" s="63">
        <v>0.68899999999999995</v>
      </c>
      <c r="G44" s="53">
        <v>45340</v>
      </c>
      <c r="H44" s="63">
        <v>1371990</v>
      </c>
      <c r="I44" s="88">
        <v>8.6359999999999992</v>
      </c>
      <c r="J44" s="88">
        <f>Tabelle2[[#This Row],[Strom (mrd.)]]*1000000000/Tabelle2[[#This Row],[Bevölkerung]]</f>
        <v>6294.5065197268204</v>
      </c>
      <c r="K44" s="53">
        <v>266475</v>
      </c>
      <c r="L44" s="53">
        <f>1000000*Tabelle2[[#This Row],[Bevölkerung]]*EXP(-15.4183+0.052*LN((Tabelle2[[#This Row],[BIP (mrd.)]]*1000000000)/Tabelle2[[#This Row],[Bevölkerung]]))</f>
        <v>474345.89273174264</v>
      </c>
      <c r="M44" s="53">
        <f>IF(AND(ISNUMBER(K44), ISNUMBER(L44)), K44-L44, "")</f>
        <v>-207870.89273174264</v>
      </c>
      <c r="N44" s="65">
        <f t="shared" si="32"/>
        <v>0.78007652774835401</v>
      </c>
      <c r="O44" s="53"/>
      <c r="P44" s="53">
        <f>737873*0.76</f>
        <v>560783.48</v>
      </c>
      <c r="Q44" s="53">
        <f>1000000*Tabelle2[[#This Row],[Bevölkerung]]*EXP(-17.8941+0.2965*LN((Tabelle2[[#This Row],[BIP (mrd.)]]*1000000000)/Tabelle2[[#This Row],[Bevölkerung]]))</f>
        <v>506998.24703533942</v>
      </c>
      <c r="R44" s="53">
        <f t="shared" si="33"/>
        <v>53785.232964660565</v>
      </c>
      <c r="S44" s="65">
        <f t="shared" si="34"/>
        <v>-9.5910872703776087E-2</v>
      </c>
      <c r="T44" s="53">
        <f>1000000*Tabelle2[[#This Row],[Wohneinheiten Anzahl]]*EXP(-14.22+0.02263*LN((Tabelle2[[#This Row],[BIP (mrd.)]]*1000000000)/Tabelle2[[#This Row],[Bevölkerung]]))</f>
        <v>623029.9254739387</v>
      </c>
      <c r="U44" s="65">
        <f t="shared" si="35"/>
        <v>-62246.445473938715</v>
      </c>
      <c r="V44" s="65">
        <f t="shared" si="36"/>
        <v>0.11099907128850998</v>
      </c>
      <c r="W44" s="54"/>
      <c r="X44" s="53">
        <f>1000000*Tabelle2[[#This Row],[Bevölkerung]]*EXP(-17.9119+0.2965*LN((Tabelle2[[#This Row],[BIP (mrd.)]]*1000000000)/Tabelle2[[#This Row],[Bevölkerung]]))</f>
        <v>498053.52245616377</v>
      </c>
      <c r="Y44" s="53" t="str">
        <f t="shared" si="42"/>
        <v/>
      </c>
      <c r="Z44" s="65" t="str">
        <f t="shared" si="43"/>
        <v/>
      </c>
      <c r="AA44" s="54"/>
      <c r="AB44" s="54"/>
      <c r="AC44" s="54"/>
      <c r="AD44" s="54"/>
      <c r="AE44" s="54"/>
      <c r="AF44" s="54"/>
      <c r="AG44" s="54"/>
      <c r="AH44" s="54">
        <v>1</v>
      </c>
      <c r="AI44" s="54" t="s">
        <v>989</v>
      </c>
      <c r="AJ44" s="54">
        <v>737873</v>
      </c>
      <c r="AK44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580071.07591044425</v>
      </c>
      <c r="AL44" s="54">
        <f t="shared" si="39"/>
        <v>157801.92408955575</v>
      </c>
      <c r="AM44" s="89">
        <f t="shared" si="40"/>
        <v>-0.21386054793921955</v>
      </c>
      <c r="AN44" s="91">
        <f t="shared" si="19"/>
        <v>0.21386054793921955</v>
      </c>
      <c r="AO44" s="54">
        <v>49660721</v>
      </c>
      <c r="AP44" s="53"/>
      <c r="AQ44" s="53"/>
      <c r="AR44" s="53"/>
      <c r="AS44" s="53"/>
      <c r="AT44" s="54"/>
      <c r="AU44" s="54"/>
      <c r="AV44" s="54"/>
      <c r="AW44" s="54"/>
      <c r="AX44" s="54"/>
      <c r="AY44" s="54"/>
      <c r="AZ44" s="53"/>
      <c r="BA44" s="53"/>
      <c r="BB44" s="54"/>
      <c r="BC44" s="54"/>
      <c r="BD44" s="54"/>
      <c r="BE44" s="54"/>
      <c r="BF44" s="54"/>
      <c r="BG44" s="54"/>
      <c r="BH44" s="54"/>
      <c r="BI44" s="54"/>
      <c r="BJ44" s="54"/>
      <c r="BK44" s="54"/>
      <c r="BL44" s="54"/>
      <c r="BM44" s="54"/>
      <c r="BN44" s="54"/>
      <c r="BO44" s="54"/>
      <c r="BP44" s="54"/>
      <c r="BQ44" s="53"/>
      <c r="BR44" s="53"/>
      <c r="BS44" s="54"/>
      <c r="BT44" s="54"/>
      <c r="BU44" s="68"/>
    </row>
    <row r="45" spans="2:73" x14ac:dyDescent="0.3">
      <c r="B45" s="2"/>
      <c r="C45" s="48" t="s">
        <v>543</v>
      </c>
      <c r="D45" s="63">
        <v>17944.810000000001</v>
      </c>
      <c r="E45" s="63">
        <f>Tabelle2[[#This Row],[BIP (mrd.)]]*1000000000/Tabelle2[[#This Row],[Bevölkerung]]</f>
        <v>39860.932851220852</v>
      </c>
      <c r="F45" s="63"/>
      <c r="G45" s="53">
        <v>4254541</v>
      </c>
      <c r="H45" s="65">
        <v>450185400</v>
      </c>
      <c r="I45" s="88"/>
      <c r="J45" s="88">
        <f>Tabelle2[[#This Row],[Strom (mrd.)]]*1000000000/Tabelle2[[#This Row],[Bevölkerung]]</f>
        <v>0</v>
      </c>
      <c r="K45" s="53">
        <v>114350000</v>
      </c>
      <c r="L45" s="63">
        <f>Tabelle2[[#This Row],[Wohnimmobilien Anzahl]]/Tabelle2[[#This Row],[Bevölkerung]]</f>
        <v>0.25400646044940595</v>
      </c>
      <c r="M45" s="53">
        <f t="shared" si="41"/>
        <v>-114349999.74599354</v>
      </c>
      <c r="N45" s="53">
        <f t="shared" si="32"/>
        <v>-0.99999999777869297</v>
      </c>
      <c r="O45" s="53"/>
      <c r="P45" s="53"/>
      <c r="Q45" s="53">
        <f>1000000*Tabelle2[[#This Row],[Bevölkerung]]*EXP(-17.8941+0.2965*LN((Tabelle2[[#This Row],[BIP (mrd.)]]*1000000000)/Tabelle2[[#This Row],[Bevölkerung]]))</f>
        <v>176256377.05266702</v>
      </c>
      <c r="R45" s="53" t="str">
        <f t="shared" si="33"/>
        <v/>
      </c>
      <c r="S45" s="53" t="str">
        <f t="shared" si="34"/>
        <v/>
      </c>
      <c r="T45" s="53">
        <f>1000000*Tabelle2[[#This Row],[Bevölkerung]]*EXP(-14.22+0.2263*LN((Tabelle2[[#This Row],[BIP (mrd.)]]*1000000000)/Tabelle2[[#This Row],[Bevölkerung]]))</f>
        <v>3302385459.1767321</v>
      </c>
      <c r="U45" s="53" t="str">
        <f t="shared" si="35"/>
        <v/>
      </c>
      <c r="V45" s="53" t="str">
        <f t="shared" si="36"/>
        <v/>
      </c>
      <c r="W45" s="54"/>
      <c r="X45" s="54"/>
      <c r="Y45" s="54" t="str">
        <f t="shared" si="42"/>
        <v/>
      </c>
      <c r="Z45" s="54" t="str">
        <f t="shared" si="43"/>
        <v/>
      </c>
      <c r="AA45" s="54"/>
      <c r="AB45" s="54"/>
      <c r="AC45" s="54"/>
      <c r="AD45" s="54"/>
      <c r="AE45" s="54"/>
      <c r="AF45" s="54"/>
      <c r="AG45" s="54"/>
      <c r="AH45" s="54"/>
      <c r="AI45" s="54">
        <v>0</v>
      </c>
      <c r="AJ45" s="54"/>
      <c r="AK45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200699226.66911194</v>
      </c>
      <c r="AL45" s="54" t="str">
        <f t="shared" si="39"/>
        <v/>
      </c>
      <c r="AM45" s="89" t="str">
        <f t="shared" si="40"/>
        <v/>
      </c>
      <c r="AN45" s="91"/>
      <c r="AO45" s="54"/>
      <c r="AP45" s="53"/>
      <c r="AQ45" s="53"/>
      <c r="AR45" s="53"/>
      <c r="AS45" s="53"/>
      <c r="AT45" s="54"/>
      <c r="AU45" s="54"/>
      <c r="AV45" s="54"/>
      <c r="AW45" s="54"/>
      <c r="AX45" s="54"/>
      <c r="AY45" s="54"/>
      <c r="AZ45" s="53"/>
      <c r="BA45" s="53"/>
      <c r="BB45" s="54"/>
      <c r="BC45" s="54"/>
      <c r="BD45" s="54"/>
      <c r="BE45" s="54"/>
      <c r="BF45" s="54"/>
      <c r="BG45" s="54"/>
      <c r="BH45" s="54"/>
      <c r="BI45" s="54"/>
      <c r="BJ45" s="54"/>
      <c r="BK45" s="54"/>
      <c r="BL45" s="54"/>
      <c r="BM45" s="54"/>
      <c r="BN45" s="54"/>
      <c r="BO45" s="54"/>
      <c r="BP45" s="54"/>
      <c r="BQ45" s="53"/>
      <c r="BR45" s="53"/>
      <c r="BS45" s="54"/>
      <c r="BT45" s="54"/>
      <c r="BU45" s="68"/>
    </row>
    <row r="46" spans="2:73" x14ac:dyDescent="0.3">
      <c r="B46" s="2" t="s">
        <v>87</v>
      </c>
      <c r="C46" s="3" t="s">
        <v>88</v>
      </c>
      <c r="D46" s="63">
        <v>6.2570000000000004E-3</v>
      </c>
      <c r="E46" s="63">
        <f>Tabelle2[[#This Row],[BIP (mrd.)]]*1000000000/Tabelle2[[#This Row],[Bevölkerung]]</f>
        <v>6.7367945046189623</v>
      </c>
      <c r="F46" s="63">
        <v>0.56200000000000006</v>
      </c>
      <c r="G46" s="53">
        <v>18270</v>
      </c>
      <c r="H46" s="63">
        <v>928780</v>
      </c>
      <c r="I46" s="88">
        <v>1.048</v>
      </c>
      <c r="J46" s="88">
        <f>Tabelle2[[#This Row],[Strom (mrd.)]]*1000000000/Tabelle2[[#This Row],[Bevölkerung]]</f>
        <v>1128.3619371648829</v>
      </c>
      <c r="K46" s="53"/>
      <c r="L46" s="53">
        <f>Tabelle2[[#This Row],[Wohnimmobilien Anzahl]]/Tabelle2[[#This Row],[Bevölkerung]]</f>
        <v>0</v>
      </c>
      <c r="M46" s="53">
        <f t="shared" si="41"/>
        <v>0</v>
      </c>
      <c r="N46" s="53" t="str">
        <f t="shared" si="32"/>
        <v/>
      </c>
      <c r="O46" s="53"/>
      <c r="P46" s="53">
        <v>191910</v>
      </c>
      <c r="Q46" s="53">
        <f>1000000*Tabelle2[[#This Row],[Bevölkerung]]*EXP(-17.8941+0.2965*LN((Tabelle2[[#This Row],[BIP (mrd.)]]*1000000000)/Tabelle2[[#This Row],[Bevölkerung]]))</f>
        <v>27684.734934444106</v>
      </c>
      <c r="R46" s="53">
        <f t="shared" si="33"/>
        <v>164225.2650655559</v>
      </c>
      <c r="S46" s="53">
        <f t="shared" si="34"/>
        <v>-0.85574105083401542</v>
      </c>
      <c r="T46" s="53">
        <f>1000000*Tabelle2[[#This Row],[Wohneinheiten Anzahl]]*EXP(-14.22+0.02263*LN((Tabelle2[[#This Row],[BIP (mrd.)]]*1000000000)/Tabelle2[[#This Row],[Bevölkerung]]))</f>
        <v>0</v>
      </c>
      <c r="U46" s="53">
        <f t="shared" si="35"/>
        <v>191910</v>
      </c>
      <c r="V46" s="53">
        <f t="shared" si="36"/>
        <v>-1</v>
      </c>
      <c r="W46" s="54"/>
      <c r="X46" s="54"/>
      <c r="Y46" s="54" t="str">
        <f t="shared" si="42"/>
        <v/>
      </c>
      <c r="Z46" s="54" t="str">
        <f t="shared" si="43"/>
        <v/>
      </c>
      <c r="AA46" s="54"/>
      <c r="AB46" s="54"/>
      <c r="AC46" s="54"/>
      <c r="AD46" s="54"/>
      <c r="AE46" s="54"/>
      <c r="AF46" s="54"/>
      <c r="AG46" s="54"/>
      <c r="AH46" s="54"/>
      <c r="AI46" s="54">
        <v>0</v>
      </c>
      <c r="AJ46" s="54"/>
      <c r="AK46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38999.449463378573</v>
      </c>
      <c r="AL46" s="54" t="str">
        <f t="shared" si="39"/>
        <v/>
      </c>
      <c r="AM46" s="89" t="str">
        <f t="shared" si="40"/>
        <v/>
      </c>
      <c r="AN46" s="91"/>
      <c r="AO46" s="54"/>
      <c r="AP46" s="53"/>
      <c r="AQ46" s="53"/>
      <c r="AR46" s="53"/>
      <c r="AS46" s="53"/>
      <c r="AT46" s="54"/>
      <c r="AU46" s="54"/>
      <c r="AV46" s="54"/>
      <c r="AW46" s="54"/>
      <c r="AX46" s="54"/>
      <c r="AY46" s="54"/>
      <c r="AZ46" s="53"/>
      <c r="BA46" s="53"/>
      <c r="BB46" s="54"/>
      <c r="BC46" s="54"/>
      <c r="BD46" s="54"/>
      <c r="BE46" s="54"/>
      <c r="BF46" s="54"/>
      <c r="BG46" s="54"/>
      <c r="BH46" s="54"/>
      <c r="BI46" s="54"/>
      <c r="BJ46" s="54"/>
      <c r="BK46" s="54"/>
      <c r="BL46" s="54"/>
      <c r="BM46" s="54"/>
      <c r="BN46" s="54"/>
      <c r="BO46" s="54"/>
      <c r="BP46" s="54"/>
      <c r="BQ46" s="53"/>
      <c r="BR46" s="53"/>
      <c r="BS46" s="54"/>
      <c r="BT46" s="54"/>
      <c r="BU46" s="68"/>
    </row>
    <row r="47" spans="2:73" x14ac:dyDescent="0.3">
      <c r="B47" s="13" t="s">
        <v>89</v>
      </c>
      <c r="C47" s="14" t="s">
        <v>90</v>
      </c>
      <c r="D47" s="63">
        <v>303.94499999999999</v>
      </c>
      <c r="E47" s="63">
        <f>Tabelle2[[#This Row],[BIP (mrd.)]]*1000000000/Tabelle2[[#This Row],[Bevölkerung]]</f>
        <v>53917.629465639919</v>
      </c>
      <c r="F47" s="63">
        <v>0.85399999999999998</v>
      </c>
      <c r="G47" s="53">
        <v>338480</v>
      </c>
      <c r="H47" s="63">
        <v>5637210</v>
      </c>
      <c r="I47" s="88">
        <v>77.418999999999997</v>
      </c>
      <c r="J47" s="88">
        <f>Tabelle2[[#This Row],[Strom (mrd.)]]*1000000000/Tabelle2[[#This Row],[Bevölkerung]]</f>
        <v>13733.566782149326</v>
      </c>
      <c r="K47" s="53">
        <v>1450000</v>
      </c>
      <c r="L47" s="53">
        <f>1000000*Tabelle2[[#This Row],[Bevölkerung]]*EXP(-15.4183+0.052*LN((Tabelle2[[#This Row],[BIP (mrd.)]]*1000000000)/Tabelle2[[#This Row],[Bevölkerung]]))</f>
        <v>2000007.4085434822</v>
      </c>
      <c r="M47" s="53">
        <f t="shared" ref="M47:M49" si="45">IF(AND(ISNUMBER(K47), ISNUMBER(L47)), K47-L47, "")</f>
        <v>-550007.40854348219</v>
      </c>
      <c r="N47" s="65">
        <f t="shared" si="32"/>
        <v>0.37931545416791873</v>
      </c>
      <c r="O47" s="53"/>
      <c r="P47" s="53">
        <v>2860961</v>
      </c>
      <c r="Q47" s="53">
        <f>1000000*Tabelle2[[#This Row],[Bevölkerung]]*EXP(-17.8941+0.2965*LN((Tabelle2[[#This Row],[BIP (mrd.)]]*1000000000)/Tabelle2[[#This Row],[Bevölkerung]]))</f>
        <v>2413867.9265071605</v>
      </c>
      <c r="R47" s="53">
        <f t="shared" si="33"/>
        <v>447093.07349283947</v>
      </c>
      <c r="S47" s="65">
        <f t="shared" si="34"/>
        <v>-0.15627373931096561</v>
      </c>
      <c r="T47" s="53">
        <f>1000000*Tabelle2[[#This Row],[Wohneinheiten Anzahl]]*EXP(-14.22+0.02263*LN((Tabelle2[[#This Row],[BIP (mrd.)]]*1000000000)/Tabelle2[[#This Row],[Bevölkerung]]))</f>
        <v>2773631.8469524588</v>
      </c>
      <c r="U47" s="65">
        <f t="shared" si="35"/>
        <v>87329.153047541156</v>
      </c>
      <c r="V47" s="65">
        <f t="shared" si="36"/>
        <v>-3.0524412268304657E-2</v>
      </c>
      <c r="W47" s="54"/>
      <c r="X47" s="53">
        <f>1000000*Tabelle2[[#This Row],[Bevölkerung]]*EXP(-17.9119+0.2965*LN((Tabelle2[[#This Row],[BIP (mrd.)]]*1000000000)/Tabelle2[[#This Row],[Bevölkerung]]))</f>
        <v>2371281.2234971053</v>
      </c>
      <c r="Y47" s="53" t="str">
        <f t="shared" si="42"/>
        <v/>
      </c>
      <c r="Z47" s="65" t="str">
        <f t="shared" si="43"/>
        <v/>
      </c>
      <c r="AA47" s="54"/>
      <c r="AB47" s="54"/>
      <c r="AC47" s="54"/>
      <c r="AD47" s="54"/>
      <c r="AE47" s="54"/>
      <c r="AF47" s="54">
        <v>1382453</v>
      </c>
      <c r="AG47" s="54"/>
      <c r="AH47" s="54">
        <v>1</v>
      </c>
      <c r="AI47" s="54" t="s">
        <v>989</v>
      </c>
      <c r="AJ47" s="54">
        <v>3248159</v>
      </c>
      <c r="AK47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2728351.8313501994</v>
      </c>
      <c r="AL47" s="54">
        <f t="shared" si="39"/>
        <v>519807.16864980059</v>
      </c>
      <c r="AM47" s="89">
        <f t="shared" si="40"/>
        <v>-0.16003131886394742</v>
      </c>
      <c r="AN47" s="91">
        <f t="shared" si="19"/>
        <v>0.16003131886394742</v>
      </c>
      <c r="AO47" s="54"/>
      <c r="AP47" s="53"/>
      <c r="AQ47" s="53"/>
      <c r="AR47" s="53"/>
      <c r="AS47" s="53"/>
      <c r="AT47" s="54"/>
      <c r="AU47" s="54"/>
      <c r="AV47" s="54"/>
      <c r="AW47" s="54"/>
      <c r="AX47" s="54"/>
      <c r="AY47" s="54"/>
      <c r="AZ47" s="53"/>
      <c r="BA47" s="53"/>
      <c r="BB47" s="54"/>
      <c r="BC47" s="54"/>
      <c r="BD47" s="54"/>
      <c r="BE47" s="54"/>
      <c r="BF47" s="54"/>
      <c r="BG47" s="54"/>
      <c r="BH47" s="54"/>
      <c r="BI47" s="54"/>
      <c r="BJ47" s="54"/>
      <c r="BK47" s="54"/>
      <c r="BL47" s="54"/>
      <c r="BM47" s="54"/>
      <c r="BN47" s="54"/>
      <c r="BO47" s="54"/>
      <c r="BP47" s="54"/>
      <c r="BQ47" s="53"/>
      <c r="BR47" s="53"/>
      <c r="BS47" s="54"/>
      <c r="BT47" s="54"/>
      <c r="BU47" s="68"/>
    </row>
    <row r="48" spans="2:73" x14ac:dyDescent="0.3">
      <c r="B48" s="9" t="s">
        <v>91</v>
      </c>
      <c r="C48" s="10" t="s">
        <v>92</v>
      </c>
      <c r="D48" s="63">
        <v>3211.2919999999999</v>
      </c>
      <c r="E48" s="63">
        <f>Tabelle2[[#This Row],[BIP (mrd.)]]*1000000000/Tabelle2[[#This Row],[Bevölkerung]]</f>
        <v>46868.748786792123</v>
      </c>
      <c r="F48" s="63">
        <v>0.80400000000000005</v>
      </c>
      <c r="G48" s="53">
        <v>606410</v>
      </c>
      <c r="H48" s="63">
        <v>68516700</v>
      </c>
      <c r="I48" s="88">
        <v>415.54199999999997</v>
      </c>
      <c r="J48" s="88">
        <f>Tabelle2[[#This Row],[Strom (mrd.)]]*1000000000/Tabelle2[[#This Row],[Bevölkerung]]</f>
        <v>6064.8279908401892</v>
      </c>
      <c r="K48" s="87">
        <v>17490000</v>
      </c>
      <c r="L48" s="87">
        <f>1000000*Tabelle2[[#This Row],[Bevölkerung]]*EXP(-15.4183+0.052*LN((Tabelle2[[#This Row],[BIP (mrd.)]]*1000000000)/Tabelle2[[#This Row],[Bevölkerung]]))</f>
        <v>24132358.148314655</v>
      </c>
      <c r="M48" s="87">
        <f t="shared" si="45"/>
        <v>-6642358.1483146548</v>
      </c>
      <c r="N48" s="92">
        <f t="shared" si="32"/>
        <v>0.3797803400980363</v>
      </c>
      <c r="O48" s="53"/>
      <c r="P48" s="53">
        <v>35100000</v>
      </c>
      <c r="Q48" s="53">
        <f>1000000*Tabelle2[[#This Row],[Bevölkerung]]*EXP(-17.8941+0.2965*LN((Tabelle2[[#This Row],[BIP (mrd.)]]*1000000000)/Tabelle2[[#This Row],[Bevölkerung]]))</f>
        <v>28145208.172162067</v>
      </c>
      <c r="R48" s="53">
        <f t="shared" si="33"/>
        <v>6954791.8278379329</v>
      </c>
      <c r="S48" s="65">
        <f t="shared" si="34"/>
        <v>-0.19814221731732001</v>
      </c>
      <c r="T48" s="53">
        <f>1000000*Tabelle2[[#This Row],[Wohneinheiten Anzahl]]*EXP(-14.22+0.02263*LN((Tabelle2[[#This Row],[BIP (mrd.)]]*1000000000)/Tabelle2[[#This Row],[Bevölkerung]]))</f>
        <v>32345819.177167695</v>
      </c>
      <c r="U48" s="65">
        <f t="shared" si="35"/>
        <v>2754180.822832305</v>
      </c>
      <c r="V48" s="65">
        <f t="shared" si="36"/>
        <v>-7.8466690109182474E-2</v>
      </c>
      <c r="W48" s="87">
        <v>20824000</v>
      </c>
      <c r="X48" s="87">
        <f>1000000*Tabelle2[[#This Row],[Bevölkerung]]*EXP(-15.6892+0.034*LN((Tabelle2[[#This Row],[BIP (mrd.)]]*1000000000)/Tabelle2[[#This Row],[Bevölkerung]]))</f>
        <v>15166085.025329797</v>
      </c>
      <c r="Y48" s="87">
        <f t="shared" si="42"/>
        <v>5657914.9746702034</v>
      </c>
      <c r="Z48" s="92">
        <f t="shared" si="43"/>
        <v>-0.27170164111939127</v>
      </c>
      <c r="AA48" s="54"/>
      <c r="AB48" s="54"/>
      <c r="AC48" s="54"/>
      <c r="AD48" s="54"/>
      <c r="AE48" s="54"/>
      <c r="AF48" s="54"/>
      <c r="AG48" s="54"/>
      <c r="AH48" s="54">
        <v>1</v>
      </c>
      <c r="AI48" s="54" t="s">
        <v>989</v>
      </c>
      <c r="AJ48" s="54">
        <v>38000000</v>
      </c>
      <c r="AK48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31921412.008620832</v>
      </c>
      <c r="AL48" s="54">
        <f t="shared" si="39"/>
        <v>6078587.9913791679</v>
      </c>
      <c r="AM48" s="89">
        <f t="shared" si="40"/>
        <v>-0.15996284187839915</v>
      </c>
      <c r="AN48" s="91">
        <f t="shared" si="19"/>
        <v>0.15996284187839915</v>
      </c>
      <c r="AO48" s="54"/>
      <c r="AP48" s="53"/>
      <c r="AQ48" s="53"/>
      <c r="AR48" s="53"/>
      <c r="AS48" s="53"/>
      <c r="AT48" s="54">
        <v>123623</v>
      </c>
      <c r="AU48" s="54">
        <v>141000000</v>
      </c>
      <c r="AV48" s="54"/>
      <c r="AW48" s="54"/>
      <c r="AX48" s="54"/>
      <c r="AY48" s="54"/>
      <c r="AZ48" s="53"/>
      <c r="BA48" s="53"/>
      <c r="BB48" s="54"/>
      <c r="BC48" s="54"/>
      <c r="BD48" s="54"/>
      <c r="BE48" s="54"/>
      <c r="BF48" s="54"/>
      <c r="BG48" s="54"/>
      <c r="BH48" s="54"/>
      <c r="BI48" s="54"/>
      <c r="BJ48" s="54"/>
      <c r="BK48" s="54"/>
      <c r="BL48" s="54"/>
      <c r="BM48" s="54"/>
      <c r="BN48" s="54"/>
      <c r="BO48" s="54"/>
      <c r="BP48" s="54"/>
      <c r="BQ48" s="53"/>
      <c r="BR48" s="53"/>
      <c r="BS48" s="54"/>
      <c r="BT48" s="54"/>
      <c r="BU48" s="68"/>
    </row>
    <row r="49" spans="1:73" x14ac:dyDescent="0.3">
      <c r="B49" s="2" t="s">
        <v>93</v>
      </c>
      <c r="C49" s="3" t="s">
        <v>94</v>
      </c>
      <c r="D49" s="63">
        <v>20.390999999999998</v>
      </c>
      <c r="E49" s="63">
        <f>Tabelle2[[#This Row],[BIP (mrd.)]]*1000000000/Tabelle2[[#This Row],[Bevölkerung]]</f>
        <v>8031.272770239666</v>
      </c>
      <c r="F49" s="63">
        <v>0.89400000000000002</v>
      </c>
      <c r="G49" s="53">
        <v>267670</v>
      </c>
      <c r="H49" s="63">
        <v>2538950</v>
      </c>
      <c r="I49" s="88">
        <v>3.173</v>
      </c>
      <c r="J49" s="88">
        <f>Tabelle2[[#This Row],[Strom (mrd.)]]*1000000000/Tabelle2[[#This Row],[Bevölkerung]]</f>
        <v>1249.7292187715393</v>
      </c>
      <c r="K49" s="53"/>
      <c r="L49" s="53">
        <f>1000000*Tabelle2[[#This Row],[Bevölkerung]]*EXP(-15.4183+0.052*LN((Tabelle2[[#This Row],[BIP (mrd.)]]*1000000000)/Tabelle2[[#This Row],[Bevölkerung]]))</f>
        <v>815868.80029852211</v>
      </c>
      <c r="M49" s="53" t="str">
        <f t="shared" si="45"/>
        <v/>
      </c>
      <c r="N49" s="65" t="str">
        <f t="shared" si="32"/>
        <v/>
      </c>
      <c r="O49" s="53"/>
      <c r="P49" s="53">
        <v>431550</v>
      </c>
      <c r="Q49" s="53">
        <f>1000000*Tabelle2[[#This Row],[Bevölkerung]]*EXP(-17.8941+0.2965*LN((Tabelle2[[#This Row],[BIP (mrd.)]]*1000000000)/Tabelle2[[#This Row],[Bevölkerung]]))</f>
        <v>618178.40160134214</v>
      </c>
      <c r="R49" s="53">
        <f t="shared" si="33"/>
        <v>-186628.40160134214</v>
      </c>
      <c r="S49" s="65">
        <f t="shared" si="34"/>
        <v>0.43246066875528244</v>
      </c>
      <c r="T49" s="53">
        <f>1000000*Tabelle2[[#This Row],[Wohneinheiten Anzahl]]*EXP(-14.22+0.02263*LN((Tabelle2[[#This Row],[BIP (mrd.)]]*1000000000)/Tabelle2[[#This Row],[Bevölkerung]]))</f>
        <v>383062.10390258586</v>
      </c>
      <c r="U49" s="65">
        <f t="shared" si="35"/>
        <v>48487.896097414137</v>
      </c>
      <c r="V49" s="65">
        <f t="shared" si="36"/>
        <v>-0.11235753932896336</v>
      </c>
      <c r="W49" s="54"/>
      <c r="X49" s="53">
        <f>1000000*Tabelle2[[#This Row],[Bevölkerung]]*EXP(-17.9119+0.2965*LN((Tabelle2[[#This Row],[BIP (mrd.)]]*1000000000)/Tabelle2[[#This Row],[Bevölkerung]]))</f>
        <v>607272.17938962381</v>
      </c>
      <c r="Y49" s="53" t="str">
        <f t="shared" si="42"/>
        <v/>
      </c>
      <c r="Z49" s="65" t="str">
        <f t="shared" si="43"/>
        <v/>
      </c>
      <c r="AA49" s="54"/>
      <c r="AB49" s="54"/>
      <c r="AC49" s="54"/>
      <c r="AD49" s="54"/>
      <c r="AE49" s="54"/>
      <c r="AF49" s="54"/>
      <c r="AG49" s="54"/>
      <c r="AH49" s="54">
        <v>0</v>
      </c>
      <c r="AI49" s="54" t="s">
        <v>988</v>
      </c>
      <c r="AJ49" s="54">
        <v>468351</v>
      </c>
      <c r="AK49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732084.04857241712</v>
      </c>
      <c r="AL49" s="54">
        <f t="shared" si="39"/>
        <v>-263733.04857241712</v>
      </c>
      <c r="AM49" s="89">
        <f t="shared" si="40"/>
        <v>0.56310982270224064</v>
      </c>
      <c r="AN49" s="91">
        <f t="shared" si="19"/>
        <v>0.56310982270224064</v>
      </c>
      <c r="AO49" s="54"/>
      <c r="AP49" s="53"/>
      <c r="AQ49" s="53"/>
      <c r="AR49" s="53"/>
      <c r="AS49" s="53"/>
      <c r="AT49" s="54"/>
      <c r="AU49" s="54"/>
      <c r="AV49" s="54"/>
      <c r="AW49" s="54"/>
      <c r="AX49" s="54"/>
      <c r="AY49" s="54"/>
      <c r="AZ49" s="53"/>
      <c r="BA49" s="53"/>
      <c r="BB49" s="54"/>
      <c r="BC49" s="54"/>
      <c r="BD49" s="54"/>
      <c r="BE49" s="54"/>
      <c r="BF49" s="54"/>
      <c r="BG49" s="54"/>
      <c r="BH49" s="54"/>
      <c r="BI49" s="54"/>
      <c r="BJ49" s="54"/>
      <c r="BK49" s="54"/>
      <c r="BL49" s="54"/>
      <c r="BM49" s="54"/>
      <c r="BN49" s="54"/>
      <c r="BO49" s="54"/>
      <c r="BP49" s="54"/>
      <c r="BQ49" s="53"/>
      <c r="BR49" s="53"/>
      <c r="BS49" s="54"/>
      <c r="BT49" s="54"/>
      <c r="BU49" s="68"/>
    </row>
    <row r="50" spans="1:73" x14ac:dyDescent="0.3">
      <c r="B50" s="2" t="s">
        <v>95</v>
      </c>
      <c r="C50" s="3" t="s">
        <v>96</v>
      </c>
      <c r="D50" s="63">
        <v>2.7709999999999996E-3</v>
      </c>
      <c r="E50" s="63">
        <f>Tabelle2[[#This Row],[BIP (mrd.)]]*1000000000/Tabelle2[[#This Row],[Bevölkerung]]</f>
        <v>1.0039891448882059</v>
      </c>
      <c r="F50" s="63">
        <v>0.61299999999999999</v>
      </c>
      <c r="G50" s="53">
        <v>11300</v>
      </c>
      <c r="H50" s="63">
        <v>2759990</v>
      </c>
      <c r="I50" s="88">
        <v>0.41</v>
      </c>
      <c r="J50" s="88">
        <f>Tabelle2[[#This Row],[Strom (mrd.)]]*1000000000/Tabelle2[[#This Row],[Bevölkerung]]</f>
        <v>148.55126286689443</v>
      </c>
      <c r="K50" s="53"/>
      <c r="L50" s="53">
        <f>Tabelle2[[#This Row],[Wohnimmobilien Anzahl]]/Tabelle2[[#This Row],[Bevölkerung]]</f>
        <v>0</v>
      </c>
      <c r="M50" s="53">
        <f t="shared" si="41"/>
        <v>0</v>
      </c>
      <c r="N50" s="53" t="str">
        <f t="shared" si="32"/>
        <v/>
      </c>
      <c r="O50" s="53"/>
      <c r="P50" s="53">
        <v>502832</v>
      </c>
      <c r="Q50" s="53">
        <f>1000000*Tabelle2[[#This Row],[Bevölkerung]]*EXP(-17.8941+0.2965*LN((Tabelle2[[#This Row],[BIP (mrd.)]]*1000000000)/Tabelle2[[#This Row],[Bevölkerung]]))</f>
        <v>46785.4998219802</v>
      </c>
      <c r="R50" s="53">
        <f t="shared" si="33"/>
        <v>456046.50017801981</v>
      </c>
      <c r="S50" s="53">
        <f t="shared" si="34"/>
        <v>-0.90695600156318568</v>
      </c>
      <c r="T50" s="53">
        <f>1000000*Tabelle2[[#This Row],[Wohneinheiten Anzahl]]*EXP(-14.22+0.02263*LN((Tabelle2[[#This Row],[BIP (mrd.)]]*1000000000)/Tabelle2[[#This Row],[Bevölkerung]]))</f>
        <v>0</v>
      </c>
      <c r="U50" s="53">
        <f t="shared" si="35"/>
        <v>502832</v>
      </c>
      <c r="V50" s="53">
        <f t="shared" si="36"/>
        <v>-1</v>
      </c>
      <c r="W50" s="54"/>
      <c r="X50" s="54"/>
      <c r="Y50" s="54" t="str">
        <f t="shared" si="42"/>
        <v/>
      </c>
      <c r="Z50" s="54" t="str">
        <f t="shared" si="43"/>
        <v/>
      </c>
      <c r="AA50" s="54"/>
      <c r="AB50" s="54"/>
      <c r="AC50" s="54"/>
      <c r="AD50" s="54"/>
      <c r="AE50" s="54"/>
      <c r="AF50" s="54"/>
      <c r="AG50" s="54"/>
      <c r="AH50" s="54"/>
      <c r="AI50" s="54">
        <v>0</v>
      </c>
      <c r="AJ50" s="54"/>
      <c r="AK50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69053.217763048946</v>
      </c>
      <c r="AL50" s="54" t="str">
        <f t="shared" si="39"/>
        <v/>
      </c>
      <c r="AM50" s="89" t="str">
        <f t="shared" si="40"/>
        <v/>
      </c>
      <c r="AN50" s="91"/>
      <c r="AO50" s="54"/>
      <c r="AP50" s="53"/>
      <c r="AQ50" s="53"/>
      <c r="AR50" s="53"/>
      <c r="AS50" s="53"/>
      <c r="AT50" s="54"/>
      <c r="AU50" s="54"/>
      <c r="AV50" s="54"/>
      <c r="AW50" s="54"/>
      <c r="AX50" s="54"/>
      <c r="AY50" s="54"/>
      <c r="AZ50" s="53"/>
      <c r="BA50" s="53"/>
      <c r="BB50" s="54"/>
      <c r="BC50" s="54"/>
      <c r="BD50" s="54"/>
      <c r="BE50" s="54"/>
      <c r="BF50" s="54"/>
      <c r="BG50" s="54"/>
      <c r="BH50" s="54"/>
      <c r="BI50" s="54"/>
      <c r="BJ50" s="54"/>
      <c r="BK50" s="54"/>
      <c r="BL50" s="54"/>
      <c r="BM50" s="54"/>
      <c r="BN50" s="54"/>
      <c r="BO50" s="54"/>
      <c r="BP50" s="54"/>
      <c r="BQ50" s="53"/>
      <c r="BR50" s="53"/>
      <c r="BS50" s="54"/>
      <c r="BT50" s="54"/>
      <c r="BU50" s="68"/>
    </row>
    <row r="51" spans="1:73" x14ac:dyDescent="0.3">
      <c r="B51" s="2" t="s">
        <v>97</v>
      </c>
      <c r="C51" s="3" t="s">
        <v>98</v>
      </c>
      <c r="D51" s="63">
        <v>35.353000000000002</v>
      </c>
      <c r="E51" s="63">
        <f>Tabelle2[[#This Row],[BIP (mrd.)]]*1000000000/Tabelle2[[#This Row],[Bevölkerung]]</f>
        <v>9622.8751854321763</v>
      </c>
      <c r="F51" s="63">
        <v>0.58599999999999997</v>
      </c>
      <c r="G51" s="53">
        <v>69700</v>
      </c>
      <c r="H51" s="63">
        <v>3673850</v>
      </c>
      <c r="I51" s="88">
        <v>12.569000000000001</v>
      </c>
      <c r="J51" s="88">
        <f>Tabelle2[[#This Row],[Strom (mrd.)]]*1000000000/Tabelle2[[#This Row],[Bevölkerung]]</f>
        <v>3421.2066360902049</v>
      </c>
      <c r="K51" s="87"/>
      <c r="L51" s="87">
        <f>1000000*Tabelle2[[#This Row],[Bevölkerung]]*EXP(-15.4183+0.052*LN((Tabelle2[[#This Row],[BIP (mrd.)]]*1000000000)/Tabelle2[[#This Row],[Bevölkerung]]))</f>
        <v>1191710.2163261017</v>
      </c>
      <c r="M51" s="87" t="str">
        <f t="shared" ref="M51:M53" si="46">IF(AND(ISNUMBER(K51), ISNUMBER(L51)), K51-L51, "")</f>
        <v/>
      </c>
      <c r="N51" s="92" t="str">
        <f t="shared" si="32"/>
        <v/>
      </c>
      <c r="O51" s="53"/>
      <c r="P51" s="53"/>
      <c r="Q51" s="53">
        <f>1000000*Tabelle2[[#This Row],[Bevölkerung]]*EXP(-17.8941+0.2965*LN((Tabelle2[[#This Row],[BIP (mrd.)]]*1000000000)/Tabelle2[[#This Row],[Bevölkerung]]))</f>
        <v>943761.85644692183</v>
      </c>
      <c r="R51" s="53" t="str">
        <f t="shared" si="33"/>
        <v/>
      </c>
      <c r="S51" s="53" t="str">
        <f t="shared" si="34"/>
        <v/>
      </c>
      <c r="T51" s="53">
        <f>1000000*Tabelle2[[#This Row],[Bevölkerung]]*EXP(-14.22+0.2263*LN((Tabelle2[[#This Row],[BIP (mrd.)]]*1000000000)/Tabelle2[[#This Row],[Bevölkerung]]))</f>
        <v>19537805.236045457</v>
      </c>
      <c r="U51" s="53" t="str">
        <f t="shared" si="35"/>
        <v/>
      </c>
      <c r="V51" s="53" t="str">
        <f t="shared" si="36"/>
        <v/>
      </c>
      <c r="W51" s="87">
        <v>592720</v>
      </c>
      <c r="X51" s="87">
        <f>1000000*Tabelle2[[#This Row],[Bevölkerung]]*EXP(-15.6892+0.034*LN((Tabelle2[[#This Row],[BIP (mrd.)]]*1000000000)/Tabelle2[[#This Row],[Bevölkerung]]))</f>
        <v>770585.44197926996</v>
      </c>
      <c r="Y51" s="87">
        <f t="shared" si="42"/>
        <v>-177865.44197926996</v>
      </c>
      <c r="Z51" s="92">
        <f t="shared" si="43"/>
        <v>0.30008341540570582</v>
      </c>
      <c r="AA51" s="54"/>
      <c r="AB51" s="54"/>
      <c r="AC51" s="54"/>
      <c r="AD51" s="54"/>
      <c r="AE51" s="54"/>
      <c r="AF51" s="54"/>
      <c r="AG51" s="54"/>
      <c r="AH51" s="54">
        <v>0</v>
      </c>
      <c r="AI51" s="54" t="s">
        <v>988</v>
      </c>
      <c r="AJ51" s="54">
        <v>1057172</v>
      </c>
      <c r="AK51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1112719.5840730565</v>
      </c>
      <c r="AL51" s="54">
        <f t="shared" si="39"/>
        <v>-55547.584073056467</v>
      </c>
      <c r="AM51" s="89">
        <f t="shared" si="40"/>
        <v>5.2543563462763357E-2</v>
      </c>
      <c r="AN51" s="91">
        <f t="shared" si="19"/>
        <v>5.2543563462763357E-2</v>
      </c>
      <c r="AO51" s="54"/>
      <c r="AP51" s="53"/>
      <c r="AQ51" s="53"/>
      <c r="AR51" s="53"/>
      <c r="AS51" s="53"/>
      <c r="AT51" s="54"/>
      <c r="AU51" s="54"/>
      <c r="AV51" s="54"/>
      <c r="AW51" s="54"/>
      <c r="AX51" s="54"/>
      <c r="AY51" s="54"/>
      <c r="AZ51" s="53"/>
      <c r="BA51" s="53"/>
      <c r="BB51" s="54"/>
      <c r="BC51" s="54"/>
      <c r="BD51" s="54"/>
      <c r="BE51" s="54"/>
      <c r="BF51" s="54"/>
      <c r="BG51" s="54"/>
      <c r="BH51" s="54"/>
      <c r="BI51" s="54"/>
      <c r="BJ51" s="54"/>
      <c r="BK51" s="54"/>
      <c r="BL51" s="54"/>
      <c r="BM51" s="54"/>
      <c r="BN51" s="54"/>
      <c r="BO51" s="54"/>
      <c r="BP51" s="54"/>
      <c r="BQ51" s="53"/>
      <c r="BR51" s="53"/>
      <c r="BS51" s="54"/>
      <c r="BT51" s="54"/>
      <c r="BU51" s="68"/>
    </row>
    <row r="52" spans="1:73" x14ac:dyDescent="0.3">
      <c r="B52" s="24" t="s">
        <v>99</v>
      </c>
      <c r="C52" s="25" t="s">
        <v>100</v>
      </c>
      <c r="D52" s="63">
        <v>88.331999999999994</v>
      </c>
      <c r="E52" s="63">
        <f>Tabelle2[[#This Row],[BIP (mrd.)]]*1000000000/Tabelle2[[#This Row],[Bevölkerung]]</f>
        <v>2565.7463050517017</v>
      </c>
      <c r="F52" s="63">
        <v>0.56100000000000005</v>
      </c>
      <c r="G52" s="53">
        <v>238539</v>
      </c>
      <c r="H52" s="63">
        <v>34427410</v>
      </c>
      <c r="I52" s="88">
        <v>19.533999999999999</v>
      </c>
      <c r="J52" s="88">
        <f>Tabelle2[[#This Row],[Strom (mrd.)]]*1000000000/Tabelle2[[#This Row],[Bevölkerung]]</f>
        <v>567.39673417198685</v>
      </c>
      <c r="K52" s="87">
        <v>5862890</v>
      </c>
      <c r="L52" s="87">
        <f>1000000*Tabelle2[[#This Row],[Bevölkerung]]*EXP(-15.4183+0.052*LN((Tabelle2[[#This Row],[BIP (mrd.)]]*1000000000)/Tabelle2[[#This Row],[Bevölkerung]]))</f>
        <v>10425595.103837872</v>
      </c>
      <c r="M52" s="87">
        <f t="shared" si="46"/>
        <v>-4562705.1038378719</v>
      </c>
      <c r="N52" s="92">
        <f t="shared" si="32"/>
        <v>0.77823481317880294</v>
      </c>
      <c r="O52" s="53"/>
      <c r="P52" s="53">
        <v>8735604</v>
      </c>
      <c r="Q52" s="53">
        <f>1000000*Tabelle2[[#This Row],[Bevölkerung]]*EXP(-17.8941+0.2965*LN((Tabelle2[[#This Row],[BIP (mrd.)]]*1000000000)/Tabelle2[[#This Row],[Bevölkerung]]))</f>
        <v>5976230.3489580145</v>
      </c>
      <c r="R52" s="53">
        <f t="shared" si="33"/>
        <v>2759373.6510419855</v>
      </c>
      <c r="S52" s="65">
        <f t="shared" si="34"/>
        <v>-0.31587668706617028</v>
      </c>
      <c r="T52" s="53">
        <f>1000000*Tabelle2[[#This Row],[Wohneinheiten Anzahl]]*EXP(-14.22+0.02263*LN((Tabelle2[[#This Row],[BIP (mrd.)]]*1000000000)/Tabelle2[[#This Row],[Bevölkerung]]))</f>
        <v>7975569.4515225161</v>
      </c>
      <c r="U52" s="65">
        <f t="shared" si="35"/>
        <v>760034.54847748391</v>
      </c>
      <c r="V52" s="65">
        <f t="shared" si="36"/>
        <v>-8.7004235594640503E-2</v>
      </c>
      <c r="W52" s="87">
        <v>6334063</v>
      </c>
      <c r="X52" s="87">
        <f>1000000*Tabelle2[[#This Row],[Bevölkerung]]*EXP(-15.6892+0.034*LN((Tabelle2[[#This Row],[BIP (mrd.)]]*1000000000)/Tabelle2[[#This Row],[Bevölkerung]]))</f>
        <v>6903743.2620799094</v>
      </c>
      <c r="Y52" s="87">
        <f t="shared" si="42"/>
        <v>-569680.26207990944</v>
      </c>
      <c r="Z52" s="92">
        <f t="shared" si="43"/>
        <v>8.9939153128080582E-2</v>
      </c>
      <c r="AA52" s="54"/>
      <c r="AB52" s="54"/>
      <c r="AC52" s="54"/>
      <c r="AD52" s="54"/>
      <c r="AE52" s="54"/>
      <c r="AF52" s="54"/>
      <c r="AG52" s="54"/>
      <c r="AH52" s="54">
        <v>0</v>
      </c>
      <c r="AI52" s="54" t="s">
        <v>990</v>
      </c>
      <c r="AJ52" s="54">
        <v>10006420</v>
      </c>
      <c r="AK52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7278063.9014101299</v>
      </c>
      <c r="AL52" s="54">
        <f t="shared" si="39"/>
        <v>2728356.0985898701</v>
      </c>
      <c r="AM52" s="89">
        <f t="shared" si="40"/>
        <v>-0.27266056177832532</v>
      </c>
      <c r="AN52" s="91">
        <f t="shared" si="19"/>
        <v>0.27266056177832532</v>
      </c>
      <c r="AO52" s="54"/>
      <c r="AP52" s="53"/>
      <c r="AQ52" s="53"/>
      <c r="AR52" s="53"/>
      <c r="AS52" s="53"/>
      <c r="AT52" s="54"/>
      <c r="AU52" s="54"/>
      <c r="AV52" s="54"/>
      <c r="AW52" s="54"/>
      <c r="AX52" s="54"/>
      <c r="AY52" s="54"/>
      <c r="AZ52" s="53"/>
      <c r="BA52" s="53"/>
      <c r="BB52" s="54"/>
      <c r="BC52" s="54"/>
      <c r="BD52" s="54"/>
      <c r="BE52" s="54"/>
      <c r="BF52" s="54"/>
      <c r="BG52" s="54"/>
      <c r="BH52" s="54"/>
      <c r="BI52" s="54"/>
      <c r="BJ52" s="54"/>
      <c r="BK52" s="54"/>
      <c r="BL52" s="54"/>
      <c r="BM52" s="54"/>
      <c r="BN52" s="54"/>
      <c r="BO52" s="54"/>
      <c r="BP52" s="54"/>
      <c r="BQ52" s="53"/>
      <c r="BR52" s="53"/>
      <c r="BS52" s="54"/>
      <c r="BT52" s="54"/>
      <c r="BU52" s="68"/>
    </row>
    <row r="53" spans="1:73" x14ac:dyDescent="0.3">
      <c r="B53" s="2" t="s">
        <v>101</v>
      </c>
      <c r="C53" s="3" t="s">
        <v>102</v>
      </c>
      <c r="D53" s="63">
        <v>1.464</v>
      </c>
      <c r="E53" s="63">
        <f>Tabelle2[[#This Row],[BIP (mrd.)]]*1000000000/Tabelle2[[#This Row],[Bevölkerung]]</f>
        <v>12490.401842846173</v>
      </c>
      <c r="F53" s="63">
        <v>0.36299999999999999</v>
      </c>
      <c r="G53" s="53">
        <v>340</v>
      </c>
      <c r="H53" s="63">
        <v>117210</v>
      </c>
      <c r="I53" s="88">
        <v>0.22145300000000001</v>
      </c>
      <c r="J53" s="88">
        <f>Tabelle2[[#This Row],[Strom (mrd.)]]*1000000000/Tabelle2[[#This Row],[Bevölkerung]]</f>
        <v>1889.3695077211842</v>
      </c>
      <c r="K53" s="53"/>
      <c r="L53" s="53">
        <f>1000000*Tabelle2[[#This Row],[Bevölkerung]]*EXP(-15.4183+0.052*LN((Tabelle2[[#This Row],[BIP (mrd.)]]*1000000000)/Tabelle2[[#This Row],[Bevölkerung]]))</f>
        <v>38539.318351094436</v>
      </c>
      <c r="M53" s="53" t="str">
        <f t="shared" si="46"/>
        <v/>
      </c>
      <c r="N53" s="65" t="str">
        <f t="shared" si="32"/>
        <v/>
      </c>
      <c r="O53" s="53"/>
      <c r="P53" s="53"/>
      <c r="Q53" s="53">
        <f>1000000*Tabelle2[[#This Row],[Bevölkerung]]*EXP(-17.8941+0.2965*LN((Tabelle2[[#This Row],[BIP (mrd.)]]*1000000000)/Tabelle2[[#This Row],[Bevölkerung]]))</f>
        <v>32530.495849766525</v>
      </c>
      <c r="R53" s="53" t="str">
        <f t="shared" si="33"/>
        <v/>
      </c>
      <c r="S53" s="53" t="str">
        <f t="shared" si="34"/>
        <v/>
      </c>
      <c r="T53" s="53">
        <f>1000000*Tabelle2[[#This Row],[Bevölkerung]]*EXP(-14.22+0.2263*LN((Tabelle2[[#This Row],[BIP (mrd.)]]*1000000000)/Tabelle2[[#This Row],[Bevölkerung]]))</f>
        <v>661229.7347061953</v>
      </c>
      <c r="U53" s="53" t="str">
        <f t="shared" si="35"/>
        <v/>
      </c>
      <c r="V53" s="53" t="str">
        <f t="shared" si="36"/>
        <v/>
      </c>
      <c r="W53" s="54"/>
      <c r="X53" s="53">
        <f>1000000*Tabelle2[[#This Row],[Bevölkerung]]*EXP(-17.9119+0.2965*LN((Tabelle2[[#This Row],[BIP (mrd.)]]*1000000000)/Tabelle2[[#This Row],[Bevölkerung]]))</f>
        <v>31956.576063057881</v>
      </c>
      <c r="Y53" s="53" t="str">
        <f t="shared" si="42"/>
        <v/>
      </c>
      <c r="Z53" s="65" t="str">
        <f t="shared" si="43"/>
        <v/>
      </c>
      <c r="AA53" s="54"/>
      <c r="AB53" s="54"/>
      <c r="AC53" s="54"/>
      <c r="AD53" s="54"/>
      <c r="AE53" s="54"/>
      <c r="AF53" s="54"/>
      <c r="AG53" s="54"/>
      <c r="AH53" s="54">
        <v>0</v>
      </c>
      <c r="AI53" s="54" t="s">
        <v>988</v>
      </c>
      <c r="AJ53" s="54">
        <v>36111</v>
      </c>
      <c r="AK53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38110.085123499543</v>
      </c>
      <c r="AL53" s="54">
        <f t="shared" si="39"/>
        <v>-1999.0851234995425</v>
      </c>
      <c r="AM53" s="89">
        <f t="shared" si="40"/>
        <v>5.5359450679835574E-2</v>
      </c>
      <c r="AN53" s="91">
        <f t="shared" si="19"/>
        <v>5.5359450679835574E-2</v>
      </c>
      <c r="AO53" s="54"/>
      <c r="AP53" s="53"/>
      <c r="AQ53" s="53"/>
      <c r="AR53" s="53"/>
      <c r="AS53" s="53"/>
      <c r="AT53" s="54"/>
      <c r="AU53" s="54"/>
      <c r="AV53" s="54"/>
      <c r="AW53" s="54"/>
      <c r="AX53" s="54"/>
      <c r="AY53" s="54"/>
      <c r="AZ53" s="53"/>
      <c r="BA53" s="53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3"/>
      <c r="BR53" s="53"/>
      <c r="BS53" s="54"/>
      <c r="BT53" s="54"/>
      <c r="BU53" s="68"/>
    </row>
    <row r="54" spans="1:73" x14ac:dyDescent="0.3">
      <c r="A54" t="s">
        <v>588</v>
      </c>
      <c r="B54" s="17" t="s">
        <v>103</v>
      </c>
      <c r="C54" s="18" t="s">
        <v>104</v>
      </c>
      <c r="D54" s="63">
        <v>267.34800000000001</v>
      </c>
      <c r="E54" s="63">
        <f>Tabelle2[[#This Row],[BIP (mrd.)]]*1000000000/Tabelle2[[#This Row],[Bevölkerung]]</f>
        <v>25734.227500551075</v>
      </c>
      <c r="F54" s="63">
        <v>0.79100000000000004</v>
      </c>
      <c r="G54" s="53">
        <v>131960</v>
      </c>
      <c r="H54" s="63">
        <v>10388810</v>
      </c>
      <c r="I54" s="88">
        <v>46.929000000000002</v>
      </c>
      <c r="J54" s="88">
        <f>Tabelle2[[#This Row],[Strom (mrd.)]]*1000000000/Tabelle2[[#This Row],[Bevölkerung]]</f>
        <v>4517.2642487445628</v>
      </c>
      <c r="K54" s="53">
        <v>3630000</v>
      </c>
      <c r="L54" s="63">
        <f>Tabelle2[[#This Row],[Wohnimmobilien Anzahl]]/Tabelle2[[#This Row],[Bevölkerung]]</f>
        <v>0.3494144180132277</v>
      </c>
      <c r="M54" s="53">
        <f t="shared" si="41"/>
        <v>-3629999.650585582</v>
      </c>
      <c r="N54" s="53">
        <f t="shared" si="32"/>
        <v>-0.99999990374258463</v>
      </c>
      <c r="O54" s="53"/>
      <c r="P54" s="53"/>
      <c r="Q54" s="53">
        <f>1000000*Tabelle2[[#This Row],[Bevölkerung]]*EXP(-17.8941+0.2965*LN((Tabelle2[[#This Row],[BIP (mrd.)]]*1000000000)/Tabelle2[[#This Row],[Bevölkerung]]))</f>
        <v>3572510.1121936082</v>
      </c>
      <c r="R54" s="53" t="str">
        <f t="shared" si="33"/>
        <v/>
      </c>
      <c r="S54" s="53" t="str">
        <f t="shared" si="34"/>
        <v/>
      </c>
      <c r="T54" s="53">
        <f>1000000*Tabelle2[[#This Row],[Bevölkerung]]*EXP(-14.22+0.2263*LN((Tabelle2[[#This Row],[BIP (mrd.)]]*1000000000)/Tabelle2[[#This Row],[Bevölkerung]]))</f>
        <v>69023494.204011276</v>
      </c>
      <c r="U54" s="53" t="str">
        <f t="shared" si="35"/>
        <v/>
      </c>
      <c r="V54" s="53" t="str">
        <f t="shared" si="36"/>
        <v/>
      </c>
      <c r="W54" s="54"/>
      <c r="X54" s="54"/>
      <c r="Y54" s="54" t="str">
        <f t="shared" si="42"/>
        <v/>
      </c>
      <c r="Z54" s="54" t="str">
        <f t="shared" si="43"/>
        <v/>
      </c>
      <c r="AA54" s="54"/>
      <c r="AB54" s="54"/>
      <c r="AC54" s="54"/>
      <c r="AD54" s="54"/>
      <c r="AE54" s="54"/>
      <c r="AF54" s="54"/>
      <c r="AG54" s="54"/>
      <c r="AH54" s="54"/>
      <c r="AI54" s="54">
        <v>1</v>
      </c>
      <c r="AJ54" s="54"/>
      <c r="AK54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4111783.2890218543</v>
      </c>
      <c r="AL54" s="54" t="str">
        <f t="shared" si="39"/>
        <v/>
      </c>
      <c r="AM54" s="89" t="str">
        <f t="shared" si="40"/>
        <v/>
      </c>
      <c r="AN54" s="91"/>
      <c r="AO54" s="54"/>
      <c r="AP54" s="53"/>
      <c r="AQ54" s="53"/>
      <c r="AR54" s="53"/>
      <c r="AS54" s="53"/>
      <c r="AT54" s="54"/>
      <c r="AU54" s="54"/>
      <c r="AV54" s="54"/>
      <c r="AW54" s="54"/>
      <c r="AX54" s="54"/>
      <c r="AY54" s="54"/>
      <c r="AZ54" s="53"/>
      <c r="BA54" s="53"/>
      <c r="BB54" s="54"/>
      <c r="BC54" s="54"/>
      <c r="BD54" s="54"/>
      <c r="BE54" s="54"/>
      <c r="BF54" s="54"/>
      <c r="BG54" s="54">
        <v>1749</v>
      </c>
      <c r="BH54" s="54"/>
      <c r="BI54" s="54"/>
      <c r="BJ54" s="54"/>
      <c r="BK54" s="54"/>
      <c r="BL54" s="54">
        <v>34736</v>
      </c>
      <c r="BM54" s="54"/>
      <c r="BN54" s="54"/>
      <c r="BO54" s="54">
        <v>16952</v>
      </c>
      <c r="BP54" s="54"/>
      <c r="BQ54" s="53">
        <v>4105637</v>
      </c>
      <c r="BR54" s="53"/>
      <c r="BS54" s="54"/>
      <c r="BT54" s="54"/>
      <c r="BU54" s="68"/>
    </row>
    <row r="55" spans="1:73" x14ac:dyDescent="0.3">
      <c r="B55" s="22" t="s">
        <v>105</v>
      </c>
      <c r="C55" s="23" t="s">
        <v>106</v>
      </c>
      <c r="D55" s="63">
        <v>121.17700000000001</v>
      </c>
      <c r="E55" s="63">
        <f>Tabelle2[[#This Row],[BIP (mrd.)]]*1000000000/Tabelle2[[#This Row],[Bevölkerung]]</f>
        <v>6583.4309445213503</v>
      </c>
      <c r="F55" s="63">
        <v>0.51100000000000001</v>
      </c>
      <c r="G55" s="53">
        <v>108890</v>
      </c>
      <c r="H55" s="63">
        <v>18406360</v>
      </c>
      <c r="I55" s="88">
        <v>12.222</v>
      </c>
      <c r="J55" s="88">
        <f>Tabelle2[[#This Row],[Strom (mrd.)]]*1000000000/Tabelle2[[#This Row],[Bevölkerung]]</f>
        <v>664.00961406818078</v>
      </c>
      <c r="K55" s="87"/>
      <c r="L55" s="87">
        <f>1000000*Tabelle2[[#This Row],[Bevölkerung]]*EXP(-15.4183+0.052*LN((Tabelle2[[#This Row],[BIP (mrd.)]]*1000000000)/Tabelle2[[#This Row],[Bevölkerung]]))</f>
        <v>5853893.5448362669</v>
      </c>
      <c r="M55" s="87" t="str">
        <f>IF(AND(ISNUMBER(K55), ISNUMBER(L55)), K55-L55, "")</f>
        <v/>
      </c>
      <c r="N55" s="92" t="str">
        <f t="shared" si="32"/>
        <v/>
      </c>
      <c r="O55" s="53"/>
      <c r="P55" s="53">
        <v>3179595</v>
      </c>
      <c r="Q55" s="53">
        <f>1000000*Tabelle2[[#This Row],[Bevölkerung]]*EXP(-17.8941+0.2965*LN((Tabelle2[[#This Row],[BIP (mrd.)]]*1000000000)/Tabelle2[[#This Row],[Bevölkerung]]))</f>
        <v>4225033.1968434863</v>
      </c>
      <c r="R55" s="53">
        <f t="shared" si="33"/>
        <v>-1045438.1968434863</v>
      </c>
      <c r="S55" s="65">
        <f t="shared" si="34"/>
        <v>0.32879602491621929</v>
      </c>
      <c r="T55" s="53">
        <f>1000000*Tabelle2[[#This Row],[Wohneinheiten Anzahl]]*EXP(-14.22+0.02263*LN((Tabelle2[[#This Row],[BIP (mrd.)]]*1000000000)/Tabelle2[[#This Row],[Bevölkerung]]))</f>
        <v>3210555.4987181933</v>
      </c>
      <c r="U55" s="65">
        <f t="shared" si="35"/>
        <v>-30960.498718193267</v>
      </c>
      <c r="V55" s="65">
        <f t="shared" si="36"/>
        <v>9.7372460071780426E-3</v>
      </c>
      <c r="W55" s="99">
        <v>3709732</v>
      </c>
      <c r="X55" s="87">
        <f>1000000*Tabelle2[[#This Row],[Bevölkerung]]*EXP(-15.6892+0.034*LN((Tabelle2[[#This Row],[BIP (mrd.)]]*1000000000)/Tabelle2[[#This Row],[Bevölkerung]]))</f>
        <v>3811204.952053986</v>
      </c>
      <c r="Y55" s="87">
        <f t="shared" si="42"/>
        <v>-101472.95205398602</v>
      </c>
      <c r="Z55" s="92">
        <f t="shared" si="43"/>
        <v>2.7353175931303399E-2</v>
      </c>
      <c r="AA55" s="54"/>
      <c r="AB55" s="54"/>
      <c r="AC55" s="54"/>
      <c r="AD55" s="54"/>
      <c r="AE55" s="54"/>
      <c r="AF55" s="54"/>
      <c r="AG55" s="54"/>
      <c r="AH55" s="54">
        <v>0</v>
      </c>
      <c r="AI55" s="54" t="s">
        <v>988</v>
      </c>
      <c r="AJ55" s="85">
        <v>3943085</v>
      </c>
      <c r="AK55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5027965.8225227073</v>
      </c>
      <c r="AL55" s="85">
        <f t="shared" si="39"/>
        <v>-1084880.8225227073</v>
      </c>
      <c r="AM55" s="93">
        <f t="shared" si="40"/>
        <v>0.27513503323481669</v>
      </c>
      <c r="AN55" s="91">
        <f t="shared" si="19"/>
        <v>0.27513503323481669</v>
      </c>
      <c r="AO55" s="54"/>
      <c r="AP55" s="53"/>
      <c r="AQ55" s="53"/>
      <c r="AR55" s="53"/>
      <c r="AS55" s="53"/>
      <c r="AT55" s="54"/>
      <c r="AU55" s="54"/>
      <c r="AV55" s="54"/>
      <c r="AW55" s="54"/>
      <c r="AX55" s="54"/>
      <c r="AY55" s="54"/>
      <c r="AZ55" s="53"/>
      <c r="BA55" s="53"/>
      <c r="BB55" s="54"/>
      <c r="BC55" s="54"/>
      <c r="BD55" s="54"/>
      <c r="BE55" s="54"/>
      <c r="BF55" s="54"/>
      <c r="BG55" s="54"/>
      <c r="BH55" s="54"/>
      <c r="BI55" s="54"/>
      <c r="BJ55" s="54"/>
      <c r="BK55" s="54"/>
      <c r="BL55" s="54"/>
      <c r="BM55" s="54"/>
      <c r="BN55" s="54"/>
      <c r="BO55" s="54"/>
      <c r="BP55" s="54"/>
      <c r="BQ55" s="53"/>
      <c r="BR55" s="53"/>
      <c r="BS55" s="54"/>
      <c r="BT55" s="54"/>
      <c r="BU55" s="68"/>
    </row>
    <row r="56" spans="1:73" x14ac:dyDescent="0.3">
      <c r="B56" s="2" t="s">
        <v>107</v>
      </c>
      <c r="C56" s="3" t="s">
        <v>108</v>
      </c>
      <c r="D56" s="63">
        <v>3.0093999999999999E-2</v>
      </c>
      <c r="E56" s="63">
        <f>Tabelle2[[#This Row],[BIP (mrd.)]]*1000000000/Tabelle2[[#This Row],[Bevölkerung]]</f>
        <v>2.0396102144525368</v>
      </c>
      <c r="F56" s="63">
        <v>0.36099999999999999</v>
      </c>
      <c r="G56" s="53">
        <v>245860</v>
      </c>
      <c r="H56" s="63">
        <v>14754780</v>
      </c>
      <c r="I56" s="88"/>
      <c r="J56" s="88">
        <f>Tabelle2[[#This Row],[Strom (mrd.)]]*1000000000/Tabelle2[[#This Row],[Bevölkerung]]</f>
        <v>0</v>
      </c>
      <c r="K56" s="53"/>
      <c r="L56" s="53">
        <f>Tabelle2[[#This Row],[Wohnimmobilien Anzahl]]/Tabelle2[[#This Row],[Bevölkerung]]</f>
        <v>0</v>
      </c>
      <c r="M56" s="53">
        <f t="shared" si="41"/>
        <v>0</v>
      </c>
      <c r="N56" s="53" t="str">
        <f t="shared" si="32"/>
        <v/>
      </c>
      <c r="O56" s="53"/>
      <c r="P56" s="53"/>
      <c r="Q56" s="53">
        <f>1000000*Tabelle2[[#This Row],[Bevölkerung]]*EXP(-17.8941+0.2965*LN((Tabelle2[[#This Row],[BIP (mrd.)]]*1000000000)/Tabelle2[[#This Row],[Bevölkerung]]))</f>
        <v>308606.15819392842</v>
      </c>
      <c r="R56" s="53" t="str">
        <f t="shared" si="33"/>
        <v/>
      </c>
      <c r="S56" s="53" t="str">
        <f t="shared" si="34"/>
        <v/>
      </c>
      <c r="T56" s="53">
        <f>1000000*Tabelle2[[#This Row],[Bevölkerung]]*EXP(-14.22+0.2263*LN((Tabelle2[[#This Row],[BIP (mrd.)]]*1000000000)/Tabelle2[[#This Row],[Bevölkerung]]))</f>
        <v>11569530.415430408</v>
      </c>
      <c r="U56" s="53" t="str">
        <f t="shared" si="35"/>
        <v/>
      </c>
      <c r="V56" s="53" t="str">
        <f t="shared" si="36"/>
        <v/>
      </c>
      <c r="W56" s="54"/>
      <c r="X56" s="54"/>
      <c r="Y56" s="54" t="str">
        <f t="shared" si="42"/>
        <v/>
      </c>
      <c r="Z56" s="54" t="str">
        <f t="shared" si="43"/>
        <v/>
      </c>
      <c r="AA56" s="54"/>
      <c r="AB56" s="54"/>
      <c r="AC56" s="54"/>
      <c r="AD56" s="54"/>
      <c r="AE56" s="54"/>
      <c r="AF56" s="54"/>
      <c r="AG56" s="54"/>
      <c r="AH56" s="54"/>
      <c r="AI56" s="54">
        <v>0</v>
      </c>
      <c r="AJ56" s="54"/>
      <c r="AK56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447647.0401891307</v>
      </c>
      <c r="AL56" s="54" t="str">
        <f t="shared" si="39"/>
        <v/>
      </c>
      <c r="AM56" s="89" t="str">
        <f t="shared" si="40"/>
        <v/>
      </c>
      <c r="AN56" s="91"/>
      <c r="AO56" s="54"/>
      <c r="AP56" s="53"/>
      <c r="AQ56" s="53"/>
      <c r="AR56" s="53"/>
      <c r="AS56" s="53"/>
      <c r="AT56" s="54"/>
      <c r="AU56" s="54"/>
      <c r="AV56" s="54"/>
      <c r="AW56" s="54"/>
      <c r="AX56" s="54"/>
      <c r="AY56" s="54"/>
      <c r="AZ56" s="53"/>
      <c r="BA56" s="53"/>
      <c r="BB56" s="54"/>
      <c r="BC56" s="54"/>
      <c r="BD56" s="54"/>
      <c r="BE56" s="54"/>
      <c r="BF56" s="54"/>
      <c r="BG56" s="54"/>
      <c r="BH56" s="54"/>
      <c r="BI56" s="54"/>
      <c r="BJ56" s="54"/>
      <c r="BK56" s="54"/>
      <c r="BL56" s="54"/>
      <c r="BM56" s="54"/>
      <c r="BN56" s="54"/>
      <c r="BO56" s="54"/>
      <c r="BP56" s="54"/>
      <c r="BQ56" s="53"/>
      <c r="BR56" s="53"/>
      <c r="BS56" s="54"/>
      <c r="BT56" s="54"/>
      <c r="BU56" s="68"/>
    </row>
    <row r="57" spans="1:73" x14ac:dyDescent="0.3">
      <c r="B57" s="2" t="s">
        <v>109</v>
      </c>
      <c r="C57" s="3" t="s">
        <v>110</v>
      </c>
      <c r="D57" s="63">
        <v>2.274E-3</v>
      </c>
      <c r="E57" s="63">
        <f>Tabelle2[[#This Row],[BIP (mrd.)]]*1000000000/Tabelle2[[#This Row],[Bevölkerung]]</f>
        <v>1.0330024757535148</v>
      </c>
      <c r="F57" s="63">
        <v>0.434</v>
      </c>
      <c r="G57" s="53">
        <v>36130</v>
      </c>
      <c r="H57" s="63">
        <v>2201350</v>
      </c>
      <c r="I57" s="88"/>
      <c r="J57" s="88">
        <f>Tabelle2[[#This Row],[Strom (mrd.)]]*1000000000/Tabelle2[[#This Row],[Bevölkerung]]</f>
        <v>0</v>
      </c>
      <c r="K57" s="53"/>
      <c r="L57" s="53">
        <f>Tabelle2[[#This Row],[Wohnimmobilien Anzahl]]/Tabelle2[[#This Row],[Bevölkerung]]</f>
        <v>0</v>
      </c>
      <c r="M57" s="53">
        <f t="shared" si="41"/>
        <v>0</v>
      </c>
      <c r="N57" s="53" t="str">
        <f t="shared" si="32"/>
        <v/>
      </c>
      <c r="O57" s="53"/>
      <c r="P57" s="84"/>
      <c r="Q57" s="84">
        <f>1000000*Tabelle2[[#This Row],[Bevölkerung]]*EXP(-17.8941+0.2965*LN((Tabelle2[[#This Row],[BIP (mrd.)]]*1000000000)/Tabelle2[[#This Row],[Bevölkerung]]))</f>
        <v>37632.343419383556</v>
      </c>
      <c r="R57" s="84" t="str">
        <f t="shared" si="33"/>
        <v/>
      </c>
      <c r="S57" s="84" t="str">
        <f t="shared" si="34"/>
        <v/>
      </c>
      <c r="T57" s="84">
        <f>1000000*Tabelle2[[#This Row],[Bevölkerung]]*EXP(-14.22+0.2263*LN((Tabelle2[[#This Row],[BIP (mrd.)]]*1000000000)/Tabelle2[[#This Row],[Bevölkerung]]))</f>
        <v>1479832.9858162417</v>
      </c>
      <c r="U57" s="84" t="str">
        <f t="shared" si="35"/>
        <v/>
      </c>
      <c r="V57" s="84" t="str">
        <f t="shared" si="36"/>
        <v/>
      </c>
      <c r="W57" s="56"/>
      <c r="X57" s="56"/>
      <c r="Y57" s="56" t="str">
        <f t="shared" si="42"/>
        <v/>
      </c>
      <c r="Z57" s="56" t="str">
        <f t="shared" si="43"/>
        <v/>
      </c>
      <c r="AA57" s="54"/>
      <c r="AB57" s="54"/>
      <c r="AC57" s="54"/>
      <c r="AD57" s="54"/>
      <c r="AE57" s="54"/>
      <c r="AF57" s="54"/>
      <c r="AG57" s="54"/>
      <c r="AH57" s="56"/>
      <c r="AI57" s="56">
        <v>0</v>
      </c>
      <c r="AJ57" s="56"/>
      <c r="AK57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55505.535707119787</v>
      </c>
      <c r="AL57" s="56" t="str">
        <f t="shared" si="39"/>
        <v/>
      </c>
      <c r="AM57" s="91" t="str">
        <f t="shared" si="40"/>
        <v/>
      </c>
      <c r="AN57" s="91"/>
      <c r="AO57" s="54"/>
      <c r="AP57" s="53"/>
      <c r="AQ57" s="53"/>
      <c r="AR57" s="53"/>
      <c r="AS57" s="53"/>
      <c r="AT57" s="54"/>
      <c r="AU57" s="54"/>
      <c r="AV57" s="54"/>
      <c r="AW57" s="54"/>
      <c r="AX57" s="54"/>
      <c r="AY57" s="54"/>
      <c r="AZ57" s="53"/>
      <c r="BA57" s="53"/>
      <c r="BB57" s="54"/>
      <c r="BC57" s="54"/>
      <c r="BD57" s="54"/>
      <c r="BE57" s="54"/>
      <c r="BF57" s="54"/>
      <c r="BG57" s="54"/>
      <c r="BH57" s="54"/>
      <c r="BI57" s="54"/>
      <c r="BJ57" s="54"/>
      <c r="BK57" s="54"/>
      <c r="BL57" s="54"/>
      <c r="BM57" s="54"/>
      <c r="BN57" s="54"/>
      <c r="BO57" s="54"/>
      <c r="BP57" s="54"/>
      <c r="BQ57" s="53"/>
      <c r="BR57" s="53"/>
      <c r="BS57" s="54"/>
      <c r="BT57" s="54"/>
      <c r="BU57" s="68"/>
    </row>
    <row r="58" spans="1:73" x14ac:dyDescent="0.3">
      <c r="A58" t="s">
        <v>588</v>
      </c>
      <c r="B58" s="2" t="s">
        <v>111</v>
      </c>
      <c r="C58" s="3" t="s">
        <v>112</v>
      </c>
      <c r="D58" s="63">
        <v>25.821999999999999</v>
      </c>
      <c r="E58" s="63">
        <f>Tabelle2[[#This Row],[BIP (mrd.)]]*1000000000/Tabelle2[[#This Row],[Bevölkerung]]</f>
        <v>31070.040549158333</v>
      </c>
      <c r="F58" s="63">
        <v>0.26600000000000001</v>
      </c>
      <c r="G58" s="53">
        <v>214970</v>
      </c>
      <c r="H58" s="63">
        <v>831090</v>
      </c>
      <c r="I58" s="88">
        <v>1.07</v>
      </c>
      <c r="J58" s="88">
        <f>Tabelle2[[#This Row],[Strom (mrd.)]]*1000000000/Tabelle2[[#This Row],[Bevölkerung]]</f>
        <v>1287.4658580899784</v>
      </c>
      <c r="K58" s="87"/>
      <c r="L58" s="87">
        <f>1000000*Tabelle2[[#This Row],[Bevölkerung]]*EXP(-15.4183+0.052*LN((Tabelle2[[#This Row],[BIP (mrd.)]]*1000000000)/Tabelle2[[#This Row],[Bevölkerung]]))</f>
        <v>286528.10073602217</v>
      </c>
      <c r="M58" s="87" t="str">
        <f t="shared" ref="M58:M60" si="47">IF(AND(ISNUMBER(K58), ISNUMBER(L58)), K58-L58, "")</f>
        <v/>
      </c>
      <c r="N58" s="92" t="str">
        <f t="shared" si="32"/>
        <v/>
      </c>
      <c r="O58" s="53"/>
      <c r="P58" s="53">
        <v>204625</v>
      </c>
      <c r="Q58" s="53">
        <f>1000000*Tabelle2[[#This Row],[Bevölkerung]]*EXP(-17.8941+0.2965*LN((Tabelle2[[#This Row],[BIP (mrd.)]]*1000000000)/Tabelle2[[#This Row],[Bevölkerung]]))</f>
        <v>302216.74084253487</v>
      </c>
      <c r="R58" s="53">
        <f t="shared" si="33"/>
        <v>-97591.740842534869</v>
      </c>
      <c r="S58" s="65">
        <f t="shared" si="34"/>
        <v>0.47692970478941904</v>
      </c>
      <c r="T58" s="53">
        <f>1000000*Tabelle2[[#This Row],[Wohneinheiten Anzahl]]*EXP(-14.22+0.02263*LN((Tabelle2[[#This Row],[BIP (mrd.)]]*1000000000)/Tabelle2[[#This Row],[Bevölkerung]]))</f>
        <v>187157.92388187835</v>
      </c>
      <c r="U58" s="65">
        <f t="shared" si="35"/>
        <v>17467.076118121651</v>
      </c>
      <c r="V58" s="65">
        <f t="shared" si="36"/>
        <v>-8.5361398255939649E-2</v>
      </c>
      <c r="W58" s="87">
        <v>144174</v>
      </c>
      <c r="X58" s="87">
        <f>1000000*Tabelle2[[#This Row],[Bevölkerung]]*EXP(-15.6892+0.034*LN((Tabelle2[[#This Row],[BIP (mrd.)]]*1000000000)/Tabelle2[[#This Row],[Bevölkerung]]))</f>
        <v>181407.27228630788</v>
      </c>
      <c r="Y58" s="87">
        <f t="shared" si="42"/>
        <v>-37233.272286307882</v>
      </c>
      <c r="Z58" s="92">
        <f t="shared" si="43"/>
        <v>0.25825233597117292</v>
      </c>
      <c r="AA58" s="54"/>
      <c r="AB58" s="54"/>
      <c r="AC58" s="54"/>
      <c r="AD58" s="54"/>
      <c r="AE58" s="54"/>
      <c r="AF58" s="54"/>
      <c r="AG58" s="54"/>
      <c r="AH58" s="54">
        <v>0</v>
      </c>
      <c r="AI58" s="54" t="s">
        <v>989</v>
      </c>
      <c r="AJ58" s="54">
        <v>221929</v>
      </c>
      <c r="AK58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346234.59789447451</v>
      </c>
      <c r="AL58" s="54">
        <f t="shared" si="39"/>
        <v>-124305.59789447451</v>
      </c>
      <c r="AM58" s="89">
        <f t="shared" si="40"/>
        <v>0.56011426129291131</v>
      </c>
      <c r="AN58" s="91">
        <f t="shared" si="19"/>
        <v>0.56011426129291131</v>
      </c>
      <c r="AO58" s="54"/>
      <c r="AP58" s="53"/>
      <c r="AQ58" s="53"/>
      <c r="AR58" s="53"/>
      <c r="AS58" s="53"/>
      <c r="AT58" s="54"/>
      <c r="AU58" s="54"/>
      <c r="AV58" s="54"/>
      <c r="AW58" s="54"/>
      <c r="AX58" s="54"/>
      <c r="AY58" s="54"/>
      <c r="AZ58" s="53"/>
      <c r="BA58" s="53"/>
      <c r="BB58" s="54"/>
      <c r="BC58" s="54"/>
      <c r="BD58" s="54"/>
      <c r="BE58" s="54"/>
      <c r="BF58" s="54"/>
      <c r="BG58" s="54"/>
      <c r="BH58" s="54"/>
      <c r="BI58" s="54"/>
      <c r="BJ58" s="54"/>
      <c r="BK58" s="54"/>
      <c r="BL58" s="54"/>
      <c r="BM58" s="54"/>
      <c r="BN58" s="54"/>
      <c r="BO58" s="54"/>
      <c r="BP58" s="54"/>
      <c r="BQ58" s="53">
        <v>219509</v>
      </c>
      <c r="BR58" s="53"/>
      <c r="BS58" s="54"/>
      <c r="BT58" s="54"/>
      <c r="BU58" s="68"/>
    </row>
    <row r="59" spans="1:73" x14ac:dyDescent="0.3">
      <c r="B59" s="2" t="s">
        <v>113</v>
      </c>
      <c r="C59" s="5" t="s">
        <v>114</v>
      </c>
      <c r="D59" s="63">
        <v>33.548000000000002</v>
      </c>
      <c r="E59" s="63">
        <f>Tabelle2[[#This Row],[BIP (mrd.)]]*1000000000/Tabelle2[[#This Row],[Bevölkerung]]</f>
        <v>2849.6775552641056</v>
      </c>
      <c r="F59" s="63">
        <v>0.55300000000000005</v>
      </c>
      <c r="G59" s="53">
        <v>27750</v>
      </c>
      <c r="H59" s="63">
        <v>11772560</v>
      </c>
      <c r="I59" s="88">
        <v>0.86099999999999999</v>
      </c>
      <c r="J59" s="88">
        <f>Tabelle2[[#This Row],[Strom (mrd.)]]*1000000000/Tabelle2[[#This Row],[Bevölkerung]]</f>
        <v>73.136174290043968</v>
      </c>
      <c r="K59" s="53"/>
      <c r="L59" s="53">
        <f>1000000*Tabelle2[[#This Row],[Bevölkerung]]*EXP(-15.4183+0.052*LN((Tabelle2[[#This Row],[BIP (mrd.)]]*1000000000)/Tabelle2[[#This Row],[Bevölkerung]]))</f>
        <v>3584575.0676509454</v>
      </c>
      <c r="M59" s="53" t="str">
        <f t="shared" si="47"/>
        <v/>
      </c>
      <c r="N59" s="65" t="str">
        <f t="shared" si="32"/>
        <v/>
      </c>
      <c r="O59" s="53"/>
      <c r="P59" s="53">
        <v>1793198</v>
      </c>
      <c r="Q59" s="53">
        <f>1000000*Tabelle2[[#This Row],[Bevölkerung]]*EXP(-17.8941+0.2965*LN((Tabelle2[[#This Row],[BIP (mrd.)]]*1000000000)/Tabelle2[[#This Row],[Bevölkerung]]))</f>
        <v>2108186.1479690056</v>
      </c>
      <c r="R59" s="53">
        <f t="shared" si="33"/>
        <v>-314988.14796900563</v>
      </c>
      <c r="S59" s="65">
        <f t="shared" si="34"/>
        <v>0.17565720459704151</v>
      </c>
      <c r="T59" s="53">
        <f>1000000*Tabelle2[[#This Row],[Wohneinheiten Anzahl]]*EXP(-14.22+0.02263*LN((Tabelle2[[#This Row],[BIP (mrd.)]]*1000000000)/Tabelle2[[#This Row],[Bevölkerung]]))</f>
        <v>1610861.5995378653</v>
      </c>
      <c r="U59" s="65">
        <f t="shared" si="35"/>
        <v>182336.40046213474</v>
      </c>
      <c r="V59" s="65">
        <f t="shared" si="36"/>
        <v>-0.10168224616697918</v>
      </c>
      <c r="W59" s="54"/>
      <c r="X59" s="53">
        <f>1000000*Tabelle2[[#This Row],[Bevölkerung]]*EXP(-17.9119+0.2965*LN((Tabelle2[[#This Row],[BIP (mrd.)]]*1000000000)/Tabelle2[[#This Row],[Bevölkerung]]))</f>
        <v>2070992.4405637379</v>
      </c>
      <c r="Y59" s="53" t="str">
        <f t="shared" si="42"/>
        <v/>
      </c>
      <c r="Z59" s="65" t="str">
        <f t="shared" si="43"/>
        <v/>
      </c>
      <c r="AA59" s="54"/>
      <c r="AB59" s="54"/>
      <c r="AC59" s="54"/>
      <c r="AD59" s="54"/>
      <c r="AE59" s="54"/>
      <c r="AF59" s="54"/>
      <c r="AG59" s="54"/>
      <c r="AH59" s="54">
        <v>0</v>
      </c>
      <c r="AI59" s="54" t="s">
        <v>990</v>
      </c>
      <c r="AJ59" s="54">
        <v>2016247</v>
      </c>
      <c r="AK59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2560829.9857409843</v>
      </c>
      <c r="AL59" s="54">
        <f t="shared" si="39"/>
        <v>-544582.98574098432</v>
      </c>
      <c r="AM59" s="89">
        <f t="shared" si="40"/>
        <v>0.27009735699097598</v>
      </c>
      <c r="AN59" s="91">
        <f t="shared" si="19"/>
        <v>0.27009735699097598</v>
      </c>
      <c r="AO59" s="54"/>
      <c r="AP59" s="53"/>
      <c r="AQ59" s="53"/>
      <c r="AR59" s="53"/>
      <c r="AS59" s="53"/>
      <c r="AT59" s="54"/>
      <c r="AU59" s="54"/>
      <c r="AV59" s="54"/>
      <c r="AW59" s="54"/>
      <c r="AX59" s="54"/>
      <c r="AY59" s="54"/>
      <c r="AZ59" s="53"/>
      <c r="BA59" s="53"/>
      <c r="BB59" s="54"/>
      <c r="BC59" s="54"/>
      <c r="BD59" s="54"/>
      <c r="BE59" s="54"/>
      <c r="BF59" s="54"/>
      <c r="BG59" s="54"/>
      <c r="BH59" s="54"/>
      <c r="BI59" s="54"/>
      <c r="BJ59" s="54"/>
      <c r="BK59" s="54"/>
      <c r="BL59" s="54"/>
      <c r="BM59" s="54"/>
      <c r="BN59" s="54"/>
      <c r="BO59" s="54"/>
      <c r="BP59" s="54"/>
      <c r="BQ59" s="53"/>
      <c r="BR59" s="53"/>
      <c r="BS59" s="54"/>
      <c r="BT59" s="54"/>
      <c r="BU59" s="68"/>
    </row>
    <row r="60" spans="1:73" x14ac:dyDescent="0.3">
      <c r="B60" s="22" t="s">
        <v>115</v>
      </c>
      <c r="C60" s="23" t="s">
        <v>116</v>
      </c>
      <c r="D60" s="63">
        <v>38.171999999999997</v>
      </c>
      <c r="E60" s="63">
        <f>Tabelle2[[#This Row],[BIP (mrd.)]]*1000000000/Tabelle2[[#This Row],[Bevölkerung]]</f>
        <v>3526.053742483165</v>
      </c>
      <c r="F60" s="63">
        <v>0.57099999999999995</v>
      </c>
      <c r="G60" s="53">
        <v>112490</v>
      </c>
      <c r="H60" s="63">
        <v>10825700</v>
      </c>
      <c r="I60" s="88">
        <v>8.3030000000000008</v>
      </c>
      <c r="J60" s="88">
        <f>Tabelle2[[#This Row],[Strom (mrd.)]]*1000000000/Tabelle2[[#This Row],[Bevölkerung]]</f>
        <v>766.9711889300462</v>
      </c>
      <c r="K60" s="53"/>
      <c r="L60" s="53">
        <f>1000000*Tabelle2[[#This Row],[Bevölkerung]]*EXP(-15.4183+0.052*LN((Tabelle2[[#This Row],[BIP (mrd.)]]*1000000000)/Tabelle2[[#This Row],[Bevölkerung]]))</f>
        <v>3332977.6523212027</v>
      </c>
      <c r="M60" s="53" t="str">
        <f t="shared" si="47"/>
        <v/>
      </c>
      <c r="N60" s="65" t="str">
        <f t="shared" si="32"/>
        <v/>
      </c>
      <c r="O60" s="53"/>
      <c r="P60" s="53">
        <v>1838527</v>
      </c>
      <c r="Q60" s="53">
        <f>1000000*Tabelle2[[#This Row],[Bevölkerung]]*EXP(-17.8941+0.2965*LN((Tabelle2[[#This Row],[BIP (mrd.)]]*1000000000)/Tabelle2[[#This Row],[Bevölkerung]]))</f>
        <v>2064991.4896232551</v>
      </c>
      <c r="R60" s="53">
        <f t="shared" si="33"/>
        <v>-226464.4896232551</v>
      </c>
      <c r="S60" s="65">
        <f t="shared" si="34"/>
        <v>0.12317713562175323</v>
      </c>
      <c r="T60" s="53">
        <f>1000000*Tabelle2[[#This Row],[Wohneinheiten Anzahl]]*EXP(-14.22+0.02263*LN((Tabelle2[[#This Row],[BIP (mrd.)]]*1000000000)/Tabelle2[[#This Row],[Bevölkerung]]))</f>
        <v>1732477.1226557768</v>
      </c>
      <c r="U60" s="65">
        <f t="shared" si="35"/>
        <v>106049.87734422321</v>
      </c>
      <c r="V60" s="65">
        <f t="shared" si="36"/>
        <v>-5.7681979837241014E-2</v>
      </c>
      <c r="W60" s="54"/>
      <c r="X60" s="53">
        <f>1000000*Tabelle2[[#This Row],[Bevölkerung]]*EXP(-17.9119+0.2965*LN((Tabelle2[[#This Row],[BIP (mrd.)]]*1000000000)/Tabelle2[[#This Row],[Bevölkerung]]))</f>
        <v>2028559.8446599261</v>
      </c>
      <c r="Y60" s="53" t="str">
        <f t="shared" si="42"/>
        <v/>
      </c>
      <c r="Z60" s="65" t="str">
        <f t="shared" si="43"/>
        <v/>
      </c>
      <c r="AA60" s="54"/>
      <c r="AB60" s="54"/>
      <c r="AC60" s="54"/>
      <c r="AD60" s="54"/>
      <c r="AE60" s="54"/>
      <c r="AF60" s="54"/>
      <c r="AG60" s="54"/>
      <c r="AH60" s="54">
        <v>0</v>
      </c>
      <c r="AI60" s="54" t="s">
        <v>990</v>
      </c>
      <c r="AJ60" s="54">
        <v>2158042</v>
      </c>
      <c r="AK60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2495306.8803715585</v>
      </c>
      <c r="AL60" s="54">
        <f t="shared" si="39"/>
        <v>-337264.88037155848</v>
      </c>
      <c r="AM60" s="89">
        <f t="shared" si="40"/>
        <v>0.15628281579856115</v>
      </c>
      <c r="AN60" s="91">
        <f t="shared" si="19"/>
        <v>0.15628281579856115</v>
      </c>
      <c r="AO60" s="54"/>
      <c r="AP60" s="53"/>
      <c r="AQ60" s="53"/>
      <c r="AR60" s="53"/>
      <c r="AS60" s="53"/>
      <c r="AT60" s="54"/>
      <c r="AU60" s="54"/>
      <c r="AV60" s="54"/>
      <c r="AW60" s="54"/>
      <c r="AX60" s="54"/>
      <c r="AY60" s="54"/>
      <c r="AZ60" s="53"/>
      <c r="BA60" s="53"/>
      <c r="BB60" s="54"/>
      <c r="BC60" s="54"/>
      <c r="BD60" s="54"/>
      <c r="BE60" s="54"/>
      <c r="BF60" s="54"/>
      <c r="BG60" s="54"/>
      <c r="BH60" s="54"/>
      <c r="BI60" s="54"/>
      <c r="BJ60" s="54"/>
      <c r="BK60" s="54"/>
      <c r="BL60" s="54"/>
      <c r="BM60" s="54"/>
      <c r="BN60" s="54"/>
      <c r="BO60" s="54"/>
      <c r="BP60" s="54"/>
      <c r="BQ60" s="53"/>
      <c r="BR60" s="53"/>
      <c r="BS60" s="54"/>
      <c r="BT60" s="54"/>
      <c r="BU60" s="68"/>
    </row>
    <row r="61" spans="1:73" x14ac:dyDescent="0.3">
      <c r="B61" s="13" t="s">
        <v>117</v>
      </c>
      <c r="C61" s="14" t="s">
        <v>118</v>
      </c>
      <c r="D61" s="63">
        <v>4.187017</v>
      </c>
      <c r="E61" s="63">
        <f>Tabelle2[[#This Row],[BIP (mrd.)]]*1000000000/Tabelle2[[#This Row],[Bevölkerung]]</f>
        <v>2.8857355569125493</v>
      </c>
      <c r="F61" s="63">
        <v>0.34</v>
      </c>
      <c r="G61" s="53">
        <v>3287260</v>
      </c>
      <c r="H61" s="63">
        <v>1450935790</v>
      </c>
      <c r="I61" s="88"/>
      <c r="J61" s="88">
        <f>Tabelle2[[#This Row],[Strom (mrd.)]]*1000000000/Tabelle2[[#This Row],[Bevölkerung]]</f>
        <v>0</v>
      </c>
      <c r="K61" s="53"/>
      <c r="L61" s="53">
        <f>Tabelle2[[#This Row],[Wohnimmobilien Anzahl]]/Tabelle2[[#This Row],[Bevölkerung]]</f>
        <v>0</v>
      </c>
      <c r="M61" s="53">
        <f t="shared" si="41"/>
        <v>0</v>
      </c>
      <c r="N61" s="53" t="str">
        <f t="shared" si="32"/>
        <v/>
      </c>
      <c r="O61" s="53"/>
      <c r="P61" s="53"/>
      <c r="Q61" s="53">
        <f>1000000*Tabelle2[[#This Row],[Bevölkerung]]*EXP(-17.8941+0.2965*LN((Tabelle2[[#This Row],[BIP (mrd.)]]*1000000000)/Tabelle2[[#This Row],[Bevölkerung]]))</f>
        <v>33636079.186823905</v>
      </c>
      <c r="R61" s="53" t="str">
        <f t="shared" si="33"/>
        <v/>
      </c>
      <c r="S61" s="53" t="str">
        <f t="shared" si="34"/>
        <v/>
      </c>
      <c r="T61" s="53">
        <f>1000000*Tabelle2[[#This Row],[Bevölkerung]]*EXP(-14.22+0.2263*LN((Tabelle2[[#This Row],[BIP (mrd.)]]*1000000000)/Tabelle2[[#This Row],[Bevölkerung]]))</f>
        <v>1230656114.2609227</v>
      </c>
      <c r="U61" s="53" t="str">
        <f t="shared" si="35"/>
        <v/>
      </c>
      <c r="V61" s="53" t="str">
        <f t="shared" si="36"/>
        <v/>
      </c>
      <c r="W61" s="54"/>
      <c r="X61" s="54"/>
      <c r="Y61" s="54" t="str">
        <f t="shared" si="42"/>
        <v/>
      </c>
      <c r="Z61" s="54" t="str">
        <f t="shared" si="43"/>
        <v/>
      </c>
      <c r="AA61" s="54"/>
      <c r="AB61" s="54"/>
      <c r="AC61" s="54"/>
      <c r="AD61" s="54"/>
      <c r="AE61" s="54"/>
      <c r="AF61" s="54"/>
      <c r="AG61" s="54"/>
      <c r="AH61" s="54"/>
      <c r="AI61" s="54">
        <v>0</v>
      </c>
      <c r="AJ61" s="54"/>
      <c r="AK61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48377493.084586024</v>
      </c>
      <c r="AL61" s="54" t="str">
        <f t="shared" si="39"/>
        <v/>
      </c>
      <c r="AM61" s="89" t="str">
        <f t="shared" si="40"/>
        <v/>
      </c>
      <c r="AN61" s="91"/>
      <c r="AO61" s="54"/>
      <c r="AP61" s="53"/>
      <c r="AQ61" s="53"/>
      <c r="AR61" s="53"/>
      <c r="AS61" s="53"/>
      <c r="AT61" s="54"/>
      <c r="AU61" s="54"/>
      <c r="AV61" s="54"/>
      <c r="AW61" s="54"/>
      <c r="AX61" s="54"/>
      <c r="AY61" s="54"/>
      <c r="AZ61" s="53"/>
      <c r="BA61" s="53"/>
      <c r="BB61" s="54"/>
      <c r="BC61" s="54"/>
      <c r="BD61" s="54"/>
      <c r="BE61" s="54"/>
      <c r="BF61" s="54"/>
      <c r="BG61" s="54"/>
      <c r="BH61" s="54"/>
      <c r="BI61" s="54"/>
      <c r="BJ61" s="54"/>
      <c r="BK61" s="54"/>
      <c r="BL61" s="54"/>
      <c r="BM61" s="54"/>
      <c r="BN61" s="54"/>
      <c r="BO61" s="54"/>
      <c r="BP61" s="54"/>
      <c r="BQ61" s="53"/>
      <c r="BR61" s="53"/>
      <c r="BS61" s="54"/>
      <c r="BT61" s="54"/>
      <c r="BU61" s="68"/>
    </row>
    <row r="62" spans="1:73" x14ac:dyDescent="0.3">
      <c r="B62" s="17" t="s">
        <v>119</v>
      </c>
      <c r="C62" s="18" t="s">
        <v>120</v>
      </c>
      <c r="D62" s="63">
        <v>1429.7429999999999</v>
      </c>
      <c r="E62" s="63">
        <f>Tabelle2[[#This Row],[BIP (mrd.)]]*1000000000/Tabelle2[[#This Row],[Bevölkerung]]</f>
        <v>5043.3999077138842</v>
      </c>
      <c r="F62" s="63">
        <v>0.55300000000000005</v>
      </c>
      <c r="G62" s="53">
        <v>1916907</v>
      </c>
      <c r="H62" s="63">
        <v>283487930</v>
      </c>
      <c r="I62" s="88">
        <v>356.13499999999999</v>
      </c>
      <c r="J62" s="88">
        <f>Tabelle2[[#This Row],[Strom (mrd.)]]*1000000000/Tabelle2[[#This Row],[Bevölkerung]]</f>
        <v>1256.2615981569304</v>
      </c>
      <c r="K62" s="53"/>
      <c r="L62" s="53">
        <f>1000000*Tabelle2[[#This Row],[Bevölkerung]]*EXP(-15.4183+0.052*LN((Tabelle2[[#This Row],[BIP (mrd.)]]*1000000000)/Tabelle2[[#This Row],[Bevölkerung]]))</f>
        <v>88918797.2349374</v>
      </c>
      <c r="M62" s="53" t="str">
        <f>IF(AND(ISNUMBER(K62), ISNUMBER(L62)), K62-L62, "")</f>
        <v/>
      </c>
      <c r="N62" s="65" t="str">
        <f t="shared" si="32"/>
        <v/>
      </c>
      <c r="O62" s="53"/>
      <c r="P62" s="53">
        <v>55303268</v>
      </c>
      <c r="Q62" s="53">
        <f>1000000*Tabelle2[[#This Row],[Bevölkerung]]*EXP(-17.8941+0.2965*LN((Tabelle2[[#This Row],[BIP (mrd.)]]*1000000000)/Tabelle2[[#This Row],[Bevölkerung]]))</f>
        <v>60128888.251877405</v>
      </c>
      <c r="R62" s="53">
        <f t="shared" si="33"/>
        <v>-4825620.2518774047</v>
      </c>
      <c r="S62" s="65">
        <f t="shared" si="34"/>
        <v>8.7257415816320377E-2</v>
      </c>
      <c r="T62" s="53">
        <f>1000000*Tabelle2[[#This Row],[Wohneinheiten Anzahl]]*EXP(-14.22+0.02263*LN((Tabelle2[[#This Row],[BIP (mrd.)]]*1000000000)/Tabelle2[[#This Row],[Bevölkerung]]))</f>
        <v>57162058.519306131</v>
      </c>
      <c r="U62" s="65">
        <f t="shared" si="35"/>
        <v>-1858790.5193061307</v>
      </c>
      <c r="V62" s="65">
        <f t="shared" si="36"/>
        <v>3.36108621882188E-2</v>
      </c>
      <c r="W62" s="54"/>
      <c r="X62" s="53">
        <f>1000000*Tabelle2[[#This Row],[Bevölkerung]]*EXP(-17.9119+0.2965*LN((Tabelle2[[#This Row],[BIP (mrd.)]]*1000000000)/Tabelle2[[#This Row],[Bevölkerung]]))</f>
        <v>59068063.391416721</v>
      </c>
      <c r="Y62" s="53" t="str">
        <f t="shared" si="42"/>
        <v/>
      </c>
      <c r="Z62" s="65" t="str">
        <f t="shared" si="43"/>
        <v/>
      </c>
      <c r="AA62" s="54"/>
      <c r="AB62" s="54"/>
      <c r="AC62" s="54"/>
      <c r="AD62" s="54"/>
      <c r="AE62" s="54"/>
      <c r="AF62" s="54"/>
      <c r="AG62" s="54"/>
      <c r="AH62" s="54">
        <v>0</v>
      </c>
      <c r="AI62" s="54" t="s">
        <v>988</v>
      </c>
      <c r="AJ62" s="54">
        <v>70628952</v>
      </c>
      <c r="AK62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72024577.844055593</v>
      </c>
      <c r="AL62" s="54">
        <f t="shared" si="39"/>
        <v>-1395625.844055593</v>
      </c>
      <c r="AM62" s="89">
        <f t="shared" si="40"/>
        <v>1.9759968179275732E-2</v>
      </c>
      <c r="AN62" s="91">
        <f t="shared" si="19"/>
        <v>1.9759968179275732E-2</v>
      </c>
      <c r="AO62" s="54"/>
      <c r="AP62" s="53"/>
      <c r="AQ62" s="53"/>
      <c r="AR62" s="53"/>
      <c r="AS62" s="53"/>
      <c r="AT62" s="54"/>
      <c r="AU62" s="54"/>
      <c r="AV62" s="54"/>
      <c r="AW62" s="54"/>
      <c r="AX62" s="54"/>
      <c r="AY62" s="54"/>
      <c r="AZ62" s="53"/>
      <c r="BA62" s="53"/>
      <c r="BB62" s="54"/>
      <c r="BC62" s="54"/>
      <c r="BD62" s="54"/>
      <c r="BE62" s="54"/>
      <c r="BF62" s="54"/>
      <c r="BG62" s="54"/>
      <c r="BH62" s="54"/>
      <c r="BI62" s="54"/>
      <c r="BJ62" s="54"/>
      <c r="BK62" s="54"/>
      <c r="BL62" s="54"/>
      <c r="BM62" s="54"/>
      <c r="BN62" s="54"/>
      <c r="BO62" s="54"/>
      <c r="BP62" s="54"/>
      <c r="BQ62" s="53"/>
      <c r="BR62" s="53"/>
      <c r="BS62" s="54"/>
      <c r="BT62" s="54"/>
      <c r="BU62" s="68"/>
    </row>
    <row r="63" spans="1:73" x14ac:dyDescent="0.3">
      <c r="B63" s="22" t="s">
        <v>121</v>
      </c>
      <c r="C63" s="23" t="s">
        <v>122</v>
      </c>
      <c r="D63" s="63">
        <v>0.25801999999999997</v>
      </c>
      <c r="E63" s="63">
        <f>Tabelle2[[#This Row],[BIP (mrd.)]]*1000000000/Tabelle2[[#This Row],[Bevölkerung]]</f>
        <v>5.6040125094451776</v>
      </c>
      <c r="F63" s="63">
        <v>0.70499999999999996</v>
      </c>
      <c r="G63" s="53">
        <v>435050</v>
      </c>
      <c r="H63" s="63">
        <v>46042010</v>
      </c>
      <c r="I63" s="88"/>
      <c r="J63" s="88">
        <f>Tabelle2[[#This Row],[Strom (mrd.)]]*1000000000/Tabelle2[[#This Row],[Bevölkerung]]</f>
        <v>0</v>
      </c>
      <c r="K63" s="53"/>
      <c r="L63" s="53">
        <f>Tabelle2[[#This Row],[Wohnimmobilien Anzahl]]/Tabelle2[[#This Row],[Bevölkerung]]</f>
        <v>0</v>
      </c>
      <c r="M63" s="53">
        <f t="shared" si="41"/>
        <v>0</v>
      </c>
      <c r="N63" s="53" t="str">
        <f t="shared" si="32"/>
        <v/>
      </c>
      <c r="O63" s="53"/>
      <c r="P63" s="53"/>
      <c r="Q63" s="53">
        <f>1000000*Tabelle2[[#This Row],[Bevölkerung]]*EXP(-17.8941+0.2965*LN((Tabelle2[[#This Row],[BIP (mrd.)]]*1000000000)/Tabelle2[[#This Row],[Bevölkerung]]))</f>
        <v>1299497.2602076018</v>
      </c>
      <c r="R63" s="53" t="str">
        <f t="shared" si="33"/>
        <v/>
      </c>
      <c r="S63" s="53" t="str">
        <f t="shared" si="34"/>
        <v/>
      </c>
      <c r="T63" s="53">
        <f>1000000*Tabelle2[[#This Row],[Wohneinheiten Anzahl]]*EXP(-14.22+0.02263*LN((Tabelle2[[#This Row],[BIP (mrd.)]]*1000000000)/Tabelle2[[#This Row],[Bevölkerung]]))</f>
        <v>0</v>
      </c>
      <c r="U63" s="53" t="str">
        <f t="shared" si="35"/>
        <v/>
      </c>
      <c r="V63" s="53" t="str">
        <f t="shared" si="36"/>
        <v/>
      </c>
      <c r="W63" s="54"/>
      <c r="X63" s="54"/>
      <c r="Y63" s="54" t="str">
        <f t="shared" si="42"/>
        <v/>
      </c>
      <c r="Z63" s="54" t="str">
        <f t="shared" si="43"/>
        <v/>
      </c>
      <c r="AA63" s="54"/>
      <c r="AB63" s="54"/>
      <c r="AC63" s="54"/>
      <c r="AD63" s="54"/>
      <c r="AE63" s="54"/>
      <c r="AF63" s="54"/>
      <c r="AG63" s="54"/>
      <c r="AH63" s="54"/>
      <c r="AI63" s="54">
        <v>0</v>
      </c>
      <c r="AJ63" s="54"/>
      <c r="AK63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1838872.4656161519</v>
      </c>
      <c r="AL63" s="54" t="str">
        <f t="shared" si="39"/>
        <v/>
      </c>
      <c r="AM63" s="89" t="str">
        <f t="shared" si="40"/>
        <v/>
      </c>
      <c r="AN63" s="91"/>
      <c r="AO63" s="54"/>
      <c r="AP63" s="53"/>
      <c r="AQ63" s="53"/>
      <c r="AR63" s="53"/>
      <c r="AS63" s="53"/>
      <c r="AT63" s="54"/>
      <c r="AU63" s="54"/>
      <c r="AV63" s="54"/>
      <c r="AW63" s="54"/>
      <c r="AX63" s="54"/>
      <c r="AY63" s="54"/>
      <c r="AZ63" s="53"/>
      <c r="BA63" s="53"/>
      <c r="BB63" s="54"/>
      <c r="BC63" s="54"/>
      <c r="BD63" s="54"/>
      <c r="BE63" s="54"/>
      <c r="BF63" s="54"/>
      <c r="BG63" s="54"/>
      <c r="BH63" s="54"/>
      <c r="BI63" s="54"/>
      <c r="BJ63" s="54"/>
      <c r="BK63" s="54"/>
      <c r="BL63" s="54"/>
      <c r="BM63" s="54"/>
      <c r="BN63" s="54"/>
      <c r="BO63" s="54"/>
      <c r="BP63" s="54"/>
      <c r="BQ63" s="53"/>
      <c r="BR63" s="53"/>
      <c r="BS63" s="54"/>
      <c r="BT63" s="54"/>
      <c r="BU63" s="68"/>
    </row>
    <row r="64" spans="1:73" x14ac:dyDescent="0.3">
      <c r="B64" s="4" t="s">
        <v>123</v>
      </c>
      <c r="C64" s="5" t="s">
        <v>124</v>
      </c>
      <c r="D64" s="63">
        <v>0.3410129999999999</v>
      </c>
      <c r="E64" s="63">
        <f>Tabelle2[[#This Row],[BIP (mrd.)]]*1000000000/Tabelle2[[#This Row],[Bevölkerung]]</f>
        <v>3.724160932660344</v>
      </c>
      <c r="F64" s="63">
        <v>0.749</v>
      </c>
      <c r="G64" s="53">
        <v>1745150</v>
      </c>
      <c r="H64" s="63">
        <v>91567740</v>
      </c>
      <c r="I64" s="88"/>
      <c r="J64" s="88">
        <f>Tabelle2[[#This Row],[Strom (mrd.)]]*1000000000/Tabelle2[[#This Row],[Bevölkerung]]</f>
        <v>0</v>
      </c>
      <c r="K64" s="53"/>
      <c r="L64" s="53">
        <f>Tabelle2[[#This Row],[Wohnimmobilien Anzahl]]/Tabelle2[[#This Row],[Bevölkerung]]</f>
        <v>0</v>
      </c>
      <c r="M64" s="53">
        <f t="shared" si="41"/>
        <v>0</v>
      </c>
      <c r="N64" s="53" t="str">
        <f t="shared" si="32"/>
        <v/>
      </c>
      <c r="O64" s="53"/>
      <c r="P64" s="53"/>
      <c r="Q64" s="53">
        <f>1000000*Tabelle2[[#This Row],[Bevölkerung]]*EXP(-17.8941+0.2965*LN((Tabelle2[[#This Row],[BIP (mrd.)]]*1000000000)/Tabelle2[[#This Row],[Bevölkerung]]))</f>
        <v>2289515.2426929232</v>
      </c>
      <c r="R64" s="53" t="str">
        <f t="shared" si="33"/>
        <v/>
      </c>
      <c r="S64" s="53" t="str">
        <f t="shared" si="34"/>
        <v/>
      </c>
      <c r="T64" s="53">
        <f>1000000*Tabelle2[[#This Row],[Bevölkerung]]*EXP(-14.22+0.2263*LN((Tabelle2[[#This Row],[BIP (mrd.)]]*1000000000)/Tabelle2[[#This Row],[Bevölkerung]]))</f>
        <v>82280836.586246565</v>
      </c>
      <c r="U64" s="53" t="str">
        <f t="shared" si="35"/>
        <v/>
      </c>
      <c r="V64" s="53" t="str">
        <f t="shared" si="36"/>
        <v/>
      </c>
      <c r="W64" s="54"/>
      <c r="X64" s="54"/>
      <c r="Y64" s="54" t="str">
        <f t="shared" si="42"/>
        <v/>
      </c>
      <c r="Z64" s="54" t="str">
        <f t="shared" si="43"/>
        <v/>
      </c>
      <c r="AA64" s="54"/>
      <c r="AB64" s="54"/>
      <c r="AC64" s="54"/>
      <c r="AD64" s="54"/>
      <c r="AE64" s="54"/>
      <c r="AF64" s="54"/>
      <c r="AG64" s="54"/>
      <c r="AH64" s="54"/>
      <c r="AI64" s="54">
        <v>0</v>
      </c>
      <c r="AJ64" s="54"/>
      <c r="AK64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3272410.1124528786</v>
      </c>
      <c r="AL64" s="54" t="str">
        <f t="shared" si="39"/>
        <v/>
      </c>
      <c r="AM64" s="89" t="str">
        <f t="shared" si="40"/>
        <v/>
      </c>
      <c r="AN64" s="91"/>
      <c r="AO64" s="54"/>
      <c r="AP64" s="53"/>
      <c r="AQ64" s="53"/>
      <c r="AR64" s="53"/>
      <c r="AS64" s="53"/>
      <c r="AT64" s="54"/>
      <c r="AU64" s="54"/>
      <c r="AV64" s="54"/>
      <c r="AW64" s="54"/>
      <c r="AX64" s="54"/>
      <c r="AY64" s="54"/>
      <c r="AZ64" s="53"/>
      <c r="BA64" s="53"/>
      <c r="BB64" s="54"/>
      <c r="BC64" s="54"/>
      <c r="BD64" s="54"/>
      <c r="BE64" s="54"/>
      <c r="BF64" s="54"/>
      <c r="BG64" s="54"/>
      <c r="BH64" s="54"/>
      <c r="BI64" s="54"/>
      <c r="BJ64" s="54"/>
      <c r="BK64" s="54"/>
      <c r="BL64" s="54"/>
      <c r="BM64" s="54"/>
      <c r="BN64" s="54"/>
      <c r="BO64" s="54"/>
      <c r="BP64" s="54"/>
      <c r="BQ64" s="53"/>
      <c r="BR64" s="53"/>
      <c r="BS64" s="54"/>
      <c r="BT64" s="54"/>
      <c r="BU64" s="68"/>
    </row>
    <row r="65" spans="2:73" x14ac:dyDescent="0.3">
      <c r="B65" s="11" t="s">
        <v>125</v>
      </c>
      <c r="C65" s="12" t="s">
        <v>126</v>
      </c>
      <c r="D65" s="63">
        <v>598.84</v>
      </c>
      <c r="E65" s="63">
        <f>Tabelle2[[#This Row],[BIP (mrd.)]]*1000000000/Tabelle2[[#This Row],[Bevölkerung]]</f>
        <v>111303.17122220859</v>
      </c>
      <c r="F65" s="63">
        <v>0.63200000000000001</v>
      </c>
      <c r="G65" s="53">
        <v>70280</v>
      </c>
      <c r="H65" s="63">
        <v>5380260</v>
      </c>
      <c r="I65" s="88">
        <v>32.281999999999996</v>
      </c>
      <c r="J65" s="88">
        <f>Tabelle2[[#This Row],[Strom (mrd.)]]*1000000000/Tabelle2[[#This Row],[Bevölkerung]]</f>
        <v>6000.0817804344024</v>
      </c>
      <c r="K65" s="53">
        <v>2090000</v>
      </c>
      <c r="L65" s="53">
        <f>1000000*Tabelle2[[#This Row],[Bevölkerung]]*EXP(-15.4183+0.052*LN((Tabelle2[[#This Row],[BIP (mrd.)]]*1000000000)/Tabelle2[[#This Row],[Bevölkerung]]))</f>
        <v>1982161.5390471716</v>
      </c>
      <c r="M65" s="53">
        <f t="shared" ref="M65:M66" si="48">IF(AND(ISNUMBER(K65), ISNUMBER(L65)), K65-L65, "")</f>
        <v>107838.46095282841</v>
      </c>
      <c r="N65" s="65">
        <f t="shared" si="32"/>
        <v>-5.1597349738195408E-2</v>
      </c>
      <c r="O65" s="53"/>
      <c r="P65" s="53">
        <v>1850000</v>
      </c>
      <c r="Q65" s="53">
        <f>1000000*Tabelle2[[#This Row],[Bevölkerung]]*EXP(-17.8941+0.2965*LN((Tabelle2[[#This Row],[BIP (mrd.)]]*1000000000)/Tabelle2[[#This Row],[Bevölkerung]]))</f>
        <v>2856168.7284776941</v>
      </c>
      <c r="R65" s="53">
        <f t="shared" si="33"/>
        <v>-1006168.7284776941</v>
      </c>
      <c r="S65" s="65">
        <f t="shared" si="34"/>
        <v>0.54387498836632109</v>
      </c>
      <c r="T65" s="53">
        <f>1000000*Tabelle2[[#This Row],[Wohneinheiten Anzahl]]*EXP(-14.22+0.02263*LN((Tabelle2[[#This Row],[BIP (mrd.)]]*1000000000)/Tabelle2[[#This Row],[Bevölkerung]]))</f>
        <v>1833385.2267864994</v>
      </c>
      <c r="U65" s="65">
        <f t="shared" si="35"/>
        <v>16614.773213500623</v>
      </c>
      <c r="V65" s="65">
        <f t="shared" si="36"/>
        <v>-8.9809584937841202E-3</v>
      </c>
      <c r="W65" s="54"/>
      <c r="X65" s="53">
        <f>1000000*Tabelle2[[#This Row],[Bevölkerung]]*EXP(-17.9119+0.2965*LN((Tabelle2[[#This Row],[BIP (mrd.)]]*1000000000)/Tabelle2[[#This Row],[Bevölkerung]]))</f>
        <v>2805778.7265846366</v>
      </c>
      <c r="Y65" s="53" t="str">
        <f t="shared" si="42"/>
        <v/>
      </c>
      <c r="Z65" s="65" t="str">
        <f t="shared" si="43"/>
        <v/>
      </c>
      <c r="AA65" s="54"/>
      <c r="AB65" s="54"/>
      <c r="AC65" s="54"/>
      <c r="AD65" s="54"/>
      <c r="AE65" s="54"/>
      <c r="AF65" s="54"/>
      <c r="AG65" s="54"/>
      <c r="AH65" s="54">
        <v>1</v>
      </c>
      <c r="AI65" s="54" t="s">
        <v>989</v>
      </c>
      <c r="AJ65" s="54">
        <v>2112121</v>
      </c>
      <c r="AK65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3171456.0477413139</v>
      </c>
      <c r="AL65" s="54">
        <f t="shared" si="39"/>
        <v>-1059335.0477413139</v>
      </c>
      <c r="AM65" s="89">
        <f t="shared" si="40"/>
        <v>0.50155035991844876</v>
      </c>
      <c r="AN65" s="91">
        <f t="shared" si="19"/>
        <v>0.50155035991844876</v>
      </c>
      <c r="AO65" s="54"/>
      <c r="AP65" s="53"/>
      <c r="AQ65" s="53"/>
      <c r="AR65" s="53"/>
      <c r="AS65" s="53"/>
      <c r="AT65" s="1"/>
      <c r="AU65" s="54"/>
      <c r="AV65" s="54">
        <v>40000</v>
      </c>
      <c r="AW65" s="54"/>
      <c r="AX65" s="54"/>
      <c r="AY65" s="54"/>
      <c r="AZ65" s="53"/>
      <c r="BA65" s="53"/>
      <c r="BB65" s="54"/>
      <c r="BC65" s="54"/>
      <c r="BD65" s="54">
        <v>42000</v>
      </c>
      <c r="BE65" s="54"/>
      <c r="BF65" s="54"/>
      <c r="BG65" s="54"/>
      <c r="BH65" s="54"/>
      <c r="BI65" s="54"/>
      <c r="BJ65" s="54"/>
      <c r="BK65" s="54">
        <v>4000</v>
      </c>
      <c r="BL65" s="54"/>
      <c r="BM65" s="54">
        <v>16000</v>
      </c>
      <c r="BN65" s="54"/>
      <c r="BO65" s="54"/>
      <c r="BP65" s="54"/>
      <c r="BQ65" s="53"/>
      <c r="BR65" s="53"/>
      <c r="BS65" s="54"/>
      <c r="BT65" s="54"/>
      <c r="BU65" s="68"/>
    </row>
    <row r="66" spans="2:73" x14ac:dyDescent="0.3">
      <c r="B66" s="2" t="s">
        <v>127</v>
      </c>
      <c r="C66" s="3" t="s">
        <v>128</v>
      </c>
      <c r="D66" s="63">
        <v>35.308999999999997</v>
      </c>
      <c r="E66" s="63">
        <f>Tabelle2[[#This Row],[BIP (mrd.)]]*1000000000/Tabelle2[[#This Row],[Bevölkerung]]</f>
        <v>87266.750698203206</v>
      </c>
      <c r="F66" s="63">
        <v>0.93799999999999994</v>
      </c>
      <c r="G66" s="53">
        <v>103000</v>
      </c>
      <c r="H66" s="63">
        <v>404610</v>
      </c>
      <c r="I66" s="88">
        <v>19.584</v>
      </c>
      <c r="J66" s="88">
        <f>Tabelle2[[#This Row],[Strom (mrd.)]]*1000000000/Tabelle2[[#This Row],[Bevölkerung]]</f>
        <v>48402.16504782383</v>
      </c>
      <c r="K66" s="53"/>
      <c r="L66" s="53">
        <f>1000000*Tabelle2[[#This Row],[Bevölkerung]]*EXP(-15.4183+0.052*LN((Tabelle2[[#This Row],[BIP (mrd.)]]*1000000000)/Tabelle2[[#This Row],[Bevölkerung]]))</f>
        <v>147189.94390678025</v>
      </c>
      <c r="M66" s="53" t="str">
        <f t="shared" si="48"/>
        <v/>
      </c>
      <c r="N66" s="65" t="str">
        <f t="shared" ref="N66:N97" si="49">IF(OR(K66=0,K66=""),"",(L66 - K66)/K66)</f>
        <v/>
      </c>
      <c r="O66" s="53"/>
      <c r="P66" s="53">
        <v>126793</v>
      </c>
      <c r="Q66" s="53">
        <f>1000000*Tabelle2[[#This Row],[Bevölkerung]]*EXP(-17.8941+0.2965*LN((Tabelle2[[#This Row],[BIP (mrd.)]]*1000000000)/Tabelle2[[#This Row],[Bevölkerung]]))</f>
        <v>199843.20885177533</v>
      </c>
      <c r="R66" s="53">
        <f t="shared" ref="R66:R97" si="50">IF(AND(ISNUMBER(P66), ISNUMBER(Q66)), P66-Q66, "")</f>
        <v>-73050.208851775329</v>
      </c>
      <c r="S66" s="65">
        <f t="shared" ref="S66:S97" si="51">IF(OR(P66=0,P66=""),"",(Q66 - P66)/P66)</f>
        <v>0.57613755374330866</v>
      </c>
      <c r="T66" s="53">
        <f>1000000*Tabelle2[[#This Row],[Wohneinheiten Anzahl]]*EXP(-14.22+0.02263*LN((Tabelle2[[#This Row],[BIP (mrd.)]]*1000000000)/Tabelle2[[#This Row],[Bevölkerung]]))</f>
        <v>128711.00864546638</v>
      </c>
      <c r="U66" s="65">
        <f t="shared" ref="U66:U97" si="52">IF(AND(ISNUMBER(P66), ISNUMBER(T66)), P66-T66, "")</f>
        <v>-1918.0086454663833</v>
      </c>
      <c r="V66" s="65">
        <f t="shared" ref="V66:V97" si="53">IF(OR(P66=0,P66=""),"",(T66 - P66)/P66)</f>
        <v>1.5127086238722826E-2</v>
      </c>
      <c r="W66" s="54"/>
      <c r="X66" s="53">
        <f>1000000*Tabelle2[[#This Row],[Bevölkerung]]*EXP(-17.9119+0.2965*LN((Tabelle2[[#This Row],[BIP (mrd.)]]*1000000000)/Tabelle2[[#This Row],[Bevölkerung]]))</f>
        <v>196317.47188394467</v>
      </c>
      <c r="Y66" s="53" t="str">
        <f t="shared" si="42"/>
        <v/>
      </c>
      <c r="Z66" s="65" t="str">
        <f t="shared" si="43"/>
        <v/>
      </c>
      <c r="AA66" s="54"/>
      <c r="AB66" s="54"/>
      <c r="AC66" s="54"/>
      <c r="AD66" s="54"/>
      <c r="AE66" s="54"/>
      <c r="AF66" s="54">
        <f>149098*0.532</f>
        <v>79320.135999999999</v>
      </c>
      <c r="AG66" s="54"/>
      <c r="AH66" s="54">
        <v>1</v>
      </c>
      <c r="AI66" s="54" t="s">
        <v>989</v>
      </c>
      <c r="AJ66" s="54">
        <v>149098</v>
      </c>
      <c r="AK66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223230.22403249814</v>
      </c>
      <c r="AL66" s="54">
        <f t="shared" ref="AL66:AL97" si="54">IF(AND(ISNUMBER(AJ66), ISNUMBER(AK66)), AJ66-AK66, "")</f>
        <v>-74132.224032498139</v>
      </c>
      <c r="AM66" s="89">
        <f t="shared" ref="AM66:AM97" si="55">IF(OR(AJ66=0,AJ66=""),"",(AK66 - AJ66)/AJ66)</f>
        <v>0.49720468438542531</v>
      </c>
      <c r="AN66" s="91">
        <f t="shared" si="19"/>
        <v>0.49720468438542531</v>
      </c>
      <c r="AO66" s="54"/>
      <c r="AP66" s="53"/>
      <c r="AQ66" s="53"/>
      <c r="AR66" s="53"/>
      <c r="AS66" s="53"/>
      <c r="AT66" s="54"/>
      <c r="AU66" s="54"/>
      <c r="AV66" s="54"/>
      <c r="AW66" s="54"/>
      <c r="AX66" s="54"/>
      <c r="AY66" s="54"/>
      <c r="AZ66" s="53"/>
      <c r="BA66" s="53"/>
      <c r="BB66" s="54">
        <v>4167</v>
      </c>
      <c r="BC66" s="54"/>
      <c r="BD66" s="54"/>
      <c r="BE66" s="54"/>
      <c r="BF66" s="54"/>
      <c r="BG66" s="54"/>
      <c r="BH66" s="54"/>
      <c r="BI66" s="54"/>
      <c r="BJ66" s="54"/>
      <c r="BK66" s="54"/>
      <c r="BL66" s="54"/>
      <c r="BM66" s="54"/>
      <c r="BN66" s="54"/>
      <c r="BO66" s="54"/>
      <c r="BP66" s="54"/>
      <c r="BQ66" s="53"/>
      <c r="BR66" s="53"/>
      <c r="BS66" s="54"/>
      <c r="BT66" s="54"/>
      <c r="BU66" s="68"/>
    </row>
    <row r="67" spans="2:73" x14ac:dyDescent="0.3">
      <c r="B67" s="17" t="s">
        <v>129</v>
      </c>
      <c r="C67" s="18" t="s">
        <v>130</v>
      </c>
      <c r="D67" s="63">
        <v>0.58336100000000002</v>
      </c>
      <c r="E67" s="63">
        <f>Tabelle2[[#This Row],[BIP (mrd.)]]*1000000000/Tabelle2[[#This Row],[Bevölkerung]]</f>
        <v>58.485823708694255</v>
      </c>
      <c r="F67" s="63">
        <v>0.92400000000000004</v>
      </c>
      <c r="G67" s="53">
        <v>22070</v>
      </c>
      <c r="H67" s="63">
        <v>9974400</v>
      </c>
      <c r="I67" s="88"/>
      <c r="J67" s="88">
        <f>Tabelle2[[#This Row],[Strom (mrd.)]]*1000000000/Tabelle2[[#This Row],[Bevölkerung]]</f>
        <v>0</v>
      </c>
      <c r="K67" s="53"/>
      <c r="L67" s="53">
        <f>Tabelle2[[#This Row],[Wohnimmobilien Anzahl]]/Tabelle2[[#This Row],[Bevölkerung]]</f>
        <v>0</v>
      </c>
      <c r="M67" s="53">
        <f t="shared" ref="M67:M97" si="56">L67-K67</f>
        <v>0</v>
      </c>
      <c r="N67" s="53" t="str">
        <f t="shared" si="49"/>
        <v/>
      </c>
      <c r="O67" s="53"/>
      <c r="P67" s="53"/>
      <c r="Q67" s="53">
        <f>1000000*Tabelle2[[#This Row],[Bevölkerung]]*EXP(-17.8941+0.2965*LN((Tabelle2[[#This Row],[BIP (mrd.)]]*1000000000)/Tabelle2[[#This Row],[Bevölkerung]]))</f>
        <v>564297.8532437539</v>
      </c>
      <c r="R67" s="53" t="str">
        <f t="shared" si="50"/>
        <v/>
      </c>
      <c r="S67" s="53" t="str">
        <f t="shared" si="51"/>
        <v/>
      </c>
      <c r="T67" s="53">
        <f>1000000*Tabelle2[[#This Row],[Bevölkerung]]*EXP(-14.22+0.2263*LN((Tabelle2[[#This Row],[BIP (mrd.)]]*1000000000)/Tabelle2[[#This Row],[Bevölkerung]]))</f>
        <v>16714862.223760804</v>
      </c>
      <c r="U67" s="53" t="str">
        <f t="shared" si="52"/>
        <v/>
      </c>
      <c r="V67" s="53" t="str">
        <f t="shared" si="53"/>
        <v/>
      </c>
      <c r="W67" s="54"/>
      <c r="X67" s="54"/>
      <c r="Y67" s="54" t="str">
        <f t="shared" ref="Y67:Y99" si="57">IF(AND(ISNUMBER(W67), ISNUMBER(X67)), W67-X67, "")</f>
        <v/>
      </c>
      <c r="Z67" s="54" t="str">
        <f t="shared" ref="Z67:Z99" si="58">IF(OR(W67=0,W67=""),"",(X67 - W67)/W67)</f>
        <v/>
      </c>
      <c r="AA67" s="54"/>
      <c r="AB67" s="54"/>
      <c r="AC67" s="54"/>
      <c r="AD67" s="54"/>
      <c r="AE67" s="54"/>
      <c r="AF67" s="54"/>
      <c r="AG67" s="54"/>
      <c r="AH67" s="54"/>
      <c r="AI67" s="54">
        <v>1</v>
      </c>
      <c r="AJ67" s="54"/>
      <c r="AK67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753928.97144144622</v>
      </c>
      <c r="AL67" s="54" t="str">
        <f t="shared" si="54"/>
        <v/>
      </c>
      <c r="AM67" s="89" t="str">
        <f t="shared" si="55"/>
        <v/>
      </c>
      <c r="AN67" s="91"/>
      <c r="AO67" s="54"/>
      <c r="AP67" s="53"/>
      <c r="AQ67" s="53"/>
      <c r="AR67" s="53"/>
      <c r="AS67" s="53"/>
      <c r="AT67" s="56"/>
      <c r="AU67" s="54"/>
      <c r="AV67" s="54"/>
      <c r="AW67" s="54"/>
      <c r="AX67" s="54"/>
      <c r="AY67" s="54"/>
      <c r="AZ67" s="53"/>
      <c r="BA67" s="53"/>
      <c r="BB67" s="54"/>
      <c r="BC67" s="54"/>
      <c r="BD67" s="54"/>
      <c r="BE67" s="54"/>
      <c r="BF67" s="54"/>
      <c r="BG67" s="54"/>
      <c r="BH67" s="54"/>
      <c r="BI67" s="54"/>
      <c r="BJ67" s="54"/>
      <c r="BK67" s="54"/>
      <c r="BL67" s="54"/>
      <c r="BM67" s="54"/>
      <c r="BN67" s="54"/>
      <c r="BO67" s="54"/>
      <c r="BP67" s="54"/>
      <c r="BQ67" s="53"/>
      <c r="BR67" s="53"/>
      <c r="BS67" s="54"/>
      <c r="BT67" s="54"/>
      <c r="BU67" s="68"/>
    </row>
    <row r="68" spans="2:73" x14ac:dyDescent="0.3">
      <c r="B68" s="13" t="s">
        <v>131</v>
      </c>
      <c r="C68" s="14" t="s">
        <v>132</v>
      </c>
      <c r="D68" s="63">
        <v>2422.855</v>
      </c>
      <c r="E68" s="63">
        <f>Tabelle2[[#This Row],[BIP (mrd.)]]*1000000000/Tabelle2[[#This Row],[Bevölkerung]]</f>
        <v>41075.071686477575</v>
      </c>
      <c r="F68" s="63">
        <v>0.70399999999999996</v>
      </c>
      <c r="G68" s="53">
        <v>302070</v>
      </c>
      <c r="H68" s="63">
        <v>58986020</v>
      </c>
      <c r="I68" s="88">
        <v>290.66399999999999</v>
      </c>
      <c r="J68" s="88">
        <f>Tabelle2[[#This Row],[Strom (mrd.)]]*1000000000/Tabelle2[[#This Row],[Bevölkerung]]</f>
        <v>4927.6760832482005</v>
      </c>
      <c r="K68" s="53">
        <v>14060000</v>
      </c>
      <c r="L68" s="53">
        <f>1000000*Tabelle2[[#This Row],[Bevölkerung]]*EXP(-15.4183+0.052*LN((Tabelle2[[#This Row],[BIP (mrd.)]]*1000000000)/Tabelle2[[#This Row],[Bevölkerung]]))</f>
        <v>20633483.573486298</v>
      </c>
      <c r="M68" s="53">
        <f t="shared" ref="M68:M70" si="59">IF(AND(ISNUMBER(K68), ISNUMBER(L68)), K68-L68, "")</f>
        <v>-6573483.5734862983</v>
      </c>
      <c r="N68" s="65">
        <f t="shared" si="49"/>
        <v>0.46753083737455892</v>
      </c>
      <c r="O68" s="53"/>
      <c r="P68" s="53">
        <v>25690057</v>
      </c>
      <c r="Q68" s="53">
        <f>1000000*Tabelle2[[#This Row],[Bevölkerung]]*EXP(-17.8941+0.2965*LN((Tabelle2[[#This Row],[BIP (mrd.)]]*1000000000)/Tabelle2[[#This Row],[Bevölkerung]]))</f>
        <v>23300550.401639652</v>
      </c>
      <c r="R68" s="53">
        <f t="shared" si="50"/>
        <v>2389506.5983603485</v>
      </c>
      <c r="S68" s="65">
        <f t="shared" si="51"/>
        <v>-9.301289593714597E-2</v>
      </c>
      <c r="T68" s="53">
        <f>1000000*Tabelle2[[#This Row],[Wohneinheiten Anzahl]]*EXP(-14.22+0.02263*LN((Tabelle2[[#This Row],[BIP (mrd.)]]*1000000000)/Tabelle2[[#This Row],[Bevölkerung]]))</f>
        <v>29934066.924003769</v>
      </c>
      <c r="U68" s="65">
        <f t="shared" si="52"/>
        <v>-4244009.9240037687</v>
      </c>
      <c r="V68" s="65">
        <f t="shared" si="53"/>
        <v>0.16520048686555147</v>
      </c>
      <c r="W68" s="54"/>
      <c r="X68" s="53">
        <f>1000000*Tabelle2[[#This Row],[Bevölkerung]]*EXP(-17.9119+0.2965*LN((Tabelle2[[#This Row],[BIP (mrd.)]]*1000000000)/Tabelle2[[#This Row],[Bevölkerung]]))</f>
        <v>22889470.07324684</v>
      </c>
      <c r="Y68" s="53" t="str">
        <f t="shared" si="57"/>
        <v/>
      </c>
      <c r="Z68" s="65" t="str">
        <f t="shared" si="58"/>
        <v/>
      </c>
      <c r="AA68" s="54"/>
      <c r="AB68" s="54"/>
      <c r="AC68" s="54"/>
      <c r="AD68" s="54"/>
      <c r="AE68" s="54"/>
      <c r="AF68" s="54"/>
      <c r="AG68" s="54"/>
      <c r="AH68" s="54">
        <v>1</v>
      </c>
      <c r="AI68" s="54" t="s">
        <v>989</v>
      </c>
      <c r="AJ68" s="54">
        <v>35271829</v>
      </c>
      <c r="AK68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26512322.958398916</v>
      </c>
      <c r="AL68" s="54">
        <f t="shared" si="54"/>
        <v>8759506.0416010842</v>
      </c>
      <c r="AM68" s="89">
        <f t="shared" si="55"/>
        <v>-0.24834283591024112</v>
      </c>
      <c r="AN68" s="91">
        <f t="shared" si="19"/>
        <v>0.24834283591024112</v>
      </c>
      <c r="AO68" s="54"/>
      <c r="AP68" s="53"/>
      <c r="AQ68" s="53"/>
      <c r="AR68" s="53"/>
      <c r="AS68" s="53"/>
      <c r="AT68" s="54"/>
      <c r="AU68" s="54"/>
      <c r="AV68" s="54"/>
      <c r="AW68" s="54"/>
      <c r="AX68" s="54"/>
      <c r="AY68" s="54"/>
      <c r="AZ68" s="53"/>
      <c r="BA68" s="53"/>
      <c r="BB68" s="54"/>
      <c r="BC68" s="54"/>
      <c r="BD68" s="54"/>
      <c r="BE68" s="54"/>
      <c r="BF68" s="54"/>
      <c r="BG68" s="54"/>
      <c r="BH68" s="54"/>
      <c r="BI68" s="54"/>
      <c r="BJ68" s="54"/>
      <c r="BK68" s="54"/>
      <c r="BL68" s="54"/>
      <c r="BM68" s="54"/>
      <c r="BN68" s="54"/>
      <c r="BO68" s="54"/>
      <c r="BP68" s="54"/>
      <c r="BQ68" s="53"/>
      <c r="BR68" s="53"/>
      <c r="BS68" s="54"/>
      <c r="BT68" s="54"/>
      <c r="BU68" s="68"/>
    </row>
    <row r="69" spans="2:73" x14ac:dyDescent="0.3">
      <c r="B69" s="2" t="s">
        <v>133</v>
      </c>
      <c r="C69" s="3" t="s">
        <v>134</v>
      </c>
      <c r="D69" s="63">
        <v>21.411000000000001</v>
      </c>
      <c r="E69" s="63">
        <f>Tabelle2[[#This Row],[BIP (mrd.)]]*1000000000/Tabelle2[[#This Row],[Bevölkerung]]</f>
        <v>7541.2619136511248</v>
      </c>
      <c r="F69" s="63">
        <v>0.55700000000000005</v>
      </c>
      <c r="G69" s="53">
        <v>10990</v>
      </c>
      <c r="H69" s="63">
        <v>2839180</v>
      </c>
      <c r="I69" s="88">
        <v>3.3010000000000002</v>
      </c>
      <c r="J69" s="88">
        <f>Tabelle2[[#This Row],[Strom (mrd.)]]*1000000000/Tabelle2[[#This Row],[Bevölkerung]]</f>
        <v>1162.659641163998</v>
      </c>
      <c r="K69" s="53">
        <v>711331</v>
      </c>
      <c r="L69" s="53">
        <f>1000000*Tabelle2[[#This Row],[Bevölkerung]]*EXP(-15.4183+0.052*LN((Tabelle2[[#This Row],[BIP (mrd.)]]*1000000000)/Tabelle2[[#This Row],[Bevölkerung]]))</f>
        <v>909363.26438288961</v>
      </c>
      <c r="M69" s="53">
        <f t="shared" si="59"/>
        <v>-198032.26438288961</v>
      </c>
      <c r="N69" s="65">
        <f t="shared" si="49"/>
        <v>0.27839678628218034</v>
      </c>
      <c r="O69" s="53"/>
      <c r="P69" s="53"/>
      <c r="Q69" s="53">
        <f>1000000*Tabelle2[[#This Row],[Bevölkerung]]*EXP(-17.8941+0.2965*LN((Tabelle2[[#This Row],[BIP (mrd.)]]*1000000000)/Tabelle2[[#This Row],[Bevölkerung]]))</f>
        <v>678494.28148434358</v>
      </c>
      <c r="R69" s="53" t="str">
        <f t="shared" si="50"/>
        <v/>
      </c>
      <c r="S69" s="53" t="str">
        <f t="shared" si="51"/>
        <v/>
      </c>
      <c r="T69" s="53">
        <f>1000000*Tabelle2[[#This Row],[Bevölkerung]]*EXP(-14.22+0.2263*LN((Tabelle2[[#This Row],[BIP (mrd.)]]*1000000000)/Tabelle2[[#This Row],[Bevölkerung]]))</f>
        <v>14288642.721832113</v>
      </c>
      <c r="U69" s="53" t="str">
        <f t="shared" si="52"/>
        <v/>
      </c>
      <c r="V69" s="53" t="str">
        <f t="shared" si="53"/>
        <v/>
      </c>
      <c r="W69" s="54"/>
      <c r="X69" s="53">
        <f>1000000*Tabelle2[[#This Row],[Bevölkerung]]*EXP(-17.9119+0.2965*LN((Tabelle2[[#This Row],[BIP (mrd.)]]*1000000000)/Tabelle2[[#This Row],[Bevölkerung]]))</f>
        <v>666523.93540935975</v>
      </c>
      <c r="Y69" s="53" t="str">
        <f t="shared" si="57"/>
        <v/>
      </c>
      <c r="Z69" s="65" t="str">
        <f t="shared" si="58"/>
        <v/>
      </c>
      <c r="AA69" s="54"/>
      <c r="AB69" s="54"/>
      <c r="AC69" s="54"/>
      <c r="AD69" s="54"/>
      <c r="AE69" s="54"/>
      <c r="AF69" s="54"/>
      <c r="AG69" s="54"/>
      <c r="AH69" s="54">
        <v>0</v>
      </c>
      <c r="AI69" s="54" t="s">
        <v>988</v>
      </c>
      <c r="AJ69" s="54">
        <v>853668</v>
      </c>
      <c r="AK69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804753.94276008126</v>
      </c>
      <c r="AL69" s="54">
        <f t="shared" si="54"/>
        <v>48914.057239918737</v>
      </c>
      <c r="AM69" s="89">
        <f t="shared" si="55"/>
        <v>-5.7298688998438194E-2</v>
      </c>
      <c r="AN69" s="91">
        <f t="shared" si="19"/>
        <v>5.7298688998438194E-2</v>
      </c>
      <c r="AO69" s="54"/>
      <c r="AP69" s="53"/>
      <c r="AQ69" s="53"/>
      <c r="AR69" s="53"/>
      <c r="AS69" s="53"/>
      <c r="AT69" s="54"/>
      <c r="AU69" s="54"/>
      <c r="AV69" s="54"/>
      <c r="AW69" s="54"/>
      <c r="AX69" s="54"/>
      <c r="AY69" s="54"/>
      <c r="AZ69" s="53"/>
      <c r="BA69" s="53"/>
      <c r="BB69" s="54"/>
      <c r="BC69" s="54"/>
      <c r="BD69" s="54"/>
      <c r="BE69" s="54"/>
      <c r="BF69" s="54"/>
      <c r="BG69" s="54"/>
      <c r="BH69" s="54"/>
      <c r="BI69" s="54"/>
      <c r="BJ69" s="54"/>
      <c r="BK69" s="54"/>
      <c r="BL69" s="54"/>
      <c r="BM69" s="54"/>
      <c r="BN69" s="54"/>
      <c r="BO69" s="54"/>
      <c r="BP69" s="54"/>
      <c r="BQ69" s="53"/>
      <c r="BR69" s="53"/>
      <c r="BS69" s="54"/>
      <c r="BT69" s="54"/>
      <c r="BU69" s="68"/>
    </row>
    <row r="70" spans="2:73" x14ac:dyDescent="0.3">
      <c r="B70" s="9" t="s">
        <v>135</v>
      </c>
      <c r="C70" s="10" t="s">
        <v>136</v>
      </c>
      <c r="D70" s="63">
        <v>4186.4309999999996</v>
      </c>
      <c r="E70" s="63">
        <f>Tabelle2[[#This Row],[BIP (mrd.)]]*1000000000/Tabelle2[[#This Row],[Bevölkerung]]</f>
        <v>33768.247676937761</v>
      </c>
      <c r="F70" s="63">
        <v>0.91600000000000004</v>
      </c>
      <c r="G70" s="53">
        <v>377969</v>
      </c>
      <c r="H70" s="63">
        <v>123975370</v>
      </c>
      <c r="I70" s="88">
        <v>902.76900000000001</v>
      </c>
      <c r="J70" s="88">
        <f>Tabelle2[[#This Row],[Strom (mrd.)]]*1000000000/Tabelle2[[#This Row],[Bevölkerung]]</f>
        <v>7281.8415464297468</v>
      </c>
      <c r="K70" s="87"/>
      <c r="L70" s="87">
        <f>1000000*Tabelle2[[#This Row],[Bevölkerung]]*EXP(-15.4183+0.052*LN((Tabelle2[[#This Row],[BIP (mrd.)]]*1000000000)/Tabelle2[[#This Row],[Bevölkerung]]))</f>
        <v>42927465.321078196</v>
      </c>
      <c r="M70" s="87" t="str">
        <f t="shared" si="59"/>
        <v/>
      </c>
      <c r="N70" s="92" t="str">
        <f t="shared" si="49"/>
        <v/>
      </c>
      <c r="O70" s="53"/>
      <c r="P70" s="53"/>
      <c r="Q70" s="53">
        <f>1000000*Tabelle2[[#This Row],[Bevölkerung]]*EXP(-17.8941+0.2965*LN((Tabelle2[[#This Row],[BIP (mrd.)]]*1000000000)/Tabelle2[[#This Row],[Bevölkerung]]))</f>
        <v>46209290.671687104</v>
      </c>
      <c r="R70" s="53" t="str">
        <f t="shared" si="50"/>
        <v/>
      </c>
      <c r="S70" s="53" t="str">
        <f t="shared" si="51"/>
        <v/>
      </c>
      <c r="T70" s="53">
        <f>1000000*Tabelle2[[#This Row],[Bevölkerung]]*EXP(-14.22+0.2263*LN((Tabelle2[[#This Row],[BIP (mrd.)]]*1000000000)/Tabelle2[[#This Row],[Bevölkerung]]))</f>
        <v>875929916.6124289</v>
      </c>
      <c r="U70" s="53" t="str">
        <f t="shared" si="52"/>
        <v/>
      </c>
      <c r="V70" s="53" t="str">
        <f t="shared" si="53"/>
        <v/>
      </c>
      <c r="W70" s="87">
        <v>29319000</v>
      </c>
      <c r="X70" s="87">
        <f>1000000*Tabelle2[[#This Row],[Bevölkerung]]*EXP(-15.6892+0.034*LN((Tabelle2[[#This Row],[BIP (mrd.)]]*1000000000)/Tabelle2[[#This Row],[Bevölkerung]]))</f>
        <v>27137617.536964353</v>
      </c>
      <c r="Y70" s="87">
        <f t="shared" si="57"/>
        <v>2181382.4630356468</v>
      </c>
      <c r="Z70" s="92">
        <f t="shared" si="58"/>
        <v>-7.4401666599667349E-2</v>
      </c>
      <c r="AA70" s="54"/>
      <c r="AB70" s="54"/>
      <c r="AC70" s="54"/>
      <c r="AD70" s="54">
        <v>1265000</v>
      </c>
      <c r="AE70" s="54"/>
      <c r="AF70" s="54"/>
      <c r="AG70" s="54">
        <v>24968000</v>
      </c>
      <c r="AH70" s="54">
        <v>1</v>
      </c>
      <c r="AI70" s="54" t="s">
        <v>989</v>
      </c>
      <c r="AJ70" s="54">
        <v>65047000</v>
      </c>
      <c r="AK70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52831764.301825382</v>
      </c>
      <c r="AL70" s="54">
        <f t="shared" si="54"/>
        <v>12215235.698174618</v>
      </c>
      <c r="AM70" s="89">
        <f t="shared" si="55"/>
        <v>-0.1877909157712826</v>
      </c>
      <c r="AN70" s="91">
        <f t="shared" si="19"/>
        <v>0.1877909157712826</v>
      </c>
      <c r="AO70" s="54"/>
      <c r="AP70" s="53"/>
      <c r="AQ70" s="53"/>
      <c r="AR70" s="53"/>
      <c r="AS70" s="53"/>
      <c r="AT70" s="54"/>
      <c r="AU70" s="54"/>
      <c r="AV70" s="54"/>
      <c r="AW70" s="54"/>
      <c r="AX70" s="54"/>
      <c r="AY70" s="54"/>
      <c r="AZ70" s="53"/>
      <c r="BA70" s="53"/>
      <c r="BB70" s="54"/>
      <c r="BC70" s="54"/>
      <c r="BD70" s="54"/>
      <c r="BE70" s="54"/>
      <c r="BF70" s="54"/>
      <c r="BG70" s="54"/>
      <c r="BH70" s="54"/>
      <c r="BI70" s="54"/>
      <c r="BJ70" s="54"/>
      <c r="BK70" s="54"/>
      <c r="BL70" s="54"/>
      <c r="BM70" s="54"/>
      <c r="BN70" s="54"/>
      <c r="BO70" s="54"/>
      <c r="BP70" s="54"/>
      <c r="BQ70" s="53"/>
      <c r="BR70" s="53"/>
      <c r="BS70" s="54"/>
      <c r="BT70" s="54"/>
      <c r="BU70" s="68"/>
    </row>
    <row r="71" spans="2:73" x14ac:dyDescent="0.3">
      <c r="B71" s="4" t="s">
        <v>137</v>
      </c>
      <c r="C71" s="5" t="s">
        <v>138</v>
      </c>
      <c r="D71" s="63">
        <v>1.7401E-2</v>
      </c>
      <c r="E71" s="63">
        <f>Tabelle2[[#This Row],[BIP (mrd.)]]*1000000000/Tabelle2[[#This Row],[Bevölkerung]]</f>
        <v>0.42877390523557063</v>
      </c>
      <c r="F71" s="63">
        <v>0.36599999999999999</v>
      </c>
      <c r="G71" s="53">
        <v>527970</v>
      </c>
      <c r="H71" s="63">
        <v>40583160</v>
      </c>
      <c r="I71" s="88"/>
      <c r="J71" s="88">
        <f>Tabelle2[[#This Row],[Strom (mrd.)]]*1000000000/Tabelle2[[#This Row],[Bevölkerung]]</f>
        <v>0</v>
      </c>
      <c r="K71" s="53"/>
      <c r="L71" s="53">
        <f>Tabelle2[[#This Row],[Wohnimmobilien Anzahl]]/Tabelle2[[#This Row],[Bevölkerung]]</f>
        <v>0</v>
      </c>
      <c r="M71" s="53">
        <f t="shared" si="56"/>
        <v>0</v>
      </c>
      <c r="N71" s="53" t="str">
        <f t="shared" si="49"/>
        <v/>
      </c>
      <c r="O71" s="53"/>
      <c r="P71" s="53"/>
      <c r="Q71" s="53">
        <f>1000000*Tabelle2[[#This Row],[Bevölkerung]]*EXP(-17.8941+0.2965*LN((Tabelle2[[#This Row],[BIP (mrd.)]]*1000000000)/Tabelle2[[#This Row],[Bevölkerung]]))</f>
        <v>534555.34507028095</v>
      </c>
      <c r="R71" s="53" t="str">
        <f t="shared" si="50"/>
        <v/>
      </c>
      <c r="S71" s="53" t="str">
        <f t="shared" si="51"/>
        <v/>
      </c>
      <c r="T71" s="53">
        <f>1000000*Tabelle2[[#This Row],[Bevölkerung]]*EXP(-14.22+0.2263*LN((Tabelle2[[#This Row],[BIP (mrd.)]]*1000000000)/Tabelle2[[#This Row],[Bevölkerung]]))</f>
        <v>22358960.178867571</v>
      </c>
      <c r="U71" s="53" t="str">
        <f t="shared" si="52"/>
        <v/>
      </c>
      <c r="V71" s="53" t="str">
        <f t="shared" si="53"/>
        <v/>
      </c>
      <c r="W71" s="54"/>
      <c r="X71" s="54"/>
      <c r="Y71" s="54" t="str">
        <f t="shared" si="57"/>
        <v/>
      </c>
      <c r="Z71" s="54" t="str">
        <f t="shared" si="58"/>
        <v/>
      </c>
      <c r="AA71" s="54"/>
      <c r="AB71" s="54"/>
      <c r="AC71" s="54"/>
      <c r="AD71" s="54"/>
      <c r="AE71" s="54"/>
      <c r="AF71" s="54"/>
      <c r="AG71" s="54"/>
      <c r="AH71" s="54"/>
      <c r="AI71" s="54">
        <v>0</v>
      </c>
      <c r="AJ71" s="54"/>
      <c r="AK71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805596.88462742209</v>
      </c>
      <c r="AL71" s="54" t="str">
        <f t="shared" si="54"/>
        <v/>
      </c>
      <c r="AM71" s="89" t="str">
        <f t="shared" si="55"/>
        <v/>
      </c>
      <c r="AN71" s="91"/>
      <c r="AO71" s="54"/>
      <c r="AP71" s="53"/>
      <c r="AQ71" s="53"/>
      <c r="AR71" s="53"/>
      <c r="AS71" s="53"/>
      <c r="AT71" s="54"/>
      <c r="AU71" s="54"/>
      <c r="AV71" s="54"/>
      <c r="AW71" s="54"/>
      <c r="AX71" s="54"/>
      <c r="AY71" s="54"/>
      <c r="AZ71" s="53"/>
      <c r="BA71" s="53"/>
      <c r="BB71" s="54"/>
      <c r="BC71" s="54"/>
      <c r="BD71" s="54"/>
      <c r="BE71" s="54"/>
      <c r="BF71" s="54"/>
      <c r="BG71" s="54"/>
      <c r="BH71" s="54"/>
      <c r="BI71" s="54"/>
      <c r="BJ71" s="54"/>
      <c r="BK71" s="54"/>
      <c r="BL71" s="54"/>
      <c r="BM71" s="54"/>
      <c r="BN71" s="54"/>
      <c r="BO71" s="54"/>
      <c r="BP71" s="54"/>
      <c r="BQ71" s="53"/>
      <c r="BR71" s="53"/>
      <c r="BS71" s="54"/>
      <c r="BT71" s="54"/>
      <c r="BU71" s="68"/>
    </row>
    <row r="72" spans="2:73" x14ac:dyDescent="0.3">
      <c r="B72" s="22" t="s">
        <v>139</v>
      </c>
      <c r="C72" s="23" t="s">
        <v>140</v>
      </c>
      <c r="D72" s="63">
        <v>56.101999999999997</v>
      </c>
      <c r="E72" s="63">
        <f>Tabelle2[[#This Row],[BIP (mrd.)]]*1000000000/Tabelle2[[#This Row],[Bevölkerung]]</f>
        <v>4856.1051443449596</v>
      </c>
      <c r="F72" s="63">
        <v>0.91</v>
      </c>
      <c r="G72" s="53">
        <v>89318</v>
      </c>
      <c r="H72" s="63">
        <v>11552880</v>
      </c>
      <c r="I72" s="88">
        <v>20.309999999999999</v>
      </c>
      <c r="J72" s="88">
        <f>Tabelle2[[#This Row],[Strom (mrd.)]]*1000000000/Tabelle2[[#This Row],[Bevölkerung]]</f>
        <v>1758.0031992022768</v>
      </c>
      <c r="K72" s="53"/>
      <c r="L72" s="53">
        <f>1000000*Tabelle2[[#This Row],[Bevölkerung]]*EXP(-15.4183+0.052*LN((Tabelle2[[#This Row],[BIP (mrd.)]]*1000000000)/Tabelle2[[#This Row],[Bevölkerung]]))</f>
        <v>3616551.3199807694</v>
      </c>
      <c r="M72" s="53" t="str">
        <f>IF(AND(ISNUMBER(K72), ISNUMBER(L72)), K72-L72, "")</f>
        <v/>
      </c>
      <c r="N72" s="65" t="str">
        <f t="shared" si="49"/>
        <v/>
      </c>
      <c r="O72" s="53"/>
      <c r="P72" s="53">
        <v>1918199</v>
      </c>
      <c r="Q72" s="53">
        <f>1000000*Tabelle2[[#This Row],[Bevölkerung]]*EXP(-17.8941+0.2965*LN((Tabelle2[[#This Row],[BIP (mrd.)]]*1000000000)/Tabelle2[[#This Row],[Bevölkerung]]))</f>
        <v>2423069.0472918474</v>
      </c>
      <c r="R72" s="53">
        <f t="shared" si="50"/>
        <v>-504870.04729184741</v>
      </c>
      <c r="S72" s="65">
        <f t="shared" si="51"/>
        <v>0.26320003674897519</v>
      </c>
      <c r="T72" s="53">
        <f>1000000*Tabelle2[[#This Row],[Wohneinheiten Anzahl]]*EXP(-14.22+0.02263*LN((Tabelle2[[#This Row],[BIP (mrd.)]]*1000000000)/Tabelle2[[#This Row],[Bevölkerung]]))</f>
        <v>1900691.2459061339</v>
      </c>
      <c r="U72" s="65">
        <f t="shared" si="52"/>
        <v>17507.754093866097</v>
      </c>
      <c r="V72" s="65">
        <f t="shared" si="53"/>
        <v>-9.1271834120787761E-3</v>
      </c>
      <c r="W72" s="54"/>
      <c r="X72" s="53">
        <f>1000000*Tabelle2[[#This Row],[Bevölkerung]]*EXP(-17.9119+0.2965*LN((Tabelle2[[#This Row],[BIP (mrd.)]]*1000000000)/Tabelle2[[#This Row],[Bevölkerung]]))</f>
        <v>2380320.0133630568</v>
      </c>
      <c r="Y72" s="53" t="str">
        <f t="shared" si="57"/>
        <v/>
      </c>
      <c r="Z72" s="65" t="str">
        <f t="shared" si="58"/>
        <v/>
      </c>
      <c r="AA72" s="54"/>
      <c r="AB72" s="54"/>
      <c r="AC72" s="54"/>
      <c r="AD72" s="54"/>
      <c r="AE72" s="54"/>
      <c r="AF72" s="54"/>
      <c r="AG72" s="54"/>
      <c r="AH72" s="54">
        <v>0</v>
      </c>
      <c r="AI72" s="54" t="s">
        <v>990</v>
      </c>
      <c r="AJ72" s="54">
        <v>2350490</v>
      </c>
      <c r="AK72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2905132.9487367175</v>
      </c>
      <c r="AL72" s="54">
        <f t="shared" si="54"/>
        <v>-554642.94873671746</v>
      </c>
      <c r="AM72" s="89">
        <f t="shared" si="55"/>
        <v>0.23596907399594019</v>
      </c>
      <c r="AN72" s="91">
        <f t="shared" si="19"/>
        <v>0.23596907399594019</v>
      </c>
      <c r="AO72" s="54"/>
      <c r="AP72" s="53"/>
      <c r="AQ72" s="53"/>
      <c r="AR72" s="53"/>
      <c r="AS72" s="53"/>
      <c r="AT72" s="54"/>
      <c r="AU72" s="54"/>
      <c r="AV72" s="54"/>
      <c r="AW72" s="54"/>
      <c r="AX72" s="54"/>
      <c r="AY72" s="54"/>
      <c r="AZ72" s="53"/>
      <c r="BA72" s="53"/>
      <c r="BB72" s="54"/>
      <c r="BC72" s="54"/>
      <c r="BD72" s="54"/>
      <c r="BE72" s="54"/>
      <c r="BF72" s="54"/>
      <c r="BG72" s="54"/>
      <c r="BH72" s="54"/>
      <c r="BI72" s="54"/>
      <c r="BJ72" s="54"/>
      <c r="BK72" s="54"/>
      <c r="BL72" s="54"/>
      <c r="BM72" s="54"/>
      <c r="BN72" s="54"/>
      <c r="BO72" s="54"/>
      <c r="BP72" s="54"/>
      <c r="BQ72" s="53"/>
      <c r="BR72" s="53"/>
      <c r="BS72" s="54"/>
      <c r="BT72" s="54"/>
      <c r="BU72" s="68"/>
    </row>
    <row r="73" spans="2:73" x14ac:dyDescent="0.3">
      <c r="B73" s="4" t="s">
        <v>141</v>
      </c>
      <c r="C73" s="5" t="s">
        <v>142</v>
      </c>
      <c r="D73" s="63">
        <v>4.9798999999999996E-2</v>
      </c>
      <c r="E73" s="63">
        <f>Tabelle2[[#This Row],[BIP (mrd.)]]*1000000000/Tabelle2[[#This Row],[Bevölkerung]]</f>
        <v>2.8232646211760435</v>
      </c>
      <c r="F73" s="63">
        <v>0.23400000000000001</v>
      </c>
      <c r="G73" s="53">
        <v>181040</v>
      </c>
      <c r="H73" s="63">
        <v>17638800</v>
      </c>
      <c r="I73" s="88">
        <v>16.998000000000001</v>
      </c>
      <c r="J73" s="88">
        <f>Tabelle2[[#This Row],[Strom (mrd.)]]*1000000000/Tabelle2[[#This Row],[Bevölkerung]]</f>
        <v>963.67099802707673</v>
      </c>
      <c r="K73" s="53">
        <f>3181372*0.93</f>
        <v>2958675.96</v>
      </c>
      <c r="L73" s="63">
        <f>Tabelle2[[#This Row],[Wohnimmobilien Anzahl]]/Tabelle2[[#This Row],[Bevölkerung]]</f>
        <v>0.16773680522484521</v>
      </c>
      <c r="M73" s="53">
        <f t="shared" si="56"/>
        <v>-2958675.7922631949</v>
      </c>
      <c r="N73" s="53">
        <f t="shared" si="49"/>
        <v>-0.99999994330680098</v>
      </c>
      <c r="O73" s="53"/>
      <c r="P73" s="53"/>
      <c r="Q73" s="53">
        <f>1000000*Tabelle2[[#This Row],[Bevölkerung]]*EXP(-17.8941+0.2965*LN((Tabelle2[[#This Row],[BIP (mrd.)]]*1000000000)/Tabelle2[[#This Row],[Bevölkerung]]))</f>
        <v>406263.67480983824</v>
      </c>
      <c r="R73" s="53" t="str">
        <f t="shared" si="50"/>
        <v/>
      </c>
      <c r="S73" s="53" t="str">
        <f t="shared" si="51"/>
        <v/>
      </c>
      <c r="T73" s="53">
        <f>1000000*Tabelle2[[#This Row],[Bevölkerung]]*EXP(-14.22+0.2263*LN((Tabelle2[[#This Row],[BIP (mrd.)]]*1000000000)/Tabelle2[[#This Row],[Bevölkerung]]))</f>
        <v>14886979.392274778</v>
      </c>
      <c r="U73" s="53" t="str">
        <f t="shared" si="52"/>
        <v/>
      </c>
      <c r="V73" s="53" t="str">
        <f t="shared" si="53"/>
        <v/>
      </c>
      <c r="W73" s="54"/>
      <c r="X73" s="54"/>
      <c r="Y73" s="54" t="str">
        <f t="shared" si="57"/>
        <v/>
      </c>
      <c r="Z73" s="54" t="str">
        <f t="shared" si="58"/>
        <v/>
      </c>
      <c r="AA73" s="54"/>
      <c r="AB73" s="54"/>
      <c r="AC73" s="54"/>
      <c r="AD73" s="54"/>
      <c r="AE73" s="54"/>
      <c r="AF73" s="54"/>
      <c r="AG73" s="54"/>
      <c r="AH73" s="54"/>
      <c r="AI73" s="54">
        <v>0</v>
      </c>
      <c r="AJ73" s="54"/>
      <c r="AK73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584626.93548720947</v>
      </c>
      <c r="AL73" s="54" t="str">
        <f t="shared" si="54"/>
        <v/>
      </c>
      <c r="AM73" s="89" t="str">
        <f t="shared" si="55"/>
        <v/>
      </c>
      <c r="AN73" s="91"/>
      <c r="AO73" s="54"/>
      <c r="AP73" s="53"/>
      <c r="AQ73" s="53"/>
      <c r="AR73" s="53"/>
      <c r="AS73" s="53"/>
      <c r="AT73" s="54"/>
      <c r="AU73" s="54"/>
      <c r="AV73" s="54"/>
      <c r="AW73" s="54"/>
      <c r="AX73" s="54"/>
      <c r="AY73" s="54"/>
      <c r="AZ73" s="53"/>
      <c r="BA73" s="53"/>
      <c r="BB73" s="54"/>
      <c r="BC73" s="54"/>
      <c r="BD73" s="54"/>
      <c r="BE73" s="54"/>
      <c r="BF73" s="54"/>
      <c r="BG73" s="54"/>
      <c r="BH73" s="54"/>
      <c r="BI73" s="54"/>
      <c r="BJ73" s="54"/>
      <c r="BK73" s="54"/>
      <c r="BL73" s="54"/>
      <c r="BM73" s="54"/>
      <c r="BN73" s="54"/>
      <c r="BO73" s="54"/>
      <c r="BP73" s="54"/>
      <c r="BQ73" s="53"/>
      <c r="BR73" s="53"/>
      <c r="BS73" s="54"/>
      <c r="BT73" s="54"/>
      <c r="BU73" s="68"/>
    </row>
    <row r="74" spans="2:73" x14ac:dyDescent="0.3">
      <c r="B74" s="2" t="s">
        <v>143</v>
      </c>
      <c r="C74" s="3" t="s">
        <v>144</v>
      </c>
      <c r="D74" s="63">
        <v>5.6010999999999998E-2</v>
      </c>
      <c r="E74" s="63">
        <f>Tabelle2[[#This Row],[BIP (mrd.)]]*1000000000/Tabelle2[[#This Row],[Bevölkerung]]</f>
        <v>1.9232076649496253</v>
      </c>
      <c r="F74" s="63">
        <v>0.56399999999999995</v>
      </c>
      <c r="G74" s="53">
        <v>475440</v>
      </c>
      <c r="H74" s="63">
        <v>29123740</v>
      </c>
      <c r="I74" s="88"/>
      <c r="J74" s="88">
        <f>Tabelle2[[#This Row],[Strom (mrd.)]]*1000000000/Tabelle2[[#This Row],[Bevölkerung]]</f>
        <v>0</v>
      </c>
      <c r="K74" s="53"/>
      <c r="L74" s="53">
        <f>Tabelle2[[#This Row],[Wohnimmobilien Anzahl]]/Tabelle2[[#This Row],[Bevölkerung]]</f>
        <v>0</v>
      </c>
      <c r="M74" s="53">
        <f t="shared" si="56"/>
        <v>0</v>
      </c>
      <c r="N74" s="53" t="str">
        <f t="shared" si="49"/>
        <v/>
      </c>
      <c r="O74" s="53"/>
      <c r="P74" s="53"/>
      <c r="Q74" s="53">
        <f>1000000*Tabelle2[[#This Row],[Bevölkerung]]*EXP(-17.8941+0.2965*LN((Tabelle2[[#This Row],[BIP (mrd.)]]*1000000000)/Tabelle2[[#This Row],[Bevölkerung]]))</f>
        <v>598621.09824316483</v>
      </c>
      <c r="R74" s="53" t="str">
        <f t="shared" si="50"/>
        <v/>
      </c>
      <c r="S74" s="53" t="str">
        <f t="shared" si="51"/>
        <v/>
      </c>
      <c r="T74" s="53">
        <f>1000000*Tabelle2[[#This Row],[Bevölkerung]]*EXP(-14.22+0.2263*LN((Tabelle2[[#This Row],[BIP (mrd.)]]*1000000000)/Tabelle2[[#This Row],[Bevölkerung]]))</f>
        <v>22534853.414829243</v>
      </c>
      <c r="U74" s="53" t="str">
        <f t="shared" si="52"/>
        <v/>
      </c>
      <c r="V74" s="53" t="str">
        <f t="shared" si="53"/>
        <v/>
      </c>
      <c r="W74" s="54"/>
      <c r="X74" s="54"/>
      <c r="Y74" s="54" t="str">
        <f t="shared" si="57"/>
        <v/>
      </c>
      <c r="Z74" s="54" t="str">
        <f t="shared" si="58"/>
        <v/>
      </c>
      <c r="AA74" s="54"/>
      <c r="AB74" s="54"/>
      <c r="AC74" s="54"/>
      <c r="AD74" s="54"/>
      <c r="AE74" s="54"/>
      <c r="AF74" s="54"/>
      <c r="AG74" s="54"/>
      <c r="AH74" s="54"/>
      <c r="AI74" s="54">
        <v>0</v>
      </c>
      <c r="AJ74" s="54"/>
      <c r="AK74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869577.02716089797</v>
      </c>
      <c r="AL74" s="54" t="str">
        <f t="shared" si="54"/>
        <v/>
      </c>
      <c r="AM74" s="89" t="str">
        <f t="shared" si="55"/>
        <v/>
      </c>
      <c r="AN74" s="91"/>
      <c r="AO74" s="54"/>
      <c r="AP74" s="53"/>
      <c r="AQ74" s="53"/>
      <c r="AR74" s="53"/>
      <c r="AS74" s="53"/>
      <c r="AT74" s="54"/>
      <c r="AU74" s="54"/>
      <c r="AV74" s="54"/>
      <c r="AW74" s="54"/>
      <c r="AX74" s="54"/>
      <c r="AY74" s="54"/>
      <c r="AZ74" s="53"/>
      <c r="BA74" s="53"/>
      <c r="BB74" s="54"/>
      <c r="BC74" s="54"/>
      <c r="BD74" s="54"/>
      <c r="BE74" s="54"/>
      <c r="BF74" s="54"/>
      <c r="BG74" s="54"/>
      <c r="BH74" s="54"/>
      <c r="BI74" s="54"/>
      <c r="BJ74" s="54"/>
      <c r="BK74" s="54"/>
      <c r="BL74" s="54"/>
      <c r="BM74" s="54"/>
      <c r="BN74" s="54"/>
      <c r="BO74" s="54"/>
      <c r="BP74" s="54"/>
      <c r="BQ74" s="53"/>
      <c r="BR74" s="53"/>
      <c r="BS74" s="54"/>
      <c r="BT74" s="54"/>
      <c r="BU74" s="68"/>
    </row>
    <row r="75" spans="2:73" x14ac:dyDescent="0.3">
      <c r="B75" s="9" t="s">
        <v>145</v>
      </c>
      <c r="C75" s="10" t="s">
        <v>146</v>
      </c>
      <c r="D75" s="63">
        <v>2225.3409999999999</v>
      </c>
      <c r="E75" s="63">
        <f>Tabelle2[[#This Row],[BIP (mrd.)]]*1000000000/Tabelle2[[#This Row],[Bevölkerung]]</f>
        <v>53897.225868641704</v>
      </c>
      <c r="F75" s="63">
        <v>0.81399999999999995</v>
      </c>
      <c r="G75" s="53">
        <v>15634410</v>
      </c>
      <c r="H75" s="63">
        <v>41288600</v>
      </c>
      <c r="I75" s="88">
        <v>555.68299999999999</v>
      </c>
      <c r="J75" s="88">
        <f>Tabelle2[[#This Row],[Strom (mrd.)]]*1000000000/Tabelle2[[#This Row],[Bevölkerung]]</f>
        <v>13458.509128427702</v>
      </c>
      <c r="K75" s="53"/>
      <c r="L75" s="53">
        <f>1000000*Tabelle2[[#This Row],[Bevölkerung]]*EXP(-15.4183+0.052*LN((Tabelle2[[#This Row],[BIP (mrd.)]]*1000000000)/Tabelle2[[#This Row],[Bevölkerung]]))</f>
        <v>14648359.852287967</v>
      </c>
      <c r="M75" s="53" t="str">
        <f>IF(AND(ISNUMBER(K75), ISNUMBER(L75)), K75-L75, "")</f>
        <v/>
      </c>
      <c r="N75" s="65" t="str">
        <f t="shared" si="49"/>
        <v/>
      </c>
      <c r="O75" s="53"/>
      <c r="P75" s="53">
        <v>14978941</v>
      </c>
      <c r="Q75" s="53">
        <f>1000000*Tabelle2[[#This Row],[Bevölkerung]]*EXP(-17.8941+0.2965*LN((Tabelle2[[#This Row],[BIP (mrd.)]]*1000000000)/Tabelle2[[#This Row],[Bevölkerung]]))</f>
        <v>17677901.50491384</v>
      </c>
      <c r="R75" s="53">
        <f t="shared" si="50"/>
        <v>-2698960.5049138404</v>
      </c>
      <c r="S75" s="65">
        <f t="shared" si="51"/>
        <v>0.1801836661826654</v>
      </c>
      <c r="T75" s="53">
        <f>1000000*Tabelle2[[#This Row],[Wohneinheiten Anzahl]]*EXP(-14.22+0.02263*LN((Tabelle2[[#This Row],[BIP (mrd.)]]*1000000000)/Tabelle2[[#This Row],[Bevölkerung]]))</f>
        <v>13905133.934769982</v>
      </c>
      <c r="U75" s="65">
        <f t="shared" si="52"/>
        <v>1073807.0652300175</v>
      </c>
      <c r="V75" s="65">
        <f t="shared" si="53"/>
        <v>-7.1687782549515189E-2</v>
      </c>
      <c r="W75" s="54"/>
      <c r="X75" s="53">
        <f>1000000*Tabelle2[[#This Row],[Bevölkerung]]*EXP(-17.9119+0.2965*LN((Tabelle2[[#This Row],[BIP (mrd.)]]*1000000000)/Tabelle2[[#This Row],[Bevölkerung]]))</f>
        <v>17366018.848467048</v>
      </c>
      <c r="Y75" s="53" t="str">
        <f t="shared" si="57"/>
        <v/>
      </c>
      <c r="Z75" s="65" t="str">
        <f t="shared" si="58"/>
        <v/>
      </c>
      <c r="AA75" s="54"/>
      <c r="AB75" s="54"/>
      <c r="AC75" s="54"/>
      <c r="AD75" s="54"/>
      <c r="AE75" s="54"/>
      <c r="AF75" s="54"/>
      <c r="AG75" s="54"/>
      <c r="AH75" s="54">
        <v>1</v>
      </c>
      <c r="AI75" s="54" t="s">
        <v>989</v>
      </c>
      <c r="AJ75" s="54">
        <v>16284235</v>
      </c>
      <c r="AK75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19981201.664809413</v>
      </c>
      <c r="AL75" s="54">
        <f t="shared" si="54"/>
        <v>-3696966.6648094133</v>
      </c>
      <c r="AM75" s="89">
        <f t="shared" si="55"/>
        <v>0.22702734668281396</v>
      </c>
      <c r="AN75" s="91">
        <f t="shared" si="19"/>
        <v>0.22702734668281396</v>
      </c>
      <c r="AO75" s="54"/>
      <c r="AP75" s="53">
        <v>564068</v>
      </c>
      <c r="AQ75" s="53">
        <v>784800000</v>
      </c>
      <c r="AR75" s="53"/>
      <c r="AS75" s="53"/>
      <c r="AT75" s="54">
        <v>78755</v>
      </c>
      <c r="AU75" s="54">
        <v>101500000</v>
      </c>
      <c r="AV75" s="54"/>
      <c r="AW75" s="54"/>
      <c r="AX75" s="54"/>
      <c r="AY75" s="54"/>
      <c r="AZ75" s="53"/>
      <c r="BA75" s="53"/>
      <c r="BB75" s="54"/>
      <c r="BC75" s="54"/>
      <c r="BD75" s="54"/>
      <c r="BE75" s="54"/>
      <c r="BF75" s="54"/>
      <c r="BG75" s="54"/>
      <c r="BH75" s="54"/>
      <c r="BI75" s="54"/>
      <c r="BJ75" s="54"/>
      <c r="BK75" s="54">
        <v>10058</v>
      </c>
      <c r="BL75" s="54">
        <v>24600000</v>
      </c>
      <c r="BM75" s="54">
        <v>47988</v>
      </c>
      <c r="BN75" s="54">
        <v>13400000</v>
      </c>
      <c r="BO75" s="54"/>
      <c r="BP75" s="54"/>
      <c r="BQ75" s="53"/>
      <c r="BR75" s="53"/>
      <c r="BS75" s="54"/>
      <c r="BT75" s="54"/>
      <c r="BU75" s="68"/>
    </row>
    <row r="76" spans="2:73" x14ac:dyDescent="0.3">
      <c r="B76" s="2" t="s">
        <v>147</v>
      </c>
      <c r="C76" s="3" t="s">
        <v>148</v>
      </c>
      <c r="D76" s="63">
        <v>2.7859999999999998E-3</v>
      </c>
      <c r="E76" s="63">
        <f>Tabelle2[[#This Row],[BIP (mrd.)]]*1000000000/Tabelle2[[#This Row],[Bevölkerung]]</f>
        <v>5.3078798963572629</v>
      </c>
      <c r="F76" s="63">
        <v>0.65700000000000003</v>
      </c>
      <c r="G76" s="53">
        <v>4030</v>
      </c>
      <c r="H76" s="63">
        <v>524880</v>
      </c>
      <c r="I76" s="88"/>
      <c r="J76" s="88">
        <f>Tabelle2[[#This Row],[Strom (mrd.)]]*1000000000/Tabelle2[[#This Row],[Bevölkerung]]</f>
        <v>0</v>
      </c>
      <c r="K76" s="53"/>
      <c r="L76" s="53">
        <f>Tabelle2[[#This Row],[Wohnimmobilien Anzahl]]/Tabelle2[[#This Row],[Bevölkerung]]</f>
        <v>0</v>
      </c>
      <c r="M76" s="53">
        <f t="shared" si="56"/>
        <v>0</v>
      </c>
      <c r="N76" s="53" t="str">
        <f t="shared" si="49"/>
        <v/>
      </c>
      <c r="O76" s="53"/>
      <c r="P76" s="53"/>
      <c r="Q76" s="53">
        <f>1000000*Tabelle2[[#This Row],[Bevölkerung]]*EXP(-17.8941+0.2965*LN((Tabelle2[[#This Row],[BIP (mrd.)]]*1000000000)/Tabelle2[[#This Row],[Bevölkerung]]))</f>
        <v>14577.741288268093</v>
      </c>
      <c r="R76" s="53" t="str">
        <f t="shared" si="50"/>
        <v/>
      </c>
      <c r="S76" s="53" t="str">
        <f t="shared" si="51"/>
        <v/>
      </c>
      <c r="T76" s="53">
        <f>1000000*Tabelle2[[#This Row],[Bevölkerung]]*EXP(-14.22+0.2263*LN((Tabelle2[[#This Row],[BIP (mrd.)]]*1000000000)/Tabelle2[[#This Row],[Bevölkerung]]))</f>
        <v>511024.98499842855</v>
      </c>
      <c r="U76" s="53" t="str">
        <f t="shared" si="52"/>
        <v/>
      </c>
      <c r="V76" s="53" t="str">
        <f t="shared" si="53"/>
        <v/>
      </c>
      <c r="W76" s="54"/>
      <c r="X76" s="54"/>
      <c r="Y76" s="54" t="str">
        <f t="shared" si="57"/>
        <v/>
      </c>
      <c r="Z76" s="54" t="str">
        <f t="shared" si="58"/>
        <v/>
      </c>
      <c r="AA76" s="54"/>
      <c r="AB76" s="54"/>
      <c r="AC76" s="54"/>
      <c r="AD76" s="54"/>
      <c r="AE76" s="54"/>
      <c r="AF76" s="54"/>
      <c r="AG76" s="54"/>
      <c r="AH76" s="54"/>
      <c r="AI76" s="54">
        <v>0</v>
      </c>
      <c r="AJ76" s="54"/>
      <c r="AK76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20656.723953653371</v>
      </c>
      <c r="AL76" s="54" t="str">
        <f t="shared" si="54"/>
        <v/>
      </c>
      <c r="AM76" s="89" t="str">
        <f t="shared" si="55"/>
        <v/>
      </c>
      <c r="AN76" s="91"/>
      <c r="AO76" s="54"/>
      <c r="AP76" s="53"/>
      <c r="AQ76" s="53"/>
      <c r="AR76" s="53"/>
      <c r="AS76" s="53"/>
      <c r="AT76" s="54"/>
      <c r="AU76" s="54"/>
      <c r="AV76" s="54"/>
      <c r="AW76" s="54"/>
      <c r="AX76" s="54"/>
      <c r="AY76" s="54"/>
      <c r="AZ76" s="53"/>
      <c r="BA76" s="53"/>
      <c r="BB76" s="54"/>
      <c r="BC76" s="54"/>
      <c r="BD76" s="54"/>
      <c r="BE76" s="54"/>
      <c r="BF76" s="54"/>
      <c r="BG76" s="54"/>
      <c r="BH76" s="54"/>
      <c r="BI76" s="54"/>
      <c r="BJ76" s="54"/>
      <c r="BK76" s="54"/>
      <c r="BL76" s="54"/>
      <c r="BM76" s="54"/>
      <c r="BN76" s="54"/>
      <c r="BO76" s="54"/>
      <c r="BP76" s="54"/>
      <c r="BQ76" s="53"/>
      <c r="BR76" s="53"/>
      <c r="BS76" s="54"/>
      <c r="BT76" s="54"/>
      <c r="BU76" s="68"/>
    </row>
    <row r="77" spans="2:73" x14ac:dyDescent="0.3">
      <c r="B77" s="4" t="s">
        <v>149</v>
      </c>
      <c r="C77" s="5" t="s">
        <v>150</v>
      </c>
      <c r="D77" s="63">
        <v>0.30053800000000003</v>
      </c>
      <c r="E77" s="63">
        <f>Tabelle2[[#This Row],[BIP (mrd.)]]*1000000000/Tabelle2[[#This Row],[Bevölkerung]]</f>
        <v>14.594487234959017</v>
      </c>
      <c r="F77" s="63">
        <v>0.57399999999999995</v>
      </c>
      <c r="G77" s="53">
        <v>2724902</v>
      </c>
      <c r="H77" s="63">
        <v>20592570</v>
      </c>
      <c r="I77" s="88"/>
      <c r="J77" s="88">
        <f>Tabelle2[[#This Row],[Strom (mrd.)]]*1000000000/Tabelle2[[#This Row],[Bevölkerung]]</f>
        <v>0</v>
      </c>
      <c r="K77" s="53"/>
      <c r="L77" s="53">
        <f>Tabelle2[[#This Row],[Wohnimmobilien Anzahl]]/Tabelle2[[#This Row],[Bevölkerung]]</f>
        <v>0</v>
      </c>
      <c r="M77" s="53">
        <f t="shared" si="56"/>
        <v>0</v>
      </c>
      <c r="N77" s="53" t="str">
        <f t="shared" si="49"/>
        <v/>
      </c>
      <c r="O77" s="53"/>
      <c r="P77" s="53"/>
      <c r="Q77" s="53">
        <f>1000000*Tabelle2[[#This Row],[Bevölkerung]]*EXP(-17.8941+0.2965*LN((Tabelle2[[#This Row],[BIP (mrd.)]]*1000000000)/Tabelle2[[#This Row],[Bevölkerung]]))</f>
        <v>771940.19217764575</v>
      </c>
      <c r="R77" s="53" t="str">
        <f t="shared" si="50"/>
        <v/>
      </c>
      <c r="S77" s="53" t="str">
        <f t="shared" si="51"/>
        <v/>
      </c>
      <c r="T77" s="53">
        <f>1000000*Tabelle2[[#This Row],[Bevölkerung]]*EXP(-14.22+0.2263*LN((Tabelle2[[#This Row],[BIP (mrd.)]]*1000000000)/Tabelle2[[#This Row],[Bevölkerung]]))</f>
        <v>25205711.030650053</v>
      </c>
      <c r="U77" s="53" t="str">
        <f t="shared" si="52"/>
        <v/>
      </c>
      <c r="V77" s="53" t="str">
        <f t="shared" si="53"/>
        <v/>
      </c>
      <c r="W77" s="54"/>
      <c r="X77" s="54"/>
      <c r="Y77" s="54" t="str">
        <f t="shared" si="57"/>
        <v/>
      </c>
      <c r="Z77" s="54" t="str">
        <f t="shared" si="58"/>
        <v/>
      </c>
      <c r="AA77" s="54"/>
      <c r="AB77" s="54"/>
      <c r="AC77" s="54"/>
      <c r="AD77" s="54"/>
      <c r="AE77" s="54"/>
      <c r="AF77" s="54"/>
      <c r="AG77" s="54"/>
      <c r="AH77" s="54"/>
      <c r="AI77" s="54">
        <v>0</v>
      </c>
      <c r="AJ77" s="54"/>
      <c r="AK77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1067027.5480892586</v>
      </c>
      <c r="AL77" s="54" t="str">
        <f t="shared" si="54"/>
        <v/>
      </c>
      <c r="AM77" s="89" t="str">
        <f t="shared" si="55"/>
        <v/>
      </c>
      <c r="AN77" s="91"/>
      <c r="AO77" s="54"/>
      <c r="AP77" s="53"/>
      <c r="AQ77" s="53"/>
      <c r="AR77" s="53"/>
      <c r="AS77" s="53"/>
      <c r="AT77" s="54"/>
      <c r="AU77" s="54"/>
      <c r="AV77" s="54"/>
      <c r="AW77" s="54"/>
      <c r="AX77" s="54"/>
      <c r="AY77" s="54"/>
      <c r="AZ77" s="53"/>
      <c r="BA77" s="53"/>
      <c r="BB77" s="54"/>
      <c r="BC77" s="54"/>
      <c r="BD77" s="54"/>
      <c r="BE77" s="54"/>
      <c r="BF77" s="54"/>
      <c r="BG77" s="54"/>
      <c r="BH77" s="54"/>
      <c r="BI77" s="54"/>
      <c r="BJ77" s="54"/>
      <c r="BK77" s="54"/>
      <c r="BL77" s="54"/>
      <c r="BM77" s="54"/>
      <c r="BN77" s="54"/>
      <c r="BO77" s="54"/>
      <c r="BP77" s="54"/>
      <c r="BQ77" s="53"/>
      <c r="BR77" s="53"/>
      <c r="BS77" s="54"/>
      <c r="BT77" s="54"/>
      <c r="BU77" s="68"/>
    </row>
    <row r="78" spans="2:73" x14ac:dyDescent="0.3">
      <c r="B78" s="22" t="s">
        <v>151</v>
      </c>
      <c r="C78" s="23" t="s">
        <v>152</v>
      </c>
      <c r="D78" s="63">
        <v>0.222776</v>
      </c>
      <c r="E78" s="63">
        <f>Tabelle2[[#This Row],[BIP (mrd.)]]*1000000000/Tabelle2[[#This Row],[Bevölkerung]]</f>
        <v>77.953125109349088</v>
      </c>
      <c r="F78" s="63">
        <v>0.99099999999999999</v>
      </c>
      <c r="G78" s="53">
        <v>11490</v>
      </c>
      <c r="H78" s="63">
        <v>2857820</v>
      </c>
      <c r="I78" s="88"/>
      <c r="J78" s="88">
        <f>Tabelle2[[#This Row],[Strom (mrd.)]]*1000000000/Tabelle2[[#This Row],[Bevölkerung]]</f>
        <v>0</v>
      </c>
      <c r="K78" s="53"/>
      <c r="L78" s="53">
        <f>Tabelle2[[#This Row],[Wohnimmobilien Anzahl]]/Tabelle2[[#This Row],[Bevölkerung]]</f>
        <v>0</v>
      </c>
      <c r="M78" s="53">
        <f t="shared" si="56"/>
        <v>0</v>
      </c>
      <c r="N78" s="53" t="str">
        <f t="shared" si="49"/>
        <v/>
      </c>
      <c r="O78" s="53"/>
      <c r="P78" s="53"/>
      <c r="Q78" s="53">
        <f>1000000*Tabelle2[[#This Row],[Bevölkerung]]*EXP(-17.8941+0.2965*LN((Tabelle2[[#This Row],[BIP (mrd.)]]*1000000000)/Tabelle2[[#This Row],[Bevölkerung]]))</f>
        <v>176057.53802988498</v>
      </c>
      <c r="R78" s="53" t="str">
        <f t="shared" si="50"/>
        <v/>
      </c>
      <c r="S78" s="53" t="str">
        <f t="shared" si="51"/>
        <v/>
      </c>
      <c r="T78" s="53">
        <f>1000000*Tabelle2[[#This Row],[Wohneinheiten Anzahl]]*EXP(-14.22+0.02263*LN((Tabelle2[[#This Row],[BIP (mrd.)]]*1000000000)/Tabelle2[[#This Row],[Bevölkerung]]))</f>
        <v>0</v>
      </c>
      <c r="U78" s="53" t="str">
        <f t="shared" si="52"/>
        <v/>
      </c>
      <c r="V78" s="53" t="str">
        <f t="shared" si="53"/>
        <v/>
      </c>
      <c r="W78" s="54"/>
      <c r="X78" s="54"/>
      <c r="Y78" s="54" t="str">
        <f t="shared" si="57"/>
        <v/>
      </c>
      <c r="Z78" s="54" t="str">
        <f t="shared" si="58"/>
        <v/>
      </c>
      <c r="AA78" s="54"/>
      <c r="AB78" s="54"/>
      <c r="AC78" s="54"/>
      <c r="AD78" s="54"/>
      <c r="AE78" s="54"/>
      <c r="AF78" s="54"/>
      <c r="AG78" s="54"/>
      <c r="AH78" s="54"/>
      <c r="AI78" s="54">
        <v>0</v>
      </c>
      <c r="AJ78" s="54"/>
      <c r="AK78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233571.9125326825</v>
      </c>
      <c r="AL78" s="54" t="str">
        <f t="shared" si="54"/>
        <v/>
      </c>
      <c r="AM78" s="89" t="str">
        <f t="shared" si="55"/>
        <v/>
      </c>
      <c r="AN78" s="91"/>
      <c r="AO78" s="54"/>
      <c r="AP78" s="53"/>
      <c r="AQ78" s="53"/>
      <c r="AR78" s="53"/>
      <c r="AS78" s="53"/>
      <c r="AT78" s="54"/>
      <c r="AU78" s="54"/>
      <c r="AV78" s="54"/>
      <c r="AW78" s="54"/>
      <c r="AX78" s="54"/>
      <c r="AY78" s="54"/>
      <c r="AZ78" s="53"/>
      <c r="BA78" s="53"/>
      <c r="BB78" s="54"/>
      <c r="BC78" s="54"/>
      <c r="BD78" s="54"/>
      <c r="BE78" s="54"/>
      <c r="BF78" s="54"/>
      <c r="BG78" s="54"/>
      <c r="BH78" s="54"/>
      <c r="BI78" s="54"/>
      <c r="BJ78" s="54"/>
      <c r="BK78" s="54"/>
      <c r="BL78" s="54"/>
      <c r="BM78" s="54"/>
      <c r="BN78" s="54"/>
      <c r="BO78" s="54"/>
      <c r="BP78" s="54"/>
      <c r="BQ78" s="53"/>
      <c r="BR78" s="53"/>
      <c r="BS78" s="54"/>
      <c r="BT78" s="54"/>
      <c r="BU78" s="68"/>
    </row>
    <row r="79" spans="2:73" x14ac:dyDescent="0.3">
      <c r="B79" s="19" t="s">
        <v>153</v>
      </c>
      <c r="C79" s="20" t="s">
        <v>154</v>
      </c>
      <c r="D79" s="63">
        <v>0.13167299999999998</v>
      </c>
      <c r="E79" s="63">
        <f>Tabelle2[[#This Row],[BIP (mrd.)]]*1000000000/Tabelle2[[#This Row],[Bevölkerung]]</f>
        <v>2.3332649335653963</v>
      </c>
      <c r="F79" s="63">
        <v>0.27</v>
      </c>
      <c r="G79" s="53">
        <v>591969</v>
      </c>
      <c r="H79" s="63">
        <v>56432940</v>
      </c>
      <c r="I79" s="88"/>
      <c r="J79" s="88">
        <f>Tabelle2[[#This Row],[Strom (mrd.)]]*1000000000/Tabelle2[[#This Row],[Bevölkerung]]</f>
        <v>0</v>
      </c>
      <c r="K79" s="53"/>
      <c r="L79" s="53">
        <f>Tabelle2[[#This Row],[Wohnimmobilien Anzahl]]/Tabelle2[[#This Row],[Bevölkerung]]</f>
        <v>0</v>
      </c>
      <c r="M79" s="53">
        <f t="shared" si="56"/>
        <v>0</v>
      </c>
      <c r="N79" s="53" t="str">
        <f t="shared" si="49"/>
        <v/>
      </c>
      <c r="O79" s="53"/>
      <c r="P79" s="53"/>
      <c r="Q79" s="53">
        <f>1000000*Tabelle2[[#This Row],[Bevölkerung]]*EXP(-17.8941+0.2965*LN((Tabelle2[[#This Row],[BIP (mrd.)]]*1000000000)/Tabelle2[[#This Row],[Bevölkerung]]))</f>
        <v>1228358.4841862652</v>
      </c>
      <c r="R79" s="53" t="str">
        <f t="shared" si="50"/>
        <v/>
      </c>
      <c r="S79" s="53" t="str">
        <f t="shared" si="51"/>
        <v/>
      </c>
      <c r="T79" s="53">
        <f>1000000*Tabelle2[[#This Row],[Bevölkerung]]*EXP(-14.22+0.2263*LN((Tabelle2[[#This Row],[BIP (mrd.)]]*1000000000)/Tabelle2[[#This Row],[Bevölkerung]]))</f>
        <v>45617912.640185304</v>
      </c>
      <c r="U79" s="53" t="str">
        <f t="shared" si="52"/>
        <v/>
      </c>
      <c r="V79" s="53" t="str">
        <f t="shared" si="53"/>
        <v/>
      </c>
      <c r="W79" s="54"/>
      <c r="X79" s="54"/>
      <c r="Y79" s="54" t="str">
        <f t="shared" si="57"/>
        <v/>
      </c>
      <c r="Z79" s="54" t="str">
        <f t="shared" si="58"/>
        <v/>
      </c>
      <c r="AA79" s="54"/>
      <c r="AB79" s="54"/>
      <c r="AC79" s="54"/>
      <c r="AD79" s="54"/>
      <c r="AE79" s="54"/>
      <c r="AF79" s="54"/>
      <c r="AG79" s="54"/>
      <c r="AH79" s="54"/>
      <c r="AI79" s="54">
        <v>0</v>
      </c>
      <c r="AJ79" s="54"/>
      <c r="AK79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1775924.386491539</v>
      </c>
      <c r="AL79" s="54" t="str">
        <f t="shared" si="54"/>
        <v/>
      </c>
      <c r="AM79" s="89" t="str">
        <f t="shared" si="55"/>
        <v/>
      </c>
      <c r="AN79" s="91"/>
      <c r="AO79" s="54"/>
      <c r="AP79" s="53"/>
      <c r="AQ79" s="53"/>
      <c r="AR79" s="53"/>
      <c r="AS79" s="53"/>
      <c r="AT79" s="54"/>
      <c r="AU79" s="54"/>
      <c r="AV79" s="54"/>
      <c r="AW79" s="54"/>
      <c r="AX79" s="54"/>
      <c r="AY79" s="54"/>
      <c r="AZ79" s="53"/>
      <c r="BA79" s="53"/>
      <c r="BB79" s="54"/>
      <c r="BC79" s="54"/>
      <c r="BD79" s="54"/>
      <c r="BE79" s="54"/>
      <c r="BF79" s="54"/>
      <c r="BG79" s="54"/>
      <c r="BH79" s="54"/>
      <c r="BI79" s="54"/>
      <c r="BJ79" s="54"/>
      <c r="BK79" s="54"/>
      <c r="BL79" s="54"/>
      <c r="BM79" s="54"/>
      <c r="BN79" s="54"/>
      <c r="BO79" s="54"/>
      <c r="BP79" s="54"/>
      <c r="BQ79" s="53"/>
      <c r="BR79" s="53"/>
      <c r="BS79" s="54"/>
      <c r="BT79" s="54"/>
      <c r="BU79" s="68"/>
    </row>
    <row r="80" spans="2:73" x14ac:dyDescent="0.3">
      <c r="B80" s="2" t="s">
        <v>155</v>
      </c>
      <c r="C80" s="3" t="s">
        <v>156</v>
      </c>
      <c r="D80" s="63">
        <v>1.9848999999999999E-2</v>
      </c>
      <c r="E80" s="63">
        <f>Tabelle2[[#This Row],[BIP (mrd.)]]*1000000000/Tabelle2[[#This Row],[Bevölkerung]]</f>
        <v>2.7474147393423314</v>
      </c>
      <c r="F80" s="63">
        <v>0.36199999999999999</v>
      </c>
      <c r="G80" s="53">
        <v>199950</v>
      </c>
      <c r="H80" s="63">
        <v>7224610</v>
      </c>
      <c r="I80" s="88"/>
      <c r="J80" s="88">
        <f>Tabelle2[[#This Row],[Strom (mrd.)]]*1000000000/Tabelle2[[#This Row],[Bevölkerung]]</f>
        <v>0</v>
      </c>
      <c r="K80" s="53"/>
      <c r="L80" s="53">
        <f>Tabelle2[[#This Row],[Wohnimmobilien Anzahl]]/Tabelle2[[#This Row],[Bevölkerung]]</f>
        <v>0</v>
      </c>
      <c r="M80" s="53">
        <f t="shared" si="56"/>
        <v>0</v>
      </c>
      <c r="N80" s="53" t="str">
        <f t="shared" si="49"/>
        <v/>
      </c>
      <c r="O80" s="53"/>
      <c r="P80" s="53"/>
      <c r="Q80" s="53">
        <f>1000000*Tabelle2[[#This Row],[Bevölkerung]]*EXP(-17.8941+0.2965*LN((Tabelle2[[#This Row],[BIP (mrd.)]]*1000000000)/Tabelle2[[#This Row],[Bevölkerung]]))</f>
        <v>165061.79044712713</v>
      </c>
      <c r="R80" s="53" t="str">
        <f t="shared" si="50"/>
        <v/>
      </c>
      <c r="S80" s="53" t="str">
        <f t="shared" si="51"/>
        <v/>
      </c>
      <c r="T80" s="53">
        <f>1000000*Tabelle2[[#This Row],[Bevölkerung]]*EXP(-14.22+0.2263*LN((Tabelle2[[#This Row],[BIP (mrd.)]]*1000000000)/Tabelle2[[#This Row],[Bevölkerung]]))</f>
        <v>6060039.1112857517</v>
      </c>
      <c r="U80" s="53" t="str">
        <f t="shared" si="52"/>
        <v/>
      </c>
      <c r="V80" s="53" t="str">
        <f t="shared" si="53"/>
        <v/>
      </c>
      <c r="W80" s="54"/>
      <c r="X80" s="54"/>
      <c r="Y80" s="54" t="str">
        <f t="shared" si="57"/>
        <v/>
      </c>
      <c r="Z80" s="54" t="str">
        <f t="shared" si="58"/>
        <v/>
      </c>
      <c r="AA80" s="54"/>
      <c r="AB80" s="54"/>
      <c r="AC80" s="54"/>
      <c r="AD80" s="54"/>
      <c r="AE80" s="54"/>
      <c r="AF80" s="54"/>
      <c r="AG80" s="54"/>
      <c r="AH80" s="54"/>
      <c r="AI80" s="54">
        <v>0</v>
      </c>
      <c r="AJ80" s="54"/>
      <c r="AK80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237688.74536549812</v>
      </c>
      <c r="AL80" s="54" t="str">
        <f t="shared" si="54"/>
        <v/>
      </c>
      <c r="AM80" s="89" t="str">
        <f t="shared" si="55"/>
        <v/>
      </c>
      <c r="AN80" s="91"/>
      <c r="AO80" s="54"/>
      <c r="AP80" s="53"/>
      <c r="AQ80" s="53"/>
      <c r="AR80" s="53"/>
      <c r="AS80" s="53"/>
      <c r="AT80" s="54"/>
      <c r="AU80" s="54"/>
      <c r="AV80" s="54"/>
      <c r="AW80" s="54"/>
      <c r="AX80" s="54"/>
      <c r="AY80" s="54"/>
      <c r="AZ80" s="53"/>
      <c r="BA80" s="53"/>
      <c r="BB80" s="54"/>
      <c r="BC80" s="54"/>
      <c r="BD80" s="54"/>
      <c r="BE80" s="54"/>
      <c r="BF80" s="54"/>
      <c r="BG80" s="54"/>
      <c r="BH80" s="54"/>
      <c r="BI80" s="54"/>
      <c r="BJ80" s="54"/>
      <c r="BK80" s="54"/>
      <c r="BL80" s="54"/>
      <c r="BM80" s="54"/>
      <c r="BN80" s="54"/>
      <c r="BO80" s="54"/>
      <c r="BP80" s="54"/>
      <c r="BQ80" s="53"/>
      <c r="BR80" s="53"/>
      <c r="BS80" s="54"/>
      <c r="BT80" s="54"/>
      <c r="BU80" s="68"/>
    </row>
    <row r="81" spans="2:73" x14ac:dyDescent="0.3">
      <c r="B81" s="2" t="s">
        <v>157</v>
      </c>
      <c r="C81" s="3" t="s">
        <v>158</v>
      </c>
      <c r="D81" s="63">
        <v>3.1199999999999994E-7</v>
      </c>
      <c r="E81" s="63">
        <f>Tabelle2[[#This Row],[BIP (mrd.)]]*1000000000/Tabelle2[[#This Row],[Bevölkerung]]</f>
        <v>2.3193577163247098E-3</v>
      </c>
      <c r="F81" s="63">
        <v>0.54100000000000004</v>
      </c>
      <c r="G81" s="53">
        <v>810</v>
      </c>
      <c r="H81" s="63">
        <v>134520</v>
      </c>
      <c r="I81" s="88"/>
      <c r="J81" s="88">
        <f>Tabelle2[[#This Row],[Strom (mrd.)]]*1000000000/Tabelle2[[#This Row],[Bevölkerung]]</f>
        <v>0</v>
      </c>
      <c r="K81" s="53"/>
      <c r="L81" s="53">
        <f>Tabelle2[[#This Row],[Wohnimmobilien Anzahl]]/Tabelle2[[#This Row],[Bevölkerung]]</f>
        <v>0</v>
      </c>
      <c r="M81" s="53">
        <f t="shared" si="56"/>
        <v>0</v>
      </c>
      <c r="N81" s="53" t="str">
        <f t="shared" si="49"/>
        <v/>
      </c>
      <c r="O81" s="53"/>
      <c r="P81" s="53"/>
      <c r="Q81" s="53">
        <f>1000000*Tabelle2[[#This Row],[Bevölkerung]]*EXP(-17.8941+0.2965*LN((Tabelle2[[#This Row],[BIP (mrd.)]]*1000000000)/Tabelle2[[#This Row],[Bevölkerung]]))</f>
        <v>376.97235574692121</v>
      </c>
      <c r="R81" s="53" t="str">
        <f t="shared" si="50"/>
        <v/>
      </c>
      <c r="S81" s="53" t="str">
        <f t="shared" si="51"/>
        <v/>
      </c>
      <c r="T81" s="53">
        <f>1000000*Tabelle2[[#This Row],[Bevölkerung]]*EXP(-14.22+0.2263*LN((Tabelle2[[#This Row],[BIP (mrd.)]]*1000000000)/Tabelle2[[#This Row],[Bevölkerung]]))</f>
        <v>22745.84338392445</v>
      </c>
      <c r="U81" s="53" t="str">
        <f t="shared" si="52"/>
        <v/>
      </c>
      <c r="V81" s="53" t="str">
        <f t="shared" si="53"/>
        <v/>
      </c>
      <c r="W81" s="54"/>
      <c r="X81" s="54"/>
      <c r="Y81" s="54" t="str">
        <f t="shared" si="57"/>
        <v/>
      </c>
      <c r="Z81" s="54" t="str">
        <f t="shared" si="58"/>
        <v/>
      </c>
      <c r="AA81" s="54"/>
      <c r="AB81" s="54"/>
      <c r="AC81" s="54"/>
      <c r="AD81" s="54"/>
      <c r="AE81" s="54"/>
      <c r="AF81" s="54"/>
      <c r="AG81" s="54"/>
      <c r="AH81" s="54"/>
      <c r="AI81" s="54">
        <v>0</v>
      </c>
      <c r="AJ81" s="54"/>
      <c r="AK81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646.42777654841746</v>
      </c>
      <c r="AL81" s="54" t="str">
        <f t="shared" si="54"/>
        <v/>
      </c>
      <c r="AM81" s="89" t="str">
        <f t="shared" si="55"/>
        <v/>
      </c>
      <c r="AN81" s="91"/>
      <c r="AO81" s="54"/>
      <c r="AP81" s="53"/>
      <c r="AQ81" s="53"/>
      <c r="AR81" s="53"/>
      <c r="AS81" s="53"/>
      <c r="AT81" s="54"/>
      <c r="AU81" s="54"/>
      <c r="AV81" s="54"/>
      <c r="AW81" s="54"/>
      <c r="AX81" s="54"/>
      <c r="AY81" s="54"/>
      <c r="AZ81" s="53"/>
      <c r="BA81" s="53"/>
      <c r="BB81" s="54"/>
      <c r="BC81" s="54"/>
      <c r="BD81" s="54"/>
      <c r="BE81" s="54"/>
      <c r="BF81" s="54"/>
      <c r="BG81" s="54"/>
      <c r="BH81" s="54"/>
      <c r="BI81" s="54"/>
      <c r="BJ81" s="54"/>
      <c r="BK81" s="54"/>
      <c r="BL81" s="54"/>
      <c r="BM81" s="54"/>
      <c r="BN81" s="54"/>
      <c r="BO81" s="54"/>
      <c r="BP81" s="54"/>
      <c r="BQ81" s="53"/>
      <c r="BR81" s="53"/>
      <c r="BS81" s="54"/>
      <c r="BT81" s="54"/>
      <c r="BU81" s="68"/>
    </row>
    <row r="82" spans="2:73" x14ac:dyDescent="0.3">
      <c r="B82" s="17" t="s">
        <v>159</v>
      </c>
      <c r="C82" s="18" t="s">
        <v>160</v>
      </c>
      <c r="D82" s="63">
        <v>427.76600000000002</v>
      </c>
      <c r="E82" s="63">
        <f>Tabelle2[[#This Row],[BIP (mrd.)]]*1000000000/Tabelle2[[#This Row],[Bevölkerung]]</f>
        <v>8088.3993528766205</v>
      </c>
      <c r="F82" s="63">
        <v>0.80800000000000005</v>
      </c>
      <c r="G82" s="53">
        <v>1140619</v>
      </c>
      <c r="H82" s="63">
        <v>52886360</v>
      </c>
      <c r="I82" s="88">
        <v>82.308999999999997</v>
      </c>
      <c r="J82" s="88">
        <f>Tabelle2[[#This Row],[Strom (mrd.)]]*1000000000/Tabelle2[[#This Row],[Bevölkerung]]</f>
        <v>1556.3370214928764</v>
      </c>
      <c r="K82" s="53"/>
      <c r="L82" s="53">
        <f>1000000*Tabelle2[[#This Row],[Bevölkerung]]*EXP(-15.4183+0.052*LN((Tabelle2[[#This Row],[BIP (mrd.)]]*1000000000)/Tabelle2[[#This Row],[Bevölkerung]]))</f>
        <v>17000822.030694794</v>
      </c>
      <c r="M82" s="53" t="str">
        <f>IF(AND(ISNUMBER(K82), ISNUMBER(L82)), K82-L82, "")</f>
        <v/>
      </c>
      <c r="N82" s="65" t="str">
        <f t="shared" si="49"/>
        <v/>
      </c>
      <c r="O82" s="53"/>
      <c r="P82" s="53">
        <v>13919746</v>
      </c>
      <c r="Q82" s="53">
        <f>1000000*Tabelle2[[#This Row],[Bevölkerung]]*EXP(-17.8941+0.2965*LN((Tabelle2[[#This Row],[BIP (mrd.)]]*1000000000)/Tabelle2[[#This Row],[Bevölkerung]]))</f>
        <v>12903753.109224148</v>
      </c>
      <c r="R82" s="53">
        <f t="shared" si="50"/>
        <v>1015992.8907758519</v>
      </c>
      <c r="S82" s="65">
        <f t="shared" si="51"/>
        <v>-7.2989326872476834E-2</v>
      </c>
      <c r="T82" s="53">
        <f>1000000*Tabelle2[[#This Row],[Wohneinheiten Anzahl]]*EXP(-14.22+0.02263*LN((Tabelle2[[#This Row],[BIP (mrd.)]]*1000000000)/Tabelle2[[#This Row],[Bevölkerung]]))</f>
        <v>13146417.102348603</v>
      </c>
      <c r="U82" s="65">
        <f t="shared" si="52"/>
        <v>773328.89765139669</v>
      </c>
      <c r="V82" s="65">
        <f t="shared" si="53"/>
        <v>-5.5556250642173836E-2</v>
      </c>
      <c r="W82" s="54"/>
      <c r="X82" s="53">
        <f>1000000*Tabelle2[[#This Row],[Bevölkerung]]*EXP(-17.9119+0.2965*LN((Tabelle2[[#This Row],[BIP (mrd.)]]*1000000000)/Tabelle2[[#This Row],[Bevölkerung]]))</f>
        <v>12676098.441235432</v>
      </c>
      <c r="Y82" s="53" t="str">
        <f t="shared" si="57"/>
        <v/>
      </c>
      <c r="Z82" s="65" t="str">
        <f t="shared" si="58"/>
        <v/>
      </c>
      <c r="AA82" s="54"/>
      <c r="AB82" s="54"/>
      <c r="AC82" s="54"/>
      <c r="AD82" s="54"/>
      <c r="AE82" s="54"/>
      <c r="AF82" s="54"/>
      <c r="AG82" s="54"/>
      <c r="AH82" s="54">
        <v>1</v>
      </c>
      <c r="AI82" s="54" t="s">
        <v>988</v>
      </c>
      <c r="AJ82" s="54">
        <v>16070893</v>
      </c>
      <c r="AK82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15278745.015234098</v>
      </c>
      <c r="AL82" s="54">
        <f t="shared" si="54"/>
        <v>792147.98476590216</v>
      </c>
      <c r="AM82" s="89">
        <f t="shared" si="55"/>
        <v>-4.9290850531199616E-2</v>
      </c>
      <c r="AN82" s="91">
        <f t="shared" ref="AN82:AN141" si="60">ABS(AM82)</f>
        <v>4.9290850531199616E-2</v>
      </c>
      <c r="AO82" s="54"/>
      <c r="AP82" s="53"/>
      <c r="AQ82" s="53"/>
      <c r="AR82" s="53"/>
      <c r="AS82" s="53"/>
      <c r="AT82" s="54"/>
      <c r="AU82" s="54"/>
      <c r="AV82" s="54"/>
      <c r="AW82" s="54"/>
      <c r="AX82" s="54"/>
      <c r="AY82" s="54"/>
      <c r="AZ82" s="53"/>
      <c r="BA82" s="53"/>
      <c r="BB82" s="54"/>
      <c r="BC82" s="54"/>
      <c r="BD82" s="54"/>
      <c r="BE82" s="54"/>
      <c r="BF82" s="54"/>
      <c r="BG82" s="54"/>
      <c r="BH82" s="54"/>
      <c r="BI82" s="54"/>
      <c r="BJ82" s="54"/>
      <c r="BK82" s="54"/>
      <c r="BL82" s="54"/>
      <c r="BM82" s="54"/>
      <c r="BN82" s="54"/>
      <c r="BO82" s="54"/>
      <c r="BP82" s="54"/>
      <c r="BQ82" s="53"/>
      <c r="BR82" s="53"/>
      <c r="BS82" s="54"/>
      <c r="BT82" s="54"/>
      <c r="BU82" s="68"/>
    </row>
    <row r="83" spans="2:73" x14ac:dyDescent="0.3">
      <c r="B83" s="2" t="s">
        <v>161</v>
      </c>
      <c r="C83" s="3" t="s">
        <v>162</v>
      </c>
      <c r="D83" s="63">
        <v>1.5479999999999999E-3</v>
      </c>
      <c r="E83" s="63">
        <f>Tabelle2[[#This Row],[BIP (mrd.)]]*1000000000/Tabelle2[[#This Row],[Bevölkerung]]</f>
        <v>1.7862294173984283</v>
      </c>
      <c r="F83" s="63">
        <v>0.28999999999999998</v>
      </c>
      <c r="G83" s="53">
        <v>1861</v>
      </c>
      <c r="H83" s="63">
        <v>866630</v>
      </c>
      <c r="I83" s="88">
        <v>0.113</v>
      </c>
      <c r="J83" s="88">
        <f>Tabelle2[[#This Row],[Strom (mrd.)]]*1000000000/Tabelle2[[#This Row],[Bevölkerung]]</f>
        <v>130.39013189019536</v>
      </c>
      <c r="K83" s="53"/>
      <c r="L83" s="53">
        <f>Tabelle2[[#This Row],[Wohnimmobilien Anzahl]]/Tabelle2[[#This Row],[Bevölkerung]]</f>
        <v>0</v>
      </c>
      <c r="M83" s="53">
        <f t="shared" si="56"/>
        <v>0</v>
      </c>
      <c r="N83" s="53" t="str">
        <f t="shared" si="49"/>
        <v/>
      </c>
      <c r="O83" s="53"/>
      <c r="P83" s="53">
        <v>140633</v>
      </c>
      <c r="Q83" s="53">
        <f>1000000*Tabelle2[[#This Row],[Bevölkerung]]*EXP(-17.8941+0.2965*LN((Tabelle2[[#This Row],[BIP (mrd.)]]*1000000000)/Tabelle2[[#This Row],[Bevölkerung]]))</f>
        <v>17427.063800585034</v>
      </c>
      <c r="R83" s="53">
        <f t="shared" si="50"/>
        <v>123205.93619941497</v>
      </c>
      <c r="S83" s="53">
        <f t="shared" si="51"/>
        <v>-0.87608126257290231</v>
      </c>
      <c r="T83" s="53">
        <f>1000000*Tabelle2[[#This Row],[Wohneinheiten Anzahl]]*EXP(-14.22+0.02263*LN((Tabelle2[[#This Row],[BIP (mrd.)]]*1000000000)/Tabelle2[[#This Row],[Bevölkerung]]))</f>
        <v>0</v>
      </c>
      <c r="U83" s="53">
        <f t="shared" si="52"/>
        <v>140633</v>
      </c>
      <c r="V83" s="53">
        <f t="shared" si="53"/>
        <v>-1</v>
      </c>
      <c r="W83" s="54"/>
      <c r="X83" s="54"/>
      <c r="Y83" s="54" t="str">
        <f t="shared" si="57"/>
        <v/>
      </c>
      <c r="Z83" s="54" t="str">
        <f t="shared" si="58"/>
        <v/>
      </c>
      <c r="AA83" s="54"/>
      <c r="AB83" s="54"/>
      <c r="AC83" s="54"/>
      <c r="AD83" s="54"/>
      <c r="AE83" s="54"/>
      <c r="AF83" s="54"/>
      <c r="AG83" s="54"/>
      <c r="AH83" s="54"/>
      <c r="AI83" s="54">
        <v>0</v>
      </c>
      <c r="AJ83" s="54"/>
      <c r="AK83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25361.081947878298</v>
      </c>
      <c r="AL83" s="54" t="str">
        <f t="shared" si="54"/>
        <v/>
      </c>
      <c r="AM83" s="89" t="str">
        <f t="shared" si="55"/>
        <v/>
      </c>
      <c r="AN83" s="91"/>
      <c r="AO83" s="54"/>
      <c r="AP83" s="53"/>
      <c r="AQ83" s="53"/>
      <c r="AR83" s="53"/>
      <c r="AS83" s="53"/>
      <c r="AT83" s="54"/>
      <c r="AU83" s="54"/>
      <c r="AV83" s="54"/>
      <c r="AW83" s="54"/>
      <c r="AX83" s="54"/>
      <c r="AY83" s="54"/>
      <c r="AZ83" s="53"/>
      <c r="BA83" s="53"/>
      <c r="BB83" s="54"/>
      <c r="BC83" s="54"/>
      <c r="BD83" s="54"/>
      <c r="BE83" s="54"/>
      <c r="BF83" s="54"/>
      <c r="BG83" s="54"/>
      <c r="BH83" s="54"/>
      <c r="BI83" s="54"/>
      <c r="BJ83" s="54"/>
      <c r="BK83" s="54"/>
      <c r="BL83" s="54"/>
      <c r="BM83" s="54"/>
      <c r="BN83" s="54"/>
      <c r="BO83" s="54"/>
      <c r="BP83" s="54"/>
      <c r="BQ83" s="53"/>
      <c r="BR83" s="53"/>
      <c r="BS83" s="54"/>
      <c r="BT83" s="54"/>
      <c r="BU83" s="68"/>
    </row>
    <row r="84" spans="2:73" x14ac:dyDescent="0.3">
      <c r="B84" s="2" t="s">
        <v>163</v>
      </c>
      <c r="C84" s="3" t="s">
        <v>164</v>
      </c>
      <c r="D84" s="63">
        <v>1.5280999999999999E-2</v>
      </c>
      <c r="E84" s="63">
        <f>Tabelle2[[#This Row],[BIP (mrd.)]]*1000000000/Tabelle2[[#This Row],[Bevölkerung]]</f>
        <v>2.4129317096586744</v>
      </c>
      <c r="F84" s="63">
        <v>0.66900000000000004</v>
      </c>
      <c r="G84" s="53">
        <v>342000</v>
      </c>
      <c r="H84" s="63">
        <v>6332960</v>
      </c>
      <c r="I84" s="88"/>
      <c r="J84" s="88">
        <f>Tabelle2[[#This Row],[Strom (mrd.)]]*1000000000/Tabelle2[[#This Row],[Bevölkerung]]</f>
        <v>0</v>
      </c>
      <c r="K84" s="53"/>
      <c r="L84" s="53">
        <f>Tabelle2[[#This Row],[Wohnimmobilien Anzahl]]/Tabelle2[[#This Row],[Bevölkerung]]</f>
        <v>0</v>
      </c>
      <c r="M84" s="53">
        <f t="shared" si="56"/>
        <v>0</v>
      </c>
      <c r="N84" s="53" t="str">
        <f t="shared" si="49"/>
        <v/>
      </c>
      <c r="O84" s="53"/>
      <c r="P84" s="53"/>
      <c r="Q84" s="53">
        <f>1000000*Tabelle2[[#This Row],[Bevölkerung]]*EXP(-17.8941+0.2965*LN((Tabelle2[[#This Row],[BIP (mrd.)]]*1000000000)/Tabelle2[[#This Row],[Bevölkerung]]))</f>
        <v>139226.67707741942</v>
      </c>
      <c r="R84" s="53" t="str">
        <f t="shared" si="50"/>
        <v/>
      </c>
      <c r="S84" s="53" t="str">
        <f t="shared" si="51"/>
        <v/>
      </c>
      <c r="T84" s="53">
        <f>1000000*Tabelle2[[#This Row],[Bevölkerung]]*EXP(-14.22+0.2263*LN((Tabelle2[[#This Row],[BIP (mrd.)]]*1000000000)/Tabelle2[[#This Row],[Bevölkerung]]))</f>
        <v>5158330.3614216708</v>
      </c>
      <c r="U84" s="53" t="str">
        <f t="shared" si="52"/>
        <v/>
      </c>
      <c r="V84" s="53" t="str">
        <f t="shared" si="53"/>
        <v/>
      </c>
      <c r="W84" s="54"/>
      <c r="X84" s="54"/>
      <c r="Y84" s="54" t="str">
        <f t="shared" si="57"/>
        <v/>
      </c>
      <c r="Z84" s="54" t="str">
        <f t="shared" si="58"/>
        <v/>
      </c>
      <c r="AA84" s="54"/>
      <c r="AB84" s="54"/>
      <c r="AC84" s="54"/>
      <c r="AD84" s="54"/>
      <c r="AE84" s="54"/>
      <c r="AF84" s="54"/>
      <c r="AG84" s="54"/>
      <c r="AH84" s="54"/>
      <c r="AI84" s="54">
        <v>0</v>
      </c>
      <c r="AJ84" s="54"/>
      <c r="AK84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201125.05575991189</v>
      </c>
      <c r="AL84" s="54" t="str">
        <f t="shared" si="54"/>
        <v/>
      </c>
      <c r="AM84" s="89" t="str">
        <f t="shared" si="55"/>
        <v/>
      </c>
      <c r="AN84" s="91"/>
      <c r="AO84" s="54"/>
      <c r="AP84" s="53"/>
      <c r="AQ84" s="53"/>
      <c r="AR84" s="53"/>
      <c r="AS84" s="53"/>
      <c r="AT84" s="54"/>
      <c r="AU84" s="54"/>
      <c r="AV84" s="54"/>
      <c r="AW84" s="54"/>
      <c r="AX84" s="54"/>
      <c r="AY84" s="54"/>
      <c r="AZ84" s="53"/>
      <c r="BA84" s="53"/>
      <c r="BB84" s="54"/>
      <c r="BC84" s="54"/>
      <c r="BD84" s="54"/>
      <c r="BE84" s="54"/>
      <c r="BF84" s="54"/>
      <c r="BG84" s="54"/>
      <c r="BH84" s="54"/>
      <c r="BI84" s="54"/>
      <c r="BJ84" s="54"/>
      <c r="BK84" s="54"/>
      <c r="BL84" s="54"/>
      <c r="BM84" s="54"/>
      <c r="BN84" s="54"/>
      <c r="BO84" s="54"/>
      <c r="BP84" s="54"/>
      <c r="BQ84" s="53"/>
      <c r="BR84" s="53"/>
      <c r="BS84" s="54"/>
      <c r="BT84" s="54"/>
      <c r="BU84" s="68"/>
    </row>
    <row r="85" spans="2:73" x14ac:dyDescent="0.3">
      <c r="B85" s="4" t="s">
        <v>165</v>
      </c>
      <c r="C85" s="5" t="s">
        <v>166</v>
      </c>
      <c r="D85" s="63">
        <v>7.9118999999999995E-2</v>
      </c>
      <c r="E85" s="63">
        <f>Tabelle2[[#This Row],[BIP (mrd.)]]*1000000000/Tabelle2[[#This Row],[Bevölkerung]]</f>
        <v>0.72402734134568658</v>
      </c>
      <c r="F85" s="63">
        <v>0.44500000000000001</v>
      </c>
      <c r="G85" s="53">
        <v>2344860</v>
      </c>
      <c r="H85" s="63">
        <v>109276260</v>
      </c>
      <c r="I85" s="88"/>
      <c r="J85" s="88">
        <f>Tabelle2[[#This Row],[Strom (mrd.)]]*1000000000/Tabelle2[[#This Row],[Bevölkerung]]</f>
        <v>0</v>
      </c>
      <c r="K85" s="53"/>
      <c r="L85" s="53">
        <f>Tabelle2[[#This Row],[Wohnimmobilien Anzahl]]/Tabelle2[[#This Row],[Bevölkerung]]</f>
        <v>0</v>
      </c>
      <c r="M85" s="53">
        <f t="shared" si="56"/>
        <v>0</v>
      </c>
      <c r="N85" s="53" t="str">
        <f t="shared" si="49"/>
        <v/>
      </c>
      <c r="O85" s="53"/>
      <c r="P85" s="53"/>
      <c r="Q85" s="53">
        <f>1000000*Tabelle2[[#This Row],[Bevölkerung]]*EXP(-17.8941+0.2965*LN((Tabelle2[[#This Row],[BIP (mrd.)]]*1000000000)/Tabelle2[[#This Row],[Bevölkerung]]))</f>
        <v>1681257.6822304886</v>
      </c>
      <c r="R85" s="53" t="str">
        <f t="shared" si="50"/>
        <v/>
      </c>
      <c r="S85" s="53" t="str">
        <f t="shared" si="51"/>
        <v/>
      </c>
      <c r="T85" s="53">
        <f>1000000*Tabelle2[[#This Row],[Bevölkerung]]*EXP(-14.22+0.2263*LN((Tabelle2[[#This Row],[BIP (mrd.)]]*1000000000)/Tabelle2[[#This Row],[Bevölkerung]]))</f>
        <v>67783008.236086681</v>
      </c>
      <c r="U85" s="53" t="str">
        <f t="shared" si="52"/>
        <v/>
      </c>
      <c r="V85" s="53" t="str">
        <f t="shared" si="53"/>
        <v/>
      </c>
      <c r="W85" s="54"/>
      <c r="X85" s="54"/>
      <c r="Y85" s="54" t="str">
        <f t="shared" si="57"/>
        <v/>
      </c>
      <c r="Z85" s="54" t="str">
        <f t="shared" si="58"/>
        <v/>
      </c>
      <c r="AA85" s="54"/>
      <c r="AB85" s="54"/>
      <c r="AC85" s="54"/>
      <c r="AD85" s="54"/>
      <c r="AE85" s="54"/>
      <c r="AF85" s="54"/>
      <c r="AG85" s="54"/>
      <c r="AH85" s="54"/>
      <c r="AI85" s="54">
        <v>1</v>
      </c>
      <c r="AJ85" s="54"/>
      <c r="AK85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2501408.9261785853</v>
      </c>
      <c r="AL85" s="54" t="str">
        <f t="shared" si="54"/>
        <v/>
      </c>
      <c r="AM85" s="89" t="str">
        <f t="shared" si="55"/>
        <v/>
      </c>
      <c r="AN85" s="91"/>
      <c r="AO85" s="54"/>
      <c r="AP85" s="53"/>
      <c r="AQ85" s="53"/>
      <c r="AR85" s="53"/>
      <c r="AS85" s="53"/>
      <c r="AT85" s="54"/>
      <c r="AU85" s="54"/>
      <c r="AV85" s="54"/>
      <c r="AW85" s="54"/>
      <c r="AX85" s="54"/>
      <c r="AY85" s="54"/>
      <c r="AZ85" s="53"/>
      <c r="BA85" s="53"/>
      <c r="BB85" s="54"/>
      <c r="BC85" s="54"/>
      <c r="BD85" s="54"/>
      <c r="BE85" s="54"/>
      <c r="BF85" s="54"/>
      <c r="BG85" s="54"/>
      <c r="BH85" s="54"/>
      <c r="BI85" s="54"/>
      <c r="BJ85" s="54"/>
      <c r="BK85" s="54"/>
      <c r="BL85" s="54"/>
      <c r="BM85" s="54"/>
      <c r="BN85" s="54"/>
      <c r="BO85" s="54"/>
      <c r="BP85" s="54"/>
      <c r="BQ85" s="53"/>
      <c r="BR85" s="53"/>
      <c r="BS85" s="54"/>
      <c r="BT85" s="54"/>
      <c r="BU85" s="68"/>
    </row>
    <row r="86" spans="2:73" x14ac:dyDescent="0.3">
      <c r="B86" s="4" t="s">
        <v>167</v>
      </c>
      <c r="C86" s="5" t="s">
        <v>168</v>
      </c>
      <c r="D86" s="63">
        <v>0</v>
      </c>
      <c r="E86" s="63">
        <f>Tabelle2[[#This Row],[BIP (mrd.)]]*1000000000/Tabelle2[[#This Row],[Bevölkerung]]</f>
        <v>0</v>
      </c>
      <c r="F86" s="63">
        <v>0.61899999999999999</v>
      </c>
      <c r="G86" s="53">
        <v>120540</v>
      </c>
      <c r="H86" s="63">
        <v>26498820</v>
      </c>
      <c r="I86" s="88"/>
      <c r="J86" s="88">
        <f>Tabelle2[[#This Row],[Strom (mrd.)]]*1000000000/Tabelle2[[#This Row],[Bevölkerung]]</f>
        <v>0</v>
      </c>
      <c r="K86" s="53"/>
      <c r="L86" s="53">
        <f>Tabelle2[[#This Row],[Wohnimmobilien Anzahl]]/Tabelle2[[#This Row],[Bevölkerung]]</f>
        <v>0</v>
      </c>
      <c r="M86" s="53">
        <f t="shared" si="56"/>
        <v>0</v>
      </c>
      <c r="N86" s="53" t="str">
        <f t="shared" si="49"/>
        <v/>
      </c>
      <c r="O86" s="53"/>
      <c r="P86" s="53"/>
      <c r="Q86" s="53" t="e">
        <f>1000000*Tabelle2[[#This Row],[Bevölkerung]]*EXP(-17.8941+0.2965*LN((Tabelle2[[#This Row],[BIP (mrd.)]]*1000000000)/Tabelle2[[#This Row],[Bevölkerung]]))</f>
        <v>#NUM!</v>
      </c>
      <c r="R86" s="53" t="str">
        <f t="shared" si="50"/>
        <v/>
      </c>
      <c r="S86" s="53" t="str">
        <f t="shared" si="51"/>
        <v/>
      </c>
      <c r="T86" s="53" t="e">
        <f>1000000*Tabelle2[[#This Row],[Bevölkerung]]*EXP(-14.22+0.2263*LN((Tabelle2[[#This Row],[BIP (mrd.)]]*1000000000)/Tabelle2[[#This Row],[Bevölkerung]]))</f>
        <v>#NUM!</v>
      </c>
      <c r="U86" s="53" t="str">
        <f t="shared" si="52"/>
        <v/>
      </c>
      <c r="V86" s="53" t="str">
        <f t="shared" si="53"/>
        <v/>
      </c>
      <c r="W86" s="54"/>
      <c r="X86" s="54"/>
      <c r="Y86" s="54" t="str">
        <f t="shared" si="57"/>
        <v/>
      </c>
      <c r="Z86" s="54" t="str">
        <f t="shared" si="58"/>
        <v/>
      </c>
      <c r="AA86" s="54"/>
      <c r="AB86" s="54"/>
      <c r="AC86" s="54"/>
      <c r="AD86" s="54"/>
      <c r="AE86" s="54"/>
      <c r="AF86" s="54"/>
      <c r="AG86" s="54"/>
      <c r="AH86" s="54"/>
      <c r="AI86" s="54">
        <v>0</v>
      </c>
      <c r="AJ86" s="54"/>
      <c r="AK86" s="80"/>
      <c r="AL86" s="54" t="str">
        <f t="shared" si="54"/>
        <v/>
      </c>
      <c r="AM86" s="89" t="str">
        <f t="shared" si="55"/>
        <v/>
      </c>
      <c r="AN86" s="91"/>
      <c r="AO86" s="54"/>
      <c r="AP86" s="53"/>
      <c r="AQ86" s="53"/>
      <c r="AR86" s="53"/>
      <c r="AS86" s="53"/>
      <c r="AT86" s="54"/>
      <c r="AU86" s="54"/>
      <c r="AV86" s="54"/>
      <c r="AW86" s="54"/>
      <c r="AX86" s="54"/>
      <c r="AY86" s="54"/>
      <c r="AZ86" s="53"/>
      <c r="BA86" s="53"/>
      <c r="BB86" s="54"/>
      <c r="BC86" s="54"/>
      <c r="BD86" s="54"/>
      <c r="BE86" s="54"/>
      <c r="BF86" s="54"/>
      <c r="BG86" s="54"/>
      <c r="BH86" s="54"/>
      <c r="BI86" s="54"/>
      <c r="BJ86" s="54"/>
      <c r="BK86" s="54"/>
      <c r="BL86" s="54"/>
      <c r="BM86" s="54"/>
      <c r="BN86" s="54"/>
      <c r="BO86" s="54"/>
      <c r="BP86" s="54"/>
      <c r="BQ86" s="53"/>
      <c r="BR86" s="53"/>
      <c r="BS86" s="54"/>
      <c r="BT86" s="54"/>
      <c r="BU86" s="68"/>
    </row>
    <row r="87" spans="2:73" x14ac:dyDescent="0.3">
      <c r="B87" s="15" t="s">
        <v>169</v>
      </c>
      <c r="C87" s="16" t="s">
        <v>170</v>
      </c>
      <c r="D87" s="63">
        <v>1.7903219999999997</v>
      </c>
      <c r="E87" s="63">
        <f>Tabelle2[[#This Row],[BIP (mrd.)]]*1000000000/Tabelle2[[#This Row],[Bevölkerung]]</f>
        <v>34.594878907817744</v>
      </c>
      <c r="F87" s="63">
        <v>0.81499999999999995</v>
      </c>
      <c r="G87" s="53">
        <v>100450</v>
      </c>
      <c r="H87" s="63">
        <v>51751070</v>
      </c>
      <c r="I87" s="88"/>
      <c r="J87" s="88">
        <f>Tabelle2[[#This Row],[Strom (mrd.)]]*1000000000/Tabelle2[[#This Row],[Bevölkerung]]</f>
        <v>0</v>
      </c>
      <c r="K87" s="53"/>
      <c r="L87" s="53">
        <f>Tabelle2[[#This Row],[Wohnimmobilien Anzahl]]/Tabelle2[[#This Row],[Bevölkerung]]</f>
        <v>0</v>
      </c>
      <c r="M87" s="53">
        <f t="shared" si="56"/>
        <v>0</v>
      </c>
      <c r="N87" s="53" t="str">
        <f t="shared" si="49"/>
        <v/>
      </c>
      <c r="O87" s="53"/>
      <c r="P87" s="53"/>
      <c r="Q87" s="53">
        <f>1000000*Tabelle2[[#This Row],[Bevölkerung]]*EXP(-17.8941+0.2965*LN((Tabelle2[[#This Row],[BIP (mrd.)]]*1000000000)/Tabelle2[[#This Row],[Bevölkerung]]))</f>
        <v>2505690.6251575062</v>
      </c>
      <c r="R87" s="53" t="str">
        <f t="shared" si="50"/>
        <v/>
      </c>
      <c r="S87" s="53" t="str">
        <f t="shared" si="51"/>
        <v/>
      </c>
      <c r="T87" s="53">
        <f>1000000*Tabelle2[[#This Row],[Bevölkerung]]*EXP(-14.22+0.2263*LN((Tabelle2[[#This Row],[BIP (mrd.)]]*1000000000)/Tabelle2[[#This Row],[Bevölkerung]]))</f>
        <v>77006994.676731795</v>
      </c>
      <c r="U87" s="53" t="str">
        <f t="shared" si="52"/>
        <v/>
      </c>
      <c r="V87" s="53" t="str">
        <f t="shared" si="53"/>
        <v/>
      </c>
      <c r="W87" s="54"/>
      <c r="X87" s="54"/>
      <c r="Y87" s="54" t="str">
        <f t="shared" si="57"/>
        <v/>
      </c>
      <c r="Z87" s="54" t="str">
        <f t="shared" si="58"/>
        <v/>
      </c>
      <c r="AA87" s="54"/>
      <c r="AB87" s="54"/>
      <c r="AC87" s="54"/>
      <c r="AD87" s="54"/>
      <c r="AE87" s="54"/>
      <c r="AF87" s="54"/>
      <c r="AG87" s="54"/>
      <c r="AH87" s="54"/>
      <c r="AI87" s="54">
        <v>0</v>
      </c>
      <c r="AJ87" s="54"/>
      <c r="AK87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3391064.4158045626</v>
      </c>
      <c r="AL87" s="54" t="str">
        <f t="shared" si="54"/>
        <v/>
      </c>
      <c r="AM87" s="89" t="str">
        <f t="shared" si="55"/>
        <v/>
      </c>
      <c r="AN87" s="91"/>
      <c r="AO87" s="54"/>
      <c r="AP87" s="53"/>
      <c r="AQ87" s="53"/>
      <c r="AR87" s="53"/>
      <c r="AS87" s="53"/>
      <c r="AT87" s="54"/>
      <c r="AU87" s="54"/>
      <c r="AV87" s="54"/>
      <c r="AW87" s="54"/>
      <c r="AX87" s="54"/>
      <c r="AY87" s="54"/>
      <c r="AZ87" s="53"/>
      <c r="BA87" s="53"/>
      <c r="BB87" s="54"/>
      <c r="BC87" s="54"/>
      <c r="BD87" s="54"/>
      <c r="BE87" s="54"/>
      <c r="BF87" s="54"/>
      <c r="BG87" s="54"/>
      <c r="BH87" s="54"/>
      <c r="BI87" s="54"/>
      <c r="BJ87" s="54"/>
      <c r="BK87" s="54"/>
      <c r="BL87" s="54"/>
      <c r="BM87" s="54"/>
      <c r="BN87" s="54"/>
      <c r="BO87" s="54"/>
      <c r="BP87" s="54"/>
      <c r="BQ87" s="53"/>
      <c r="BR87" s="53"/>
      <c r="BS87" s="54"/>
      <c r="BT87" s="54"/>
      <c r="BU87" s="68"/>
    </row>
    <row r="88" spans="2:73" x14ac:dyDescent="0.3">
      <c r="B88" s="17" t="s">
        <v>171</v>
      </c>
      <c r="C88" s="18" t="s">
        <v>172</v>
      </c>
      <c r="D88" s="63">
        <v>98.950999999999993</v>
      </c>
      <c r="E88" s="63">
        <f>Tabelle2[[#This Row],[BIP (mrd.)]]*1000000000/Tabelle2[[#This Row],[Bevölkerung]]</f>
        <v>25593.202803714146</v>
      </c>
      <c r="F88" s="63">
        <v>0.56899999999999995</v>
      </c>
      <c r="G88" s="53">
        <v>88070</v>
      </c>
      <c r="H88" s="63">
        <v>3866300</v>
      </c>
      <c r="I88" s="88">
        <v>16.408000000000001</v>
      </c>
      <c r="J88" s="88">
        <f>Tabelle2[[#This Row],[Strom (mrd.)]]*1000000000/Tabelle2[[#This Row],[Bevölkerung]]</f>
        <v>4243.8507099811195</v>
      </c>
      <c r="K88" s="53">
        <v>1620000</v>
      </c>
      <c r="L88" s="53">
        <f>1000000*Tabelle2[[#This Row],[Bevölkerung]]*EXP(-15.4183+0.052*LN((Tabelle2[[#This Row],[BIP (mrd.)]]*1000000000)/Tabelle2[[#This Row],[Bevölkerung]]))</f>
        <v>1319579.0754001909</v>
      </c>
      <c r="M88" s="53">
        <f t="shared" ref="M88:M89" si="61">IF(AND(ISNUMBER(K88), ISNUMBER(L88)), K88-L88, "")</f>
        <v>300420.92459980911</v>
      </c>
      <c r="N88" s="65">
        <f t="shared" si="49"/>
        <v>-0.18544501518506734</v>
      </c>
      <c r="O88" s="53"/>
      <c r="P88" s="53">
        <v>1433445</v>
      </c>
      <c r="Q88" s="53">
        <f>1000000*Tabelle2[[#This Row],[Bevölkerung]]*EXP(-17.8941+0.2965*LN((Tabelle2[[#This Row],[BIP (mrd.)]]*1000000000)/Tabelle2[[#This Row],[Bevölkerung]]))</f>
        <v>1327381.0584514521</v>
      </c>
      <c r="R88" s="53">
        <f t="shared" si="50"/>
        <v>106063.94154854794</v>
      </c>
      <c r="S88" s="65">
        <f t="shared" si="51"/>
        <v>-7.3992334235738338E-2</v>
      </c>
      <c r="T88" s="53">
        <f>1000000*Tabelle2[[#This Row],[Wohneinheiten Anzahl]]*EXP(-14.22+0.02263*LN((Tabelle2[[#This Row],[BIP (mrd.)]]*1000000000)/Tabelle2[[#This Row],[Bevölkerung]]))</f>
        <v>2008349.6996359183</v>
      </c>
      <c r="U88" s="65">
        <f t="shared" si="52"/>
        <v>-574904.69963591825</v>
      </c>
      <c r="V88" s="65">
        <f t="shared" si="53"/>
        <v>0.40106505630555639</v>
      </c>
      <c r="W88" s="54"/>
      <c r="X88" s="53">
        <f>1000000*Tabelle2[[#This Row],[Bevölkerung]]*EXP(-17.9119+0.2965*LN((Tabelle2[[#This Row],[BIP (mrd.)]]*1000000000)/Tabelle2[[#This Row],[Bevölkerung]]))</f>
        <v>1303962.7171674529</v>
      </c>
      <c r="Y88" s="53" t="str">
        <f t="shared" si="57"/>
        <v/>
      </c>
      <c r="Z88" s="65" t="str">
        <f t="shared" si="58"/>
        <v/>
      </c>
      <c r="AA88" s="54"/>
      <c r="AB88" s="54"/>
      <c r="AC88" s="54"/>
      <c r="AD88" s="54"/>
      <c r="AE88" s="54"/>
      <c r="AF88" s="54"/>
      <c r="AG88" s="54"/>
      <c r="AH88" s="54">
        <v>0</v>
      </c>
      <c r="AI88" s="54" t="s">
        <v>989</v>
      </c>
      <c r="AJ88" s="54">
        <v>2391944</v>
      </c>
      <c r="AK88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1527955.9614940961</v>
      </c>
      <c r="AL88" s="54">
        <f t="shared" si="54"/>
        <v>863988.03850590391</v>
      </c>
      <c r="AM88" s="89">
        <f t="shared" si="55"/>
        <v>-0.36120746911545754</v>
      </c>
      <c r="AN88" s="91">
        <f t="shared" si="60"/>
        <v>0.36120746911545754</v>
      </c>
      <c r="AO88" s="54"/>
      <c r="AP88" s="53"/>
      <c r="AQ88" s="53"/>
      <c r="AR88" s="53"/>
      <c r="AS88" s="53"/>
      <c r="AT88" s="54"/>
      <c r="AU88" s="54"/>
      <c r="AV88" s="54"/>
      <c r="AW88" s="54"/>
      <c r="AX88" s="54"/>
      <c r="AY88" s="54"/>
      <c r="AZ88" s="53"/>
      <c r="BA88" s="53"/>
      <c r="BB88" s="54"/>
      <c r="BC88" s="54"/>
      <c r="BD88" s="54"/>
      <c r="BE88" s="54"/>
      <c r="BF88" s="54"/>
      <c r="BG88" s="54"/>
      <c r="BH88" s="54"/>
      <c r="BI88" s="54"/>
      <c r="BJ88" s="54"/>
      <c r="BK88" s="54"/>
      <c r="BL88" s="54"/>
      <c r="BM88" s="54"/>
      <c r="BN88" s="54"/>
      <c r="BO88" s="54"/>
      <c r="BP88" s="54"/>
      <c r="BQ88" s="53"/>
      <c r="BR88" s="53"/>
      <c r="BS88" s="54"/>
      <c r="BT88" s="54"/>
      <c r="BU88" s="68"/>
    </row>
    <row r="89" spans="2:73" x14ac:dyDescent="0.3">
      <c r="B89" s="2" t="s">
        <v>173</v>
      </c>
      <c r="C89" s="3" t="s">
        <v>174</v>
      </c>
      <c r="D89" s="63">
        <v>107</v>
      </c>
      <c r="E89" s="63">
        <f>Tabelle2[[#This Row],[BIP (mrd.)]]*1000000000/Tabelle2[[#This Row],[Bevölkerung]]</f>
        <v>9745.186151270791</v>
      </c>
      <c r="F89" s="63">
        <v>0.77</v>
      </c>
      <c r="G89" s="53">
        <v>109880</v>
      </c>
      <c r="H89" s="63">
        <v>10979780</v>
      </c>
      <c r="I89" s="88">
        <v>11.951000000000001</v>
      </c>
      <c r="J89" s="88">
        <f>Tabelle2[[#This Row],[Strom (mrd.)]]*1000000000/Tabelle2[[#This Row],[Bevölkerung]]</f>
        <v>1088.4553242414693</v>
      </c>
      <c r="K89" s="53"/>
      <c r="L89" s="53">
        <f>1000000*Tabelle2[[#This Row],[Bevölkerung]]*EXP(-15.4183+0.052*LN((Tabelle2[[#This Row],[BIP (mrd.)]]*1000000000)/Tabelle2[[#This Row],[Bevölkerung]]))</f>
        <v>3563921.3823563969</v>
      </c>
      <c r="M89" s="53" t="str">
        <f t="shared" si="61"/>
        <v/>
      </c>
      <c r="N89" s="65" t="str">
        <f t="shared" si="49"/>
        <v/>
      </c>
      <c r="O89" s="53"/>
      <c r="P89" s="53">
        <v>3734569</v>
      </c>
      <c r="Q89" s="53">
        <f>1000000*Tabelle2[[#This Row],[Bevölkerung]]*EXP(-17.8941+0.2965*LN((Tabelle2[[#This Row],[BIP (mrd.)]]*1000000000)/Tabelle2[[#This Row],[Bevölkerung]]))</f>
        <v>2831137.9154797811</v>
      </c>
      <c r="R89" s="53">
        <f t="shared" si="50"/>
        <v>903431.08452021889</v>
      </c>
      <c r="S89" s="65">
        <f t="shared" si="51"/>
        <v>-0.24191040104499847</v>
      </c>
      <c r="T89" s="53">
        <f>1000000*Tabelle2[[#This Row],[Wohneinheiten Anzahl]]*EXP(-14.22+0.02263*LN((Tabelle2[[#This Row],[BIP (mrd.)]]*1000000000)/Tabelle2[[#This Row],[Bevölkerung]]))</f>
        <v>3189346.8403633395</v>
      </c>
      <c r="U89" s="65">
        <f t="shared" si="52"/>
        <v>545222.15963666048</v>
      </c>
      <c r="V89" s="65">
        <f t="shared" si="53"/>
        <v>-0.14599332871789503</v>
      </c>
      <c r="W89" s="54"/>
      <c r="X89" s="53">
        <f>1000000*Tabelle2[[#This Row],[Bevölkerung]]*EXP(-17.9119+0.2965*LN((Tabelle2[[#This Row],[BIP (mrd.)]]*1000000000)/Tabelle2[[#This Row],[Bevölkerung]]))</f>
        <v>2781189.5201002937</v>
      </c>
      <c r="Y89" s="53" t="str">
        <f t="shared" si="57"/>
        <v/>
      </c>
      <c r="Z89" s="65" t="str">
        <f t="shared" si="58"/>
        <v/>
      </c>
      <c r="AA89" s="54"/>
      <c r="AB89" s="54"/>
      <c r="AC89" s="54"/>
      <c r="AD89" s="54"/>
      <c r="AE89" s="54"/>
      <c r="AF89" s="54"/>
      <c r="AG89" s="54"/>
      <c r="AH89" s="54">
        <v>0</v>
      </c>
      <c r="AI89" s="54" t="s">
        <v>988</v>
      </c>
      <c r="AJ89" s="54">
        <v>3882424</v>
      </c>
      <c r="AK89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3336951.8920300021</v>
      </c>
      <c r="AL89" s="54">
        <f t="shared" si="54"/>
        <v>545472.10796999792</v>
      </c>
      <c r="AM89" s="89">
        <f t="shared" si="55"/>
        <v>-0.1404978199109623</v>
      </c>
      <c r="AN89" s="91">
        <f t="shared" si="60"/>
        <v>0.1404978199109623</v>
      </c>
      <c r="AO89" s="54"/>
      <c r="AP89" s="53"/>
      <c r="AQ89" s="53"/>
      <c r="AR89" s="53"/>
      <c r="AS89" s="53"/>
      <c r="AT89" s="54"/>
      <c r="AU89" s="54"/>
      <c r="AV89" s="54"/>
      <c r="AW89" s="54"/>
      <c r="AX89" s="54"/>
      <c r="AY89" s="54"/>
      <c r="AZ89" s="53"/>
      <c r="BA89" s="53"/>
      <c r="BB89" s="54"/>
      <c r="BC89" s="54"/>
      <c r="BD89" s="54"/>
      <c r="BE89" s="54"/>
      <c r="BF89" s="54"/>
      <c r="BG89" s="54"/>
      <c r="BH89" s="54"/>
      <c r="BI89" s="54"/>
      <c r="BJ89" s="54"/>
      <c r="BK89" s="54"/>
      <c r="BL89" s="54"/>
      <c r="BM89" s="54"/>
      <c r="BN89" s="54"/>
      <c r="BO89" s="54"/>
      <c r="BP89" s="54"/>
      <c r="BQ89" s="53"/>
      <c r="BR89" s="53"/>
      <c r="BS89" s="54"/>
      <c r="BT89" s="54"/>
      <c r="BU89" s="68"/>
    </row>
    <row r="90" spans="2:73" x14ac:dyDescent="0.3">
      <c r="B90" s="2" t="s">
        <v>175</v>
      </c>
      <c r="C90" s="3" t="s">
        <v>176</v>
      </c>
      <c r="D90" s="63">
        <v>0.15310099999999999</v>
      </c>
      <c r="E90" s="63">
        <f>Tabelle2[[#This Row],[BIP (mrd.)]]*1000000000/Tabelle2[[#This Row],[Bevölkerung]]</f>
        <v>30.781123714780875</v>
      </c>
      <c r="F90" s="63">
        <v>1</v>
      </c>
      <c r="G90" s="53">
        <v>17820</v>
      </c>
      <c r="H90" s="63">
        <v>4973860</v>
      </c>
      <c r="I90" s="88"/>
      <c r="J90" s="88">
        <f>Tabelle2[[#This Row],[Strom (mrd.)]]*1000000000/Tabelle2[[#This Row],[Bevölkerung]]</f>
        <v>0</v>
      </c>
      <c r="K90" s="53"/>
      <c r="L90" s="53">
        <f>Tabelle2[[#This Row],[Wohnimmobilien Anzahl]]/Tabelle2[[#This Row],[Bevölkerung]]</f>
        <v>0</v>
      </c>
      <c r="M90" s="53">
        <f t="shared" si="56"/>
        <v>0</v>
      </c>
      <c r="N90" s="53" t="str">
        <f t="shared" si="49"/>
        <v/>
      </c>
      <c r="O90" s="53"/>
      <c r="P90" s="53"/>
      <c r="Q90" s="53">
        <f>1000000*Tabelle2[[#This Row],[Bevölkerung]]*EXP(-17.8941+0.2965*LN((Tabelle2[[#This Row],[BIP (mrd.)]]*1000000000)/Tabelle2[[#This Row],[Bevölkerung]]))</f>
        <v>232627.47877033069</v>
      </c>
      <c r="R90" s="53" t="str">
        <f t="shared" si="50"/>
        <v/>
      </c>
      <c r="S90" s="53" t="str">
        <f t="shared" si="51"/>
        <v/>
      </c>
      <c r="T90" s="53">
        <f>1000000*Tabelle2[[#This Row],[Bevölkerung]]*EXP(-14.22+0.2263*LN((Tabelle2[[#This Row],[BIP (mrd.)]]*1000000000)/Tabelle2[[#This Row],[Bevölkerung]]))</f>
        <v>7208166.3369021323</v>
      </c>
      <c r="U90" s="53" t="str">
        <f t="shared" si="52"/>
        <v/>
      </c>
      <c r="V90" s="53" t="str">
        <f t="shared" si="53"/>
        <v/>
      </c>
      <c r="W90" s="54"/>
      <c r="X90" s="54"/>
      <c r="Y90" s="54" t="str">
        <f t="shared" si="57"/>
        <v/>
      </c>
      <c r="Z90" s="54" t="str">
        <f t="shared" si="58"/>
        <v/>
      </c>
      <c r="AA90" s="54"/>
      <c r="AB90" s="54"/>
      <c r="AC90" s="54"/>
      <c r="AD90" s="54"/>
      <c r="AE90" s="54"/>
      <c r="AF90" s="54"/>
      <c r="AG90" s="54"/>
      <c r="AH90" s="54"/>
      <c r="AI90" s="54">
        <v>0</v>
      </c>
      <c r="AJ90" s="54"/>
      <c r="AK90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315728.31558169913</v>
      </c>
      <c r="AL90" s="54" t="str">
        <f t="shared" si="54"/>
        <v/>
      </c>
      <c r="AM90" s="89" t="str">
        <f t="shared" si="55"/>
        <v/>
      </c>
      <c r="AN90" s="91"/>
      <c r="AO90" s="54"/>
      <c r="AP90" s="53"/>
      <c r="AQ90" s="53"/>
      <c r="AR90" s="53"/>
      <c r="AS90" s="53"/>
      <c r="AT90" s="54"/>
      <c r="AU90" s="54"/>
      <c r="AV90" s="54"/>
      <c r="AW90" s="54"/>
      <c r="AX90" s="54"/>
      <c r="AY90" s="54"/>
      <c r="AZ90" s="53"/>
      <c r="BA90" s="53"/>
      <c r="BB90" s="54"/>
      <c r="BC90" s="54"/>
      <c r="BD90" s="54"/>
      <c r="BE90" s="54"/>
      <c r="BF90" s="54"/>
      <c r="BG90" s="54"/>
      <c r="BH90" s="54"/>
      <c r="BI90" s="54"/>
      <c r="BJ90" s="54"/>
      <c r="BK90" s="54"/>
      <c r="BL90" s="54"/>
      <c r="BM90" s="54"/>
      <c r="BN90" s="54"/>
      <c r="BO90" s="54"/>
      <c r="BP90" s="54"/>
      <c r="BQ90" s="53"/>
      <c r="BR90" s="53"/>
      <c r="BS90" s="54"/>
      <c r="BT90" s="54"/>
      <c r="BU90" s="68"/>
    </row>
    <row r="91" spans="2:73" x14ac:dyDescent="0.3">
      <c r="B91" s="2" t="s">
        <v>177</v>
      </c>
      <c r="C91" s="3" t="s">
        <v>178</v>
      </c>
      <c r="D91" s="63">
        <v>1.6322E-2</v>
      </c>
      <c r="E91" s="63">
        <f>Tabelle2[[#This Row],[BIP (mrd.)]]*1000000000/Tabelle2[[#This Row],[Bevölkerung]]</f>
        <v>2.1006921653268673</v>
      </c>
      <c r="F91" s="63">
        <v>0.35</v>
      </c>
      <c r="G91" s="53">
        <v>236800</v>
      </c>
      <c r="H91" s="63">
        <v>7769820</v>
      </c>
      <c r="I91" s="88"/>
      <c r="J91" s="88">
        <f>Tabelle2[[#This Row],[Strom (mrd.)]]*1000000000/Tabelle2[[#This Row],[Bevölkerung]]</f>
        <v>0</v>
      </c>
      <c r="K91" s="53"/>
      <c r="L91" s="53">
        <f>Tabelle2[[#This Row],[Wohnimmobilien Anzahl]]/Tabelle2[[#This Row],[Bevölkerung]]</f>
        <v>0</v>
      </c>
      <c r="M91" s="53">
        <f t="shared" si="56"/>
        <v>0</v>
      </c>
      <c r="N91" s="53" t="str">
        <f t="shared" si="49"/>
        <v/>
      </c>
      <c r="O91" s="53"/>
      <c r="P91" s="53"/>
      <c r="Q91" s="53">
        <f>1000000*Tabelle2[[#This Row],[Bevölkerung]]*EXP(-17.8941+0.2965*LN((Tabelle2[[#This Row],[BIP (mrd.)]]*1000000000)/Tabelle2[[#This Row],[Bevölkerung]]))</f>
        <v>163939.09203261518</v>
      </c>
      <c r="R91" s="53" t="str">
        <f t="shared" si="50"/>
        <v/>
      </c>
      <c r="S91" s="53" t="str">
        <f t="shared" si="51"/>
        <v/>
      </c>
      <c r="T91" s="53">
        <f>1000000*Tabelle2[[#This Row],[Bevölkerung]]*EXP(-14.22+0.2263*LN((Tabelle2[[#This Row],[BIP (mrd.)]]*1000000000)/Tabelle2[[#This Row],[Bevölkerung]]))</f>
        <v>6133297.6250609383</v>
      </c>
      <c r="U91" s="53" t="str">
        <f t="shared" si="52"/>
        <v/>
      </c>
      <c r="V91" s="53" t="str">
        <f t="shared" si="53"/>
        <v/>
      </c>
      <c r="W91" s="54"/>
      <c r="X91" s="54"/>
      <c r="Y91" s="54" t="str">
        <f t="shared" si="57"/>
        <v/>
      </c>
      <c r="Z91" s="54" t="str">
        <f t="shared" si="58"/>
        <v/>
      </c>
      <c r="AA91" s="54"/>
      <c r="AB91" s="54"/>
      <c r="AC91" s="54"/>
      <c r="AD91" s="54"/>
      <c r="AE91" s="54"/>
      <c r="AF91" s="54"/>
      <c r="AG91" s="54"/>
      <c r="AH91" s="54"/>
      <c r="AI91" s="54">
        <v>0</v>
      </c>
      <c r="AJ91" s="54"/>
      <c r="AK91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237629.49952851643</v>
      </c>
      <c r="AL91" s="54" t="str">
        <f t="shared" si="54"/>
        <v/>
      </c>
      <c r="AM91" s="89" t="str">
        <f t="shared" si="55"/>
        <v/>
      </c>
      <c r="AN91" s="91"/>
      <c r="AO91" s="54"/>
      <c r="AP91" s="53"/>
      <c r="AQ91" s="53"/>
      <c r="AR91" s="53"/>
      <c r="AS91" s="53"/>
      <c r="AT91" s="54"/>
      <c r="AU91" s="54"/>
      <c r="AV91" s="54"/>
      <c r="AW91" s="54"/>
      <c r="AX91" s="54"/>
      <c r="AY91" s="54"/>
      <c r="AZ91" s="53"/>
      <c r="BA91" s="53"/>
      <c r="BB91" s="54"/>
      <c r="BC91" s="54"/>
      <c r="BD91" s="54"/>
      <c r="BE91" s="54"/>
      <c r="BF91" s="54"/>
      <c r="BG91" s="54"/>
      <c r="BH91" s="54"/>
      <c r="BI91" s="54"/>
      <c r="BJ91" s="54"/>
      <c r="BK91" s="54"/>
      <c r="BL91" s="54"/>
      <c r="BM91" s="54"/>
      <c r="BN91" s="54"/>
      <c r="BO91" s="54"/>
      <c r="BP91" s="54"/>
      <c r="BQ91" s="53"/>
      <c r="BR91" s="53"/>
      <c r="BS91" s="54"/>
      <c r="BT91" s="54"/>
      <c r="BU91" s="68"/>
    </row>
    <row r="92" spans="2:73" x14ac:dyDescent="0.3">
      <c r="B92" s="4" t="s">
        <v>179</v>
      </c>
      <c r="C92" s="5" t="s">
        <v>180</v>
      </c>
      <c r="D92" s="63">
        <v>2.4039999999999999E-3</v>
      </c>
      <c r="E92" s="63">
        <f>Tabelle2[[#This Row],[BIP (mrd.)]]*1000000000/Tabelle2[[#This Row],[Bevölkerung]]</f>
        <v>1.0284843973269673</v>
      </c>
      <c r="F92" s="63">
        <v>0.28199999999999997</v>
      </c>
      <c r="G92" s="53">
        <v>30360</v>
      </c>
      <c r="H92" s="63">
        <v>2337420</v>
      </c>
      <c r="I92" s="88"/>
      <c r="J92" s="88">
        <f>Tabelle2[[#This Row],[Strom (mrd.)]]*1000000000/Tabelle2[[#This Row],[Bevölkerung]]</f>
        <v>0</v>
      </c>
      <c r="K92" s="53"/>
      <c r="L92" s="53">
        <f>Tabelle2[[#This Row],[Wohnimmobilien Anzahl]]/Tabelle2[[#This Row],[Bevölkerung]]</f>
        <v>0</v>
      </c>
      <c r="M92" s="53">
        <f t="shared" si="56"/>
        <v>0</v>
      </c>
      <c r="N92" s="53" t="str">
        <f t="shared" si="49"/>
        <v/>
      </c>
      <c r="O92" s="53"/>
      <c r="P92" s="53"/>
      <c r="Q92" s="53">
        <f>1000000*Tabelle2[[#This Row],[Bevölkerung]]*EXP(-17.8941+0.2965*LN((Tabelle2[[#This Row],[BIP (mrd.)]]*1000000000)/Tabelle2[[#This Row],[Bevölkerung]]))</f>
        <v>39906.57789918661</v>
      </c>
      <c r="R92" s="53" t="str">
        <f t="shared" si="50"/>
        <v/>
      </c>
      <c r="S92" s="53" t="str">
        <f t="shared" si="51"/>
        <v/>
      </c>
      <c r="T92" s="53">
        <f>1000000*Tabelle2[[#This Row],[Bevölkerung]]*EXP(-14.22+0.2263*LN((Tabelle2[[#This Row],[BIP (mrd.)]]*1000000000)/Tabelle2[[#This Row],[Bevölkerung]]))</f>
        <v>1569746.6478231195</v>
      </c>
      <c r="U92" s="53" t="str">
        <f t="shared" si="52"/>
        <v/>
      </c>
      <c r="V92" s="53" t="str">
        <f t="shared" si="53"/>
        <v/>
      </c>
      <c r="W92" s="54"/>
      <c r="X92" s="54"/>
      <c r="Y92" s="54" t="str">
        <f t="shared" si="57"/>
        <v/>
      </c>
      <c r="Z92" s="54" t="str">
        <f t="shared" si="58"/>
        <v/>
      </c>
      <c r="AA92" s="54"/>
      <c r="AB92" s="54"/>
      <c r="AC92" s="54"/>
      <c r="AD92" s="54"/>
      <c r="AE92" s="54"/>
      <c r="AF92" s="54"/>
      <c r="AG92" s="54"/>
      <c r="AH92" s="54"/>
      <c r="AI92" s="54">
        <v>0</v>
      </c>
      <c r="AJ92" s="54"/>
      <c r="AK92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58866.150229120845</v>
      </c>
      <c r="AL92" s="54" t="str">
        <f t="shared" si="54"/>
        <v/>
      </c>
      <c r="AM92" s="89" t="str">
        <f t="shared" si="55"/>
        <v/>
      </c>
      <c r="AN92" s="91"/>
      <c r="AO92" s="54"/>
      <c r="AP92" s="53"/>
      <c r="AQ92" s="53"/>
      <c r="AR92" s="53"/>
      <c r="AS92" s="53"/>
      <c r="AT92" s="54"/>
      <c r="AU92" s="54"/>
      <c r="AV92" s="54"/>
      <c r="AW92" s="54"/>
      <c r="AX92" s="54"/>
      <c r="AY92" s="54"/>
      <c r="AZ92" s="53"/>
      <c r="BA92" s="53"/>
      <c r="BB92" s="54"/>
      <c r="BC92" s="54"/>
      <c r="BD92" s="54"/>
      <c r="BE92" s="54"/>
      <c r="BF92" s="54"/>
      <c r="BG92" s="54"/>
      <c r="BH92" s="54"/>
      <c r="BI92" s="54"/>
      <c r="BJ92" s="54"/>
      <c r="BK92" s="54"/>
      <c r="BL92" s="54"/>
      <c r="BM92" s="54"/>
      <c r="BN92" s="54"/>
      <c r="BO92" s="54"/>
      <c r="BP92" s="54"/>
      <c r="BQ92" s="53"/>
      <c r="BR92" s="53"/>
      <c r="BS92" s="54"/>
      <c r="BT92" s="54"/>
      <c r="BU92" s="68"/>
    </row>
    <row r="93" spans="2:73" x14ac:dyDescent="0.3">
      <c r="B93" s="2" t="s">
        <v>181</v>
      </c>
      <c r="C93" s="3" t="s">
        <v>182</v>
      </c>
      <c r="D93" s="63">
        <v>45.535000000000011</v>
      </c>
      <c r="E93" s="63">
        <f>Tabelle2[[#This Row],[BIP (mrd.)]]*1000000000/Tabelle2[[#This Row],[Bevölkerung]]</f>
        <v>24449.109769979172</v>
      </c>
      <c r="F93" s="63">
        <v>0.68100000000000005</v>
      </c>
      <c r="G93" s="53">
        <v>64590</v>
      </c>
      <c r="H93" s="63">
        <v>1862440</v>
      </c>
      <c r="I93" s="88">
        <v>6.8220000000000001</v>
      </c>
      <c r="J93" s="88">
        <f>Tabelle2[[#This Row],[Strom (mrd.)]]*1000000000/Tabelle2[[#This Row],[Bevölkerung]]</f>
        <v>3662.9367925946608</v>
      </c>
      <c r="K93" s="53">
        <v>1310000</v>
      </c>
      <c r="L93" s="53">
        <f>1000000*Tabelle2[[#This Row],[Bevölkerung]]*EXP(-15.4183+0.052*LN((Tabelle2[[#This Row],[BIP (mrd.)]]*1000000000)/Tabelle2[[#This Row],[Bevölkerung]]))</f>
        <v>634146.14805097634</v>
      </c>
      <c r="M93" s="53">
        <f>IF(AND(ISNUMBER(K93), ISNUMBER(L93)), K93-L93, "")</f>
        <v>675853.85194902366</v>
      </c>
      <c r="N93" s="65">
        <f t="shared" si="49"/>
        <v>-0.51591897095345318</v>
      </c>
      <c r="O93" s="53"/>
      <c r="P93" s="53">
        <v>811000</v>
      </c>
      <c r="Q93" s="53">
        <f>1000000*Tabelle2[[#This Row],[Bevölkerung]]*EXP(-17.8941+0.2965*LN((Tabelle2[[#This Row],[BIP (mrd.)]]*1000000000)/Tabelle2[[#This Row],[Bevölkerung]]))</f>
        <v>630802.48614877416</v>
      </c>
      <c r="R93" s="53">
        <f t="shared" si="50"/>
        <v>180197.51385122584</v>
      </c>
      <c r="S93" s="65">
        <f t="shared" si="51"/>
        <v>-0.2221917556735214</v>
      </c>
      <c r="T93" s="53">
        <f>1000000*Tabelle2[[#This Row],[Wohneinheiten Anzahl]]*EXP(-14.22+0.02263*LN((Tabelle2[[#This Row],[BIP (mrd.)]]*1000000000)/Tabelle2[[#This Row],[Bevölkerung]]))</f>
        <v>892391.83690488222</v>
      </c>
      <c r="U93" s="65">
        <f t="shared" si="52"/>
        <v>-81391.836904882221</v>
      </c>
      <c r="V93" s="65">
        <f t="shared" si="53"/>
        <v>0.10035984821810384</v>
      </c>
      <c r="W93" s="54"/>
      <c r="X93" s="53">
        <f>1000000*Tabelle2[[#This Row],[Bevölkerung]]*EXP(-17.9119+0.2965*LN((Tabelle2[[#This Row],[BIP (mrd.)]]*1000000000)/Tabelle2[[#This Row],[Bevölkerung]]))</f>
        <v>619673.54332608473</v>
      </c>
      <c r="Y93" s="53" t="str">
        <f t="shared" si="57"/>
        <v/>
      </c>
      <c r="Z93" s="65" t="str">
        <f t="shared" si="58"/>
        <v/>
      </c>
      <c r="AA93" s="54"/>
      <c r="AB93" s="54"/>
      <c r="AC93" s="54"/>
      <c r="AD93" s="54"/>
      <c r="AE93" s="54"/>
      <c r="AF93" s="54"/>
      <c r="AG93" s="54"/>
      <c r="AH93" s="54">
        <v>1</v>
      </c>
      <c r="AI93" s="54" t="s">
        <v>989</v>
      </c>
      <c r="AJ93" s="54">
        <v>1063939</v>
      </c>
      <c r="AK93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726934.45606159861</v>
      </c>
      <c r="AL93" s="54">
        <f t="shared" si="54"/>
        <v>337004.54393840139</v>
      </c>
      <c r="AM93" s="89">
        <f t="shared" si="55"/>
        <v>-0.31675175356707613</v>
      </c>
      <c r="AN93" s="91">
        <f t="shared" si="60"/>
        <v>0.31675175356707613</v>
      </c>
      <c r="AO93" s="54"/>
      <c r="AP93" s="53"/>
      <c r="AQ93" s="53"/>
      <c r="AR93" s="53"/>
      <c r="AS93" s="53"/>
      <c r="AT93" s="54"/>
      <c r="AU93" s="54"/>
      <c r="AV93" s="54"/>
      <c r="AW93" s="54"/>
      <c r="AX93" s="54"/>
      <c r="AY93" s="54"/>
      <c r="AZ93" s="53"/>
      <c r="BA93" s="53"/>
      <c r="BB93" s="54"/>
      <c r="BC93" s="54"/>
      <c r="BD93" s="54"/>
      <c r="BE93" s="54"/>
      <c r="BF93" s="54"/>
      <c r="BG93" s="54"/>
      <c r="BH93" s="54"/>
      <c r="BI93" s="54"/>
      <c r="BJ93" s="54"/>
      <c r="BK93" s="54"/>
      <c r="BL93" s="54"/>
      <c r="BM93" s="54"/>
      <c r="BN93" s="54"/>
      <c r="BO93" s="54"/>
      <c r="BP93" s="54"/>
      <c r="BQ93" s="53"/>
      <c r="BR93" s="53"/>
      <c r="BS93" s="54"/>
      <c r="BT93" s="54"/>
      <c r="BU93" s="68"/>
    </row>
    <row r="94" spans="2:73" x14ac:dyDescent="0.3">
      <c r="B94" s="22" t="s">
        <v>183</v>
      </c>
      <c r="C94" s="23" t="s">
        <v>184</v>
      </c>
      <c r="D94" s="63" t="s">
        <v>592</v>
      </c>
      <c r="E94" s="63" t="s">
        <v>592</v>
      </c>
      <c r="F94" s="63">
        <v>0.88600000000000001</v>
      </c>
      <c r="G94" s="53">
        <v>10450</v>
      </c>
      <c r="H94" s="63">
        <v>5805960</v>
      </c>
      <c r="I94" s="88"/>
      <c r="J94" s="88">
        <f>Tabelle2[[#This Row],[Strom (mrd.)]]*1000000000/Tabelle2[[#This Row],[Bevölkerung]]</f>
        <v>0</v>
      </c>
      <c r="K94" s="53"/>
      <c r="L94" s="53">
        <f>Tabelle2[[#This Row],[Wohnimmobilien Anzahl]]/Tabelle2[[#This Row],[Bevölkerung]]</f>
        <v>0</v>
      </c>
      <c r="M94" s="53">
        <f t="shared" si="56"/>
        <v>0</v>
      </c>
      <c r="N94" s="53" t="str">
        <f t="shared" si="49"/>
        <v/>
      </c>
      <c r="O94" s="53"/>
      <c r="P94" s="53"/>
      <c r="Q94" s="53" t="e">
        <f>1000000*Tabelle2[[#This Row],[Bevölkerung]]*EXP(-17.8941+0.2965*LN((Tabelle2[[#This Row],[BIP (mrd.)]]*1000000000)/Tabelle2[[#This Row],[Bevölkerung]]))</f>
        <v>#VALUE!</v>
      </c>
      <c r="R94" s="53" t="str">
        <f t="shared" si="50"/>
        <v/>
      </c>
      <c r="S94" s="53" t="str">
        <f t="shared" si="51"/>
        <v/>
      </c>
      <c r="T94" s="53" t="e">
        <f>1000000*Tabelle2[[#This Row],[Wohneinheiten Anzahl]]*EXP(-14.22+0.02263*LN((Tabelle2[[#This Row],[BIP (mrd.)]]*1000000000)/Tabelle2[[#This Row],[Bevölkerung]]))</f>
        <v>#VALUE!</v>
      </c>
      <c r="U94" s="53" t="str">
        <f t="shared" si="52"/>
        <v/>
      </c>
      <c r="V94" s="53" t="str">
        <f t="shared" si="53"/>
        <v/>
      </c>
      <c r="W94" s="54"/>
      <c r="X94" s="54"/>
      <c r="Y94" s="54" t="str">
        <f t="shared" si="57"/>
        <v/>
      </c>
      <c r="Z94" s="54" t="str">
        <f t="shared" si="58"/>
        <v/>
      </c>
      <c r="AA94" s="54"/>
      <c r="AB94" s="54"/>
      <c r="AC94" s="54"/>
      <c r="AD94" s="54"/>
      <c r="AE94" s="54"/>
      <c r="AF94" s="54"/>
      <c r="AG94" s="54"/>
      <c r="AH94" s="54"/>
      <c r="AI94" s="54">
        <v>0</v>
      </c>
      <c r="AJ94" s="54"/>
      <c r="AK94" s="80"/>
      <c r="AL94" s="54" t="str">
        <f t="shared" si="54"/>
        <v/>
      </c>
      <c r="AM94" s="89" t="str">
        <f t="shared" si="55"/>
        <v/>
      </c>
      <c r="AN94" s="91"/>
      <c r="AO94" s="54"/>
      <c r="AP94" s="53"/>
      <c r="AQ94" s="53"/>
      <c r="AR94" s="53"/>
      <c r="AS94" s="53"/>
      <c r="AT94" s="54"/>
      <c r="AU94" s="54"/>
      <c r="AV94" s="54"/>
      <c r="AW94" s="54"/>
      <c r="AX94" s="54"/>
      <c r="AY94" s="54"/>
      <c r="AZ94" s="53"/>
      <c r="BA94" s="53"/>
      <c r="BB94" s="54"/>
      <c r="BC94" s="54"/>
      <c r="BD94" s="54"/>
      <c r="BE94" s="54"/>
      <c r="BF94" s="54"/>
      <c r="BG94" s="54"/>
      <c r="BH94" s="54"/>
      <c r="BI94" s="54"/>
      <c r="BJ94" s="54"/>
      <c r="BK94" s="54"/>
      <c r="BL94" s="54"/>
      <c r="BM94" s="54"/>
      <c r="BN94" s="54"/>
      <c r="BO94" s="54"/>
      <c r="BP94" s="54"/>
      <c r="BQ94" s="53"/>
      <c r="BR94" s="53"/>
      <c r="BS94" s="54"/>
      <c r="BT94" s="54"/>
      <c r="BU94" s="68"/>
    </row>
    <row r="95" spans="2:73" x14ac:dyDescent="0.3">
      <c r="B95" s="2" t="s">
        <v>185</v>
      </c>
      <c r="C95" s="3" t="s">
        <v>186</v>
      </c>
      <c r="D95" s="63">
        <v>5.1660000000000013E-3</v>
      </c>
      <c r="E95" s="63">
        <f>Tabelle2[[#This Row],[BIP (mrd.)]]*1000000000/Tabelle2[[#This Row],[Bevölkerung]]</f>
        <v>0.92039295755075001</v>
      </c>
      <c r="F95" s="63">
        <v>0.51200000000000001</v>
      </c>
      <c r="G95" s="53">
        <v>111370</v>
      </c>
      <c r="H95" s="63">
        <v>5612820</v>
      </c>
      <c r="I95" s="88"/>
      <c r="J95" s="88">
        <f>Tabelle2[[#This Row],[Strom (mrd.)]]*1000000000/Tabelle2[[#This Row],[Bevölkerung]]</f>
        <v>0</v>
      </c>
      <c r="K95" s="53"/>
      <c r="L95" s="53">
        <f>Tabelle2[[#This Row],[Wohnimmobilien Anzahl]]/Tabelle2[[#This Row],[Bevölkerung]]</f>
        <v>0</v>
      </c>
      <c r="M95" s="53">
        <f t="shared" si="56"/>
        <v>0</v>
      </c>
      <c r="N95" s="53" t="str">
        <f t="shared" si="49"/>
        <v/>
      </c>
      <c r="O95" s="53"/>
      <c r="P95" s="53"/>
      <c r="Q95" s="53">
        <f>1000000*Tabelle2[[#This Row],[Bevölkerung]]*EXP(-17.8941+0.2965*LN((Tabelle2[[#This Row],[BIP (mrd.)]]*1000000000)/Tabelle2[[#This Row],[Bevölkerung]]))</f>
        <v>92723.604489921257</v>
      </c>
      <c r="R95" s="53" t="str">
        <f t="shared" si="50"/>
        <v/>
      </c>
      <c r="S95" s="53" t="str">
        <f t="shared" si="51"/>
        <v/>
      </c>
      <c r="T95" s="53">
        <f>1000000*Tabelle2[[#This Row],[Bevölkerung]]*EXP(-14.22+0.2263*LN((Tabelle2[[#This Row],[BIP (mrd.)]]*1000000000)/Tabelle2[[#This Row],[Bevölkerung]]))</f>
        <v>3675875.020988584</v>
      </c>
      <c r="U95" s="53" t="str">
        <f t="shared" si="52"/>
        <v/>
      </c>
      <c r="V95" s="53" t="str">
        <f t="shared" si="53"/>
        <v/>
      </c>
      <c r="W95" s="54"/>
      <c r="X95" s="54"/>
      <c r="Y95" s="54" t="str">
        <f t="shared" si="57"/>
        <v/>
      </c>
      <c r="Z95" s="54" t="str">
        <f t="shared" si="58"/>
        <v/>
      </c>
      <c r="AA95" s="54"/>
      <c r="AB95" s="54"/>
      <c r="AC95" s="54"/>
      <c r="AD95" s="54"/>
      <c r="AE95" s="54"/>
      <c r="AF95" s="54"/>
      <c r="AG95" s="54"/>
      <c r="AH95" s="54"/>
      <c r="AI95" s="54">
        <v>0</v>
      </c>
      <c r="AJ95" s="54"/>
      <c r="AK95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137148.1006957145</v>
      </c>
      <c r="AL95" s="54" t="str">
        <f t="shared" si="54"/>
        <v/>
      </c>
      <c r="AM95" s="89" t="str">
        <f t="shared" si="55"/>
        <v/>
      </c>
      <c r="AN95" s="91"/>
      <c r="AO95" s="54"/>
      <c r="AP95" s="53"/>
      <c r="AQ95" s="53"/>
      <c r="AR95" s="53"/>
      <c r="AS95" s="53"/>
      <c r="AT95" s="54"/>
      <c r="AU95" s="54"/>
      <c r="AV95" s="54"/>
      <c r="AW95" s="54"/>
      <c r="AX95" s="54"/>
      <c r="AY95" s="54"/>
      <c r="AZ95" s="53"/>
      <c r="BA95" s="53"/>
      <c r="BB95" s="54"/>
      <c r="BC95" s="54"/>
      <c r="BD95" s="54"/>
      <c r="BE95" s="54"/>
      <c r="BF95" s="54"/>
      <c r="BG95" s="54"/>
      <c r="BH95" s="54"/>
      <c r="BI95" s="54"/>
      <c r="BJ95" s="54"/>
      <c r="BK95" s="54"/>
      <c r="BL95" s="54"/>
      <c r="BM95" s="54"/>
      <c r="BN95" s="54"/>
      <c r="BO95" s="54"/>
      <c r="BP95" s="54"/>
      <c r="BQ95" s="53"/>
      <c r="BR95" s="53"/>
      <c r="BS95" s="54"/>
      <c r="BT95" s="54"/>
      <c r="BU95" s="68"/>
    </row>
    <row r="96" spans="2:73" x14ac:dyDescent="0.3">
      <c r="B96" s="2" t="s">
        <v>187</v>
      </c>
      <c r="C96" s="3" t="s">
        <v>188</v>
      </c>
      <c r="D96" s="63" t="s">
        <v>592</v>
      </c>
      <c r="E96" s="63" t="s">
        <v>592</v>
      </c>
      <c r="F96" s="63">
        <v>0.80100000000000005</v>
      </c>
      <c r="G96" s="53">
        <v>1759540</v>
      </c>
      <c r="H96" s="63">
        <v>5805960</v>
      </c>
      <c r="I96" s="88"/>
      <c r="J96" s="88">
        <f>Tabelle2[[#This Row],[Strom (mrd.)]]*1000000000/Tabelle2[[#This Row],[Bevölkerung]]</f>
        <v>0</v>
      </c>
      <c r="K96" s="53"/>
      <c r="L96" s="53">
        <f>Tabelle2[[#This Row],[Wohnimmobilien Anzahl]]/Tabelle2[[#This Row],[Bevölkerung]]</f>
        <v>0</v>
      </c>
      <c r="M96" s="53">
        <f t="shared" si="56"/>
        <v>0</v>
      </c>
      <c r="N96" s="53" t="str">
        <f t="shared" si="49"/>
        <v/>
      </c>
      <c r="O96" s="53"/>
      <c r="P96" s="53"/>
      <c r="Q96" s="53" t="e">
        <f>1000000*Tabelle2[[#This Row],[Bevölkerung]]*EXP(-17.8941+0.2965*LN((Tabelle2[[#This Row],[BIP (mrd.)]]*1000000000)/Tabelle2[[#This Row],[Bevölkerung]]))</f>
        <v>#VALUE!</v>
      </c>
      <c r="R96" s="53" t="str">
        <f t="shared" si="50"/>
        <v/>
      </c>
      <c r="S96" s="53" t="str">
        <f t="shared" si="51"/>
        <v/>
      </c>
      <c r="T96" s="53" t="e">
        <f>1000000*Tabelle2[[#This Row],[Bevölkerung]]*EXP(-14.22+0.2263*LN((Tabelle2[[#This Row],[BIP (mrd.)]]*1000000000)/Tabelle2[[#This Row],[Bevölkerung]]))</f>
        <v>#VALUE!</v>
      </c>
      <c r="U96" s="53" t="str">
        <f t="shared" si="52"/>
        <v/>
      </c>
      <c r="V96" s="53" t="str">
        <f t="shared" si="53"/>
        <v/>
      </c>
      <c r="W96" s="54"/>
      <c r="X96" s="54"/>
      <c r="Y96" s="54" t="str">
        <f t="shared" si="57"/>
        <v/>
      </c>
      <c r="Z96" s="54" t="str">
        <f t="shared" si="58"/>
        <v/>
      </c>
      <c r="AA96" s="54"/>
      <c r="AB96" s="54"/>
      <c r="AC96" s="54"/>
      <c r="AD96" s="54"/>
      <c r="AE96" s="54"/>
      <c r="AF96" s="54"/>
      <c r="AG96" s="54"/>
      <c r="AH96" s="54"/>
      <c r="AI96" s="54">
        <v>0</v>
      </c>
      <c r="AJ96" s="54"/>
      <c r="AK96" s="80"/>
      <c r="AL96" s="54" t="str">
        <f t="shared" si="54"/>
        <v/>
      </c>
      <c r="AM96" s="89" t="str">
        <f t="shared" si="55"/>
        <v/>
      </c>
      <c r="AN96" s="91"/>
      <c r="AO96" s="54"/>
      <c r="AP96" s="53"/>
      <c r="AQ96" s="53"/>
      <c r="AR96" s="53"/>
      <c r="AS96" s="53"/>
      <c r="AT96" s="54"/>
      <c r="AU96" s="54"/>
      <c r="AV96" s="54"/>
      <c r="AW96" s="54"/>
      <c r="AX96" s="54"/>
      <c r="AY96" s="54"/>
      <c r="AZ96" s="53"/>
      <c r="BA96" s="53"/>
      <c r="BB96" s="54"/>
      <c r="BC96" s="54"/>
      <c r="BD96" s="54"/>
      <c r="BE96" s="54"/>
      <c r="BF96" s="54"/>
      <c r="BG96" s="54"/>
      <c r="BH96" s="54"/>
      <c r="BI96" s="54"/>
      <c r="BJ96" s="54"/>
      <c r="BK96" s="54"/>
      <c r="BL96" s="54"/>
      <c r="BM96" s="54"/>
      <c r="BN96" s="54"/>
      <c r="BO96" s="54"/>
      <c r="BP96" s="54"/>
      <c r="BQ96" s="53"/>
      <c r="BR96" s="53"/>
      <c r="BS96" s="54"/>
      <c r="BT96" s="54"/>
      <c r="BU96" s="68"/>
    </row>
    <row r="97" spans="2:73" x14ac:dyDescent="0.3">
      <c r="B97" s="4" t="s">
        <v>189</v>
      </c>
      <c r="C97" s="5" t="s">
        <v>190</v>
      </c>
      <c r="D97" s="63">
        <v>7.000000000000001E-3</v>
      </c>
      <c r="E97" s="63">
        <f>Tabelle2[[#This Row],[BIP (mrd.)]]*1000000000/Tabelle2[[#This Row],[Bevölkerung]]</f>
        <v>174.12935323383087</v>
      </c>
      <c r="F97" s="63">
        <v>0.14299999999999999</v>
      </c>
      <c r="G97" s="53">
        <v>160</v>
      </c>
      <c r="H97" s="63">
        <v>40200</v>
      </c>
      <c r="I97" s="88"/>
      <c r="J97" s="88">
        <f>Tabelle2[[#This Row],[Strom (mrd.)]]*1000000000/Tabelle2[[#This Row],[Bevölkerung]]</f>
        <v>0</v>
      </c>
      <c r="K97" s="53"/>
      <c r="L97" s="53">
        <f>Tabelle2[[#This Row],[Wohnimmobilien Anzahl]]/Tabelle2[[#This Row],[Bevölkerung]]</f>
        <v>0</v>
      </c>
      <c r="M97" s="53">
        <f t="shared" si="56"/>
        <v>0</v>
      </c>
      <c r="N97" s="53" t="str">
        <f t="shared" si="49"/>
        <v/>
      </c>
      <c r="O97" s="53"/>
      <c r="P97" s="53"/>
      <c r="Q97" s="53">
        <f>1000000*Tabelle2[[#This Row],[Bevölkerung]]*EXP(-17.8941+0.2965*LN((Tabelle2[[#This Row],[BIP (mrd.)]]*1000000000)/Tabelle2[[#This Row],[Bevölkerung]]))</f>
        <v>3142.9372380097288</v>
      </c>
      <c r="R97" s="53" t="str">
        <f t="shared" si="50"/>
        <v/>
      </c>
      <c r="S97" s="53" t="str">
        <f t="shared" si="51"/>
        <v/>
      </c>
      <c r="T97" s="53">
        <f>1000000*Tabelle2[[#This Row],[Bevölkerung]]*EXP(-14.22+0.2263*LN((Tabelle2[[#This Row],[BIP (mrd.)]]*1000000000)/Tabelle2[[#This Row],[Bevölkerung]]))</f>
        <v>86231.879306747433</v>
      </c>
      <c r="U97" s="53" t="str">
        <f t="shared" si="52"/>
        <v/>
      </c>
      <c r="V97" s="53" t="str">
        <f t="shared" si="53"/>
        <v/>
      </c>
      <c r="W97" s="54"/>
      <c r="X97" s="54"/>
      <c r="Y97" s="54" t="str">
        <f t="shared" si="57"/>
        <v/>
      </c>
      <c r="Z97" s="54" t="str">
        <f t="shared" si="58"/>
        <v/>
      </c>
      <c r="AA97" s="54"/>
      <c r="AB97" s="54"/>
      <c r="AC97" s="54"/>
      <c r="AD97" s="54"/>
      <c r="AE97" s="54"/>
      <c r="AF97" s="54"/>
      <c r="AG97" s="54"/>
      <c r="AH97" s="54"/>
      <c r="AI97" s="54">
        <v>0</v>
      </c>
      <c r="AJ97" s="54"/>
      <c r="AK97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4089.1092014413002</v>
      </c>
      <c r="AL97" s="54" t="str">
        <f t="shared" si="54"/>
        <v/>
      </c>
      <c r="AM97" s="89" t="str">
        <f t="shared" si="55"/>
        <v/>
      </c>
      <c r="AN97" s="91"/>
      <c r="AO97" s="54"/>
      <c r="AP97" s="53"/>
      <c r="AQ97" s="53"/>
      <c r="AR97" s="53"/>
      <c r="AS97" s="53"/>
      <c r="AT97" s="54"/>
      <c r="AU97" s="54"/>
      <c r="AV97" s="54"/>
      <c r="AW97" s="54"/>
      <c r="AX97" s="54"/>
      <c r="AY97" s="54"/>
      <c r="AZ97" s="53"/>
      <c r="BA97" s="53"/>
      <c r="BB97" s="54"/>
      <c r="BC97" s="54"/>
      <c r="BD97" s="54"/>
      <c r="BE97" s="54"/>
      <c r="BF97" s="54"/>
      <c r="BG97" s="54"/>
      <c r="BH97" s="54"/>
      <c r="BI97" s="54"/>
      <c r="BJ97" s="54"/>
      <c r="BK97" s="54"/>
      <c r="BL97" s="54"/>
      <c r="BM97" s="54"/>
      <c r="BN97" s="54"/>
      <c r="BO97" s="54"/>
      <c r="BP97" s="54"/>
      <c r="BQ97" s="53"/>
      <c r="BR97" s="53"/>
      <c r="BS97" s="54"/>
      <c r="BT97" s="54"/>
      <c r="BU97" s="68"/>
    </row>
    <row r="98" spans="2:73" x14ac:dyDescent="0.3">
      <c r="B98" s="2" t="s">
        <v>191</v>
      </c>
      <c r="C98" s="3" t="s">
        <v>192</v>
      </c>
      <c r="D98" s="63">
        <v>89.191999999999993</v>
      </c>
      <c r="E98" s="63">
        <f>Tabelle2[[#This Row],[BIP (mrd.)]]*1000000000/Tabelle2[[#This Row],[Bevölkerung]]</f>
        <v>30883.121829608212</v>
      </c>
      <c r="F98" s="63">
        <v>0.67700000000000005</v>
      </c>
      <c r="G98" s="53">
        <v>65290</v>
      </c>
      <c r="H98" s="63">
        <v>2888050</v>
      </c>
      <c r="I98" s="88">
        <v>10.992000000000001</v>
      </c>
      <c r="J98" s="88">
        <f>Tabelle2[[#This Row],[Strom (mrd.)]]*1000000000/Tabelle2[[#This Row],[Bevölkerung]]</f>
        <v>3806.0282889839164</v>
      </c>
      <c r="K98" s="53">
        <v>510000</v>
      </c>
      <c r="L98" s="53">
        <f>1000000*Tabelle2[[#This Row],[Bevölkerung]]*EXP(-15.4183+0.052*LN((Tabelle2[[#This Row],[BIP (mrd.)]]*1000000000)/Tabelle2[[#This Row],[Bevölkerung]]))</f>
        <v>995376.99591338262</v>
      </c>
      <c r="M98" s="53">
        <f t="shared" ref="M98:M99" si="62">IF(AND(ISNUMBER(K98), ISNUMBER(L98)), K98-L98, "")</f>
        <v>-485376.99591338262</v>
      </c>
      <c r="N98" s="65">
        <f t="shared" ref="N98:N129" si="63">IF(OR(K98=0,K98=""),"",(L98 - K98)/K98)</f>
        <v>0.95171959983016197</v>
      </c>
      <c r="O98" s="53"/>
      <c r="P98" s="53"/>
      <c r="Q98" s="53">
        <f>1000000*Tabelle2[[#This Row],[Bevölkerung]]*EXP(-17.8941+0.2965*LN((Tabelle2[[#This Row],[BIP (mrd.)]]*1000000000)/Tabelle2[[#This Row],[Bevölkerung]]))</f>
        <v>1048330.3360617872</v>
      </c>
      <c r="R98" s="53" t="str">
        <f t="shared" ref="R98:R129" si="64">IF(AND(ISNUMBER(P98), ISNUMBER(Q98)), P98-Q98, "")</f>
        <v/>
      </c>
      <c r="S98" s="53" t="str">
        <f t="shared" ref="S98:S129" si="65">IF(OR(P98=0,P98=""),"",(Q98 - P98)/P98)</f>
        <v/>
      </c>
      <c r="T98" s="53">
        <f>1000000*Tabelle2[[#This Row],[Bevölkerung]]*EXP(-14.22+0.2263*LN((Tabelle2[[#This Row],[BIP (mrd.)]]*1000000000)/Tabelle2[[#This Row],[Bevölkerung]]))</f>
        <v>19996826.635911401</v>
      </c>
      <c r="U98" s="53" t="str">
        <f t="shared" ref="U98:U129" si="66">IF(AND(ISNUMBER(P98), ISNUMBER(T98)), P98-T98, "")</f>
        <v/>
      </c>
      <c r="V98" s="53" t="str">
        <f t="shared" ref="V98:V129" si="67">IF(OR(P98=0,P98=""),"",(T98 - P98)/P98)</f>
        <v/>
      </c>
      <c r="W98" s="54"/>
      <c r="X98" s="53">
        <f>1000000*Tabelle2[[#This Row],[Bevölkerung]]*EXP(-17.9119+0.2965*LN((Tabelle2[[#This Row],[BIP (mrd.)]]*1000000000)/Tabelle2[[#This Row],[Bevölkerung]]))</f>
        <v>1029835.1515539526</v>
      </c>
      <c r="Y98" s="53" t="str">
        <f t="shared" si="57"/>
        <v/>
      </c>
      <c r="Z98" s="65" t="str">
        <f t="shared" si="58"/>
        <v/>
      </c>
      <c r="AA98" s="54"/>
      <c r="AB98" s="54"/>
      <c r="AC98" s="54"/>
      <c r="AD98" s="54"/>
      <c r="AE98" s="54"/>
      <c r="AF98" s="54"/>
      <c r="AG98" s="54"/>
      <c r="AH98" s="54">
        <v>1</v>
      </c>
      <c r="AI98" s="54" t="s">
        <v>989</v>
      </c>
      <c r="AJ98" s="54">
        <v>1438000</v>
      </c>
      <c r="AK98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1201197.0853824795</v>
      </c>
      <c r="AL98" s="54">
        <f t="shared" ref="AL98:AL129" si="68">IF(AND(ISNUMBER(AJ98), ISNUMBER(AK98)), AJ98-AK98, "")</f>
        <v>236802.91461752052</v>
      </c>
      <c r="AM98" s="89">
        <f t="shared" ref="AM98:AM129" si="69">IF(OR(AJ98=0,AJ98=""),"",(AK98 - AJ98)/AJ98)</f>
        <v>-0.16467518401774722</v>
      </c>
      <c r="AN98" s="91">
        <f t="shared" si="60"/>
        <v>0.16467518401774722</v>
      </c>
      <c r="AO98" s="54"/>
      <c r="AP98" s="53"/>
      <c r="AQ98" s="53"/>
      <c r="AR98" s="53"/>
      <c r="AS98" s="53"/>
      <c r="AT98" s="54"/>
      <c r="AU98" s="54"/>
      <c r="AV98" s="54"/>
      <c r="AW98" s="54"/>
      <c r="AX98" s="54"/>
      <c r="AY98" s="54"/>
      <c r="AZ98" s="53"/>
      <c r="BA98" s="53"/>
      <c r="BB98" s="54"/>
      <c r="BC98" s="54"/>
      <c r="BD98" s="54"/>
      <c r="BE98" s="54"/>
      <c r="BF98" s="54"/>
      <c r="BG98" s="54"/>
      <c r="BH98" s="54"/>
      <c r="BI98" s="54"/>
      <c r="BJ98" s="54"/>
      <c r="BK98" s="54"/>
      <c r="BL98" s="54"/>
      <c r="BM98" s="54"/>
      <c r="BN98" s="54"/>
      <c r="BO98" s="54"/>
      <c r="BP98" s="54"/>
      <c r="BQ98" s="53"/>
      <c r="BR98" s="53"/>
      <c r="BS98" s="54"/>
      <c r="BT98" s="54"/>
      <c r="BU98" s="68"/>
    </row>
    <row r="99" spans="2:73" x14ac:dyDescent="0.3">
      <c r="B99" s="13" t="s">
        <v>193</v>
      </c>
      <c r="C99" s="14" t="s">
        <v>194</v>
      </c>
      <c r="D99" s="63">
        <v>96.613000000000014</v>
      </c>
      <c r="E99" s="63">
        <f>Tabelle2[[#This Row],[BIP (mrd.)]]*1000000000/Tabelle2[[#This Row],[Bevölkerung]]</f>
        <v>142555.92279997643</v>
      </c>
      <c r="F99" s="63">
        <v>0.91</v>
      </c>
      <c r="G99" s="53">
        <v>2590</v>
      </c>
      <c r="H99" s="63">
        <v>677720</v>
      </c>
      <c r="I99" s="88">
        <v>5.87</v>
      </c>
      <c r="J99" s="88">
        <f>Tabelle2[[#This Row],[Strom (mrd.)]]*1000000000/Tabelle2[[#This Row],[Bevölkerung]]</f>
        <v>8661.3940860532366</v>
      </c>
      <c r="K99" s="53">
        <v>138220</v>
      </c>
      <c r="L99" s="53">
        <f>1000000*Tabelle2[[#This Row],[Bevölkerung]]*EXP(-15.4183+0.052*LN((Tabelle2[[#This Row],[BIP (mrd.)]]*1000000000)/Tabelle2[[#This Row],[Bevölkerung]]))</f>
        <v>252915.19696049771</v>
      </c>
      <c r="M99" s="53">
        <f t="shared" si="62"/>
        <v>-114695.19696049771</v>
      </c>
      <c r="N99" s="65">
        <f t="shared" si="63"/>
        <v>0.82980174331137102</v>
      </c>
      <c r="O99" s="53"/>
      <c r="P99" s="53"/>
      <c r="Q99" s="53">
        <f>1000000*Tabelle2[[#This Row],[Bevölkerung]]*EXP(-17.8941+0.2965*LN((Tabelle2[[#This Row],[BIP (mrd.)]]*1000000000)/Tabelle2[[#This Row],[Bevölkerung]]))</f>
        <v>387166.74281682604</v>
      </c>
      <c r="R99" s="53" t="str">
        <f t="shared" si="64"/>
        <v/>
      </c>
      <c r="S99" s="53" t="str">
        <f t="shared" si="65"/>
        <v/>
      </c>
      <c r="T99" s="53">
        <f>1000000*Tabelle2[[#This Row],[Bevölkerung]]*EXP(-14.22+0.2263*LN((Tabelle2[[#This Row],[BIP (mrd.)]]*1000000000)/Tabelle2[[#This Row],[Bevölkerung]]))</f>
        <v>6633299.9364850027</v>
      </c>
      <c r="U99" s="53" t="str">
        <f t="shared" si="66"/>
        <v/>
      </c>
      <c r="V99" s="53" t="str">
        <f t="shared" si="67"/>
        <v/>
      </c>
      <c r="W99" s="54"/>
      <c r="X99" s="53">
        <f>1000000*Tabelle2[[#This Row],[Bevölkerung]]*EXP(-17.9119+0.2965*LN((Tabelle2[[#This Row],[BIP (mrd.)]]*1000000000)/Tabelle2[[#This Row],[Bevölkerung]]))</f>
        <v>380336.14744304825</v>
      </c>
      <c r="Y99" s="53" t="str">
        <f t="shared" si="57"/>
        <v/>
      </c>
      <c r="Z99" s="65" t="str">
        <f t="shared" si="58"/>
        <v/>
      </c>
      <c r="AA99" s="54"/>
      <c r="AB99" s="54"/>
      <c r="AC99" s="54"/>
      <c r="AD99" s="54"/>
      <c r="AE99" s="54"/>
      <c r="AF99" s="54"/>
      <c r="AG99" s="54"/>
      <c r="AH99" s="54">
        <v>1</v>
      </c>
      <c r="AI99" s="54">
        <v>1</v>
      </c>
      <c r="AJ99" s="54">
        <v>264311</v>
      </c>
      <c r="AK99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427306.76701518602</v>
      </c>
      <c r="AL99" s="80">
        <f t="shared" si="68"/>
        <v>-162995.76701518602</v>
      </c>
      <c r="AM99" s="80">
        <f t="shared" si="69"/>
        <v>0.61668173861544173</v>
      </c>
      <c r="AN99" s="91">
        <f t="shared" si="60"/>
        <v>0.61668173861544173</v>
      </c>
      <c r="AO99" s="54"/>
      <c r="AP99" s="53"/>
      <c r="AQ99" s="53"/>
      <c r="AR99" s="53"/>
      <c r="AS99" s="53"/>
      <c r="AT99" s="54"/>
      <c r="AU99" s="54"/>
      <c r="AV99" s="54"/>
      <c r="AW99" s="54"/>
      <c r="AX99" s="54"/>
      <c r="AY99" s="54"/>
      <c r="AZ99" s="53"/>
      <c r="BA99" s="53"/>
      <c r="BB99" s="54"/>
      <c r="BC99" s="54"/>
      <c r="BD99" s="54"/>
      <c r="BE99" s="54"/>
      <c r="BF99" s="54"/>
      <c r="BG99" s="54"/>
      <c r="BH99" s="54"/>
      <c r="BI99" s="54"/>
      <c r="BJ99" s="54"/>
      <c r="BK99" s="54"/>
      <c r="BL99" s="54"/>
      <c r="BM99" s="54"/>
      <c r="BN99" s="54"/>
      <c r="BO99" s="54"/>
      <c r="BP99" s="54"/>
      <c r="BQ99" s="53"/>
      <c r="BR99" s="53"/>
      <c r="BS99" s="54"/>
      <c r="BT99" s="54"/>
      <c r="BU99" s="68"/>
    </row>
    <row r="100" spans="2:73" x14ac:dyDescent="0.3">
      <c r="B100" s="2" t="s">
        <v>195</v>
      </c>
      <c r="C100" s="3" t="s">
        <v>196</v>
      </c>
      <c r="D100" s="63">
        <v>1.8707999999999999E-2</v>
      </c>
      <c r="E100" s="63">
        <f>Tabelle2[[#This Row],[BIP (mrd.)]]*1000000000/Tabelle2[[#This Row],[Bevölkerung]]</f>
        <v>0.58526586612340514</v>
      </c>
      <c r="F100" s="63">
        <v>0.372</v>
      </c>
      <c r="G100" s="53">
        <v>587295</v>
      </c>
      <c r="H100" s="63">
        <v>31964960</v>
      </c>
      <c r="I100" s="88"/>
      <c r="J100" s="88">
        <f>Tabelle2[[#This Row],[Strom (mrd.)]]*1000000000/Tabelle2[[#This Row],[Bevölkerung]]</f>
        <v>0</v>
      </c>
      <c r="K100" s="53"/>
      <c r="L100" s="53">
        <f>Tabelle2[[#This Row],[Wohnimmobilien Anzahl]]/Tabelle2[[#This Row],[Bevölkerung]]</f>
        <v>0</v>
      </c>
      <c r="M100" s="53">
        <f t="shared" ref="M100:M127" si="70">L100-K100</f>
        <v>0</v>
      </c>
      <c r="N100" s="53" t="str">
        <f t="shared" si="63"/>
        <v/>
      </c>
      <c r="O100" s="53"/>
      <c r="P100" s="53"/>
      <c r="Q100" s="53">
        <f>1000000*Tabelle2[[#This Row],[Bevölkerung]]*EXP(-17.8941+0.2965*LN((Tabelle2[[#This Row],[BIP (mrd.)]]*1000000000)/Tabelle2[[#This Row],[Bevölkerung]]))</f>
        <v>461727.24253840517</v>
      </c>
      <c r="R100" s="53" t="str">
        <f t="shared" si="64"/>
        <v/>
      </c>
      <c r="S100" s="53" t="str">
        <f t="shared" si="65"/>
        <v/>
      </c>
      <c r="T100" s="53">
        <f>1000000*Tabelle2[[#This Row],[Bevölkerung]]*EXP(-14.22+0.2263*LN((Tabelle2[[#This Row],[BIP (mrd.)]]*1000000000)/Tabelle2[[#This Row],[Bevölkerung]]))</f>
        <v>18895511.854691386</v>
      </c>
      <c r="U100" s="53" t="str">
        <f t="shared" si="66"/>
        <v/>
      </c>
      <c r="V100" s="53" t="str">
        <f t="shared" si="67"/>
        <v/>
      </c>
      <c r="W100" s="54"/>
      <c r="X100" s="54"/>
      <c r="Y100" s="54" t="str">
        <f t="shared" ref="Y100:Y130" si="71">IF(AND(ISNUMBER(W100), ISNUMBER(X100)), W100-X100, "")</f>
        <v/>
      </c>
      <c r="Z100" s="54" t="str">
        <f t="shared" ref="Z100:Z130" si="72">IF(OR(W100=0,W100=""),"",(X100 - W100)/W100)</f>
        <v/>
      </c>
      <c r="AA100" s="54"/>
      <c r="AB100" s="54"/>
      <c r="AC100" s="54"/>
      <c r="AD100" s="54"/>
      <c r="AE100" s="54"/>
      <c r="AF100" s="54"/>
      <c r="AG100" s="54"/>
      <c r="AH100" s="54"/>
      <c r="AI100" s="54">
        <v>0</v>
      </c>
      <c r="AJ100" s="54"/>
      <c r="AK100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690557.92457569041</v>
      </c>
      <c r="AL100" s="54" t="str">
        <f t="shared" si="68"/>
        <v/>
      </c>
      <c r="AM100" s="89" t="str">
        <f t="shared" si="69"/>
        <v/>
      </c>
      <c r="AN100" s="91"/>
      <c r="AO100" s="54"/>
      <c r="AP100" s="53"/>
      <c r="AQ100" s="53"/>
      <c r="AR100" s="53"/>
      <c r="AS100" s="53"/>
      <c r="AT100" s="54"/>
      <c r="AU100" s="54"/>
      <c r="AV100" s="54"/>
      <c r="AW100" s="54"/>
      <c r="AX100" s="54"/>
      <c r="AY100" s="54"/>
      <c r="AZ100" s="53"/>
      <c r="BA100" s="53"/>
      <c r="BB100" s="54"/>
      <c r="BC100" s="54"/>
      <c r="BD100" s="54"/>
      <c r="BE100" s="54"/>
      <c r="BF100" s="54"/>
      <c r="BG100" s="54"/>
      <c r="BH100" s="54"/>
      <c r="BI100" s="54"/>
      <c r="BJ100" s="54"/>
      <c r="BK100" s="54"/>
      <c r="BL100" s="54"/>
      <c r="BM100" s="54"/>
      <c r="BN100" s="54"/>
      <c r="BO100" s="54"/>
      <c r="BP100" s="54"/>
      <c r="BQ100" s="53"/>
      <c r="BR100" s="53"/>
      <c r="BS100" s="54"/>
      <c r="BT100" s="54"/>
      <c r="BU100" s="68"/>
    </row>
    <row r="101" spans="2:73" x14ac:dyDescent="0.3">
      <c r="B101" s="4" t="s">
        <v>197</v>
      </c>
      <c r="C101" s="5" t="s">
        <v>198</v>
      </c>
      <c r="D101" s="63">
        <v>13.959</v>
      </c>
      <c r="E101" s="63">
        <f>Tabelle2[[#This Row],[BIP (mrd.)]]*1000000000/Tabelle2[[#This Row],[Bevölkerung]]</f>
        <v>644.60000304775417</v>
      </c>
      <c r="F101" s="63">
        <v>0.16900000000000001</v>
      </c>
      <c r="G101" s="53">
        <v>118480</v>
      </c>
      <c r="H101" s="63">
        <v>21655290</v>
      </c>
      <c r="I101" s="88">
        <v>1.585</v>
      </c>
      <c r="J101" s="88">
        <f>Tabelle2[[#This Row],[Strom (mrd.)]]*1000000000/Tabelle2[[#This Row],[Bevölkerung]]</f>
        <v>73.192277729829527</v>
      </c>
      <c r="K101" s="53"/>
      <c r="L101" s="53">
        <f>1000000*Tabelle2[[#This Row],[Bevölkerung]]*EXP(-15.4183+0.052*LN((Tabelle2[[#This Row],[BIP (mrd.)]]*1000000000)/Tabelle2[[#This Row],[Bevölkerung]]))</f>
        <v>6103296.7928040279</v>
      </c>
      <c r="M101" s="53" t="str">
        <f t="shared" ref="M101:M103" si="73">IF(AND(ISNUMBER(K101), ISNUMBER(L101)), K101-L101, "")</f>
        <v/>
      </c>
      <c r="N101" s="65" t="str">
        <f t="shared" si="63"/>
        <v/>
      </c>
      <c r="O101" s="53"/>
      <c r="P101" s="53"/>
      <c r="Q101" s="53">
        <f>1000000*Tabelle2[[#This Row],[Bevölkerung]]*EXP(-17.8941+0.2965*LN((Tabelle2[[#This Row],[BIP (mrd.)]]*1000000000)/Tabelle2[[#This Row],[Bevölkerung]]))</f>
        <v>2495799.4823696385</v>
      </c>
      <c r="R101" s="53" t="str">
        <f t="shared" si="64"/>
        <v/>
      </c>
      <c r="S101" s="53" t="str">
        <f t="shared" si="65"/>
        <v/>
      </c>
      <c r="T101" s="53">
        <f>1000000*Tabelle2[[#This Row],[Bevölkerung]]*EXP(-14.22+0.2263*LN((Tabelle2[[#This Row],[BIP (mrd.)]]*1000000000)/Tabelle2[[#This Row],[Bevölkerung]]))</f>
        <v>62465305.306225583</v>
      </c>
      <c r="U101" s="53" t="str">
        <f t="shared" si="66"/>
        <v/>
      </c>
      <c r="V101" s="53" t="str">
        <f t="shared" si="67"/>
        <v/>
      </c>
      <c r="W101" s="54"/>
      <c r="X101" s="53">
        <f>1000000*Tabelle2[[#This Row],[Bevölkerung]]*EXP(-17.9119+0.2965*LN((Tabelle2[[#This Row],[BIP (mrd.)]]*1000000000)/Tabelle2[[#This Row],[Bevölkerung]]))</f>
        <v>2451767.3005915238</v>
      </c>
      <c r="Y101" s="53" t="str">
        <f t="shared" si="71"/>
        <v/>
      </c>
      <c r="Z101" s="65" t="str">
        <f t="shared" si="72"/>
        <v/>
      </c>
      <c r="AA101" s="54"/>
      <c r="AB101" s="54"/>
      <c r="AC101" s="54"/>
      <c r="AD101" s="54"/>
      <c r="AE101" s="54"/>
      <c r="AF101" s="54"/>
      <c r="AG101" s="54"/>
      <c r="AH101" s="54">
        <v>0</v>
      </c>
      <c r="AI101" s="54" t="s">
        <v>987</v>
      </c>
      <c r="AJ101" s="54">
        <v>4805431</v>
      </c>
      <c r="AK101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3144100.0030462169</v>
      </c>
      <c r="AL101" s="54">
        <f t="shared" si="68"/>
        <v>1661330.9969537831</v>
      </c>
      <c r="AM101" s="89">
        <f t="shared" si="69"/>
        <v>-0.34571945720452196</v>
      </c>
      <c r="AN101" s="91">
        <f t="shared" si="60"/>
        <v>0.34571945720452196</v>
      </c>
      <c r="AO101" s="54"/>
      <c r="AP101" s="53"/>
      <c r="AQ101" s="53"/>
      <c r="AR101" s="53"/>
      <c r="AS101" s="53"/>
      <c r="AT101" s="54"/>
      <c r="AU101" s="54"/>
      <c r="AV101" s="54"/>
      <c r="AW101" s="54"/>
      <c r="AX101" s="54"/>
      <c r="AY101" s="54"/>
      <c r="AZ101" s="53"/>
      <c r="BA101" s="53"/>
      <c r="BB101" s="54"/>
      <c r="BC101" s="54"/>
      <c r="BD101" s="54"/>
      <c r="BE101" s="54"/>
      <c r="BF101" s="54"/>
      <c r="BG101" s="54"/>
      <c r="BH101" s="54"/>
      <c r="BI101" s="54"/>
      <c r="BJ101" s="54"/>
      <c r="BK101" s="54"/>
      <c r="BL101" s="54"/>
      <c r="BM101" s="54"/>
      <c r="BN101" s="54"/>
      <c r="BO101" s="54"/>
      <c r="BP101" s="54"/>
      <c r="BQ101" s="53"/>
      <c r="BR101" s="53"/>
      <c r="BS101" s="54"/>
      <c r="BT101" s="54"/>
      <c r="BU101" s="68"/>
    </row>
    <row r="102" spans="2:73" x14ac:dyDescent="0.3">
      <c r="B102" s="13" t="s">
        <v>199</v>
      </c>
      <c r="C102" s="14" t="s">
        <v>200</v>
      </c>
      <c r="D102" s="63">
        <v>444.98399999999998</v>
      </c>
      <c r="E102" s="63">
        <f>Tabelle2[[#This Row],[BIP (mrd.)]]*1000000000/Tabelle2[[#This Row],[Bevölkerung]]</f>
        <v>12514.430782444406</v>
      </c>
      <c r="F102" s="63">
        <v>0.76</v>
      </c>
      <c r="G102" s="53">
        <v>330411</v>
      </c>
      <c r="H102" s="63">
        <v>35557670</v>
      </c>
      <c r="I102" s="88">
        <v>178.65299999999999</v>
      </c>
      <c r="J102" s="88">
        <f>Tabelle2[[#This Row],[Strom (mrd.)]]*1000000000/Tabelle2[[#This Row],[Bevölkerung]]</f>
        <v>5024.316835158209</v>
      </c>
      <c r="K102" s="53"/>
      <c r="L102" s="53">
        <f>1000000*Tabelle2[[#This Row],[Bevölkerung]]*EXP(-15.4183+0.052*LN((Tabelle2[[#This Row],[BIP (mrd.)]]*1000000000)/Tabelle2[[#This Row],[Bevölkerung]]))</f>
        <v>11692733.784825385</v>
      </c>
      <c r="M102" s="53" t="str">
        <f t="shared" si="73"/>
        <v/>
      </c>
      <c r="N102" s="65" t="str">
        <f t="shared" si="63"/>
        <v/>
      </c>
      <c r="O102" s="53"/>
      <c r="P102" s="53"/>
      <c r="Q102" s="53">
        <f>1000000*Tabelle2[[#This Row],[Bevölkerung]]*EXP(-17.8941+0.2965*LN((Tabelle2[[#This Row],[BIP (mrd.)]]*1000000000)/Tabelle2[[#This Row],[Bevölkerung]]))</f>
        <v>9874310.9129524436</v>
      </c>
      <c r="R102" s="53" t="str">
        <f t="shared" si="64"/>
        <v/>
      </c>
      <c r="S102" s="53" t="str">
        <f t="shared" si="65"/>
        <v/>
      </c>
      <c r="T102" s="53">
        <f>1000000*Tabelle2[[#This Row],[Bevölkerung]]*EXP(-14.22+0.2263*LN((Tabelle2[[#This Row],[BIP (mrd.)]]*1000000000)/Tabelle2[[#This Row],[Bevölkerung]]))</f>
        <v>200682681.06759769</v>
      </c>
      <c r="U102" s="53" t="str">
        <f t="shared" si="66"/>
        <v/>
      </c>
      <c r="V102" s="53" t="str">
        <f t="shared" si="67"/>
        <v/>
      </c>
      <c r="W102" s="54"/>
      <c r="X102" s="53">
        <f>1000000*Tabelle2[[#This Row],[Bevölkerung]]*EXP(-17.9119+0.2965*LN((Tabelle2[[#This Row],[BIP (mrd.)]]*1000000000)/Tabelle2[[#This Row],[Bevölkerung]]))</f>
        <v>9700103.2267484497</v>
      </c>
      <c r="Y102" s="53" t="str">
        <f t="shared" si="71"/>
        <v/>
      </c>
      <c r="Z102" s="65" t="str">
        <f t="shared" si="72"/>
        <v/>
      </c>
      <c r="AA102" s="54"/>
      <c r="AB102" s="54"/>
      <c r="AC102" s="54"/>
      <c r="AD102" s="54"/>
      <c r="AE102" s="54"/>
      <c r="AF102" s="54"/>
      <c r="AG102" s="54"/>
      <c r="AH102" s="54">
        <v>0</v>
      </c>
      <c r="AI102" s="54" t="s">
        <v>988</v>
      </c>
      <c r="AJ102" s="54">
        <v>6343987</v>
      </c>
      <c r="AK102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11567366.507112576</v>
      </c>
      <c r="AL102" s="54">
        <f t="shared" si="68"/>
        <v>-5223379.5071125757</v>
      </c>
      <c r="AM102" s="89">
        <f t="shared" si="69"/>
        <v>0.82335911267040363</v>
      </c>
      <c r="AN102" s="91">
        <f t="shared" si="60"/>
        <v>0.82335911267040363</v>
      </c>
      <c r="AO102" s="54"/>
      <c r="AP102" s="53"/>
      <c r="AQ102" s="53"/>
      <c r="AR102" s="53"/>
      <c r="AS102" s="53"/>
      <c r="AT102" s="54"/>
      <c r="AU102" s="54"/>
      <c r="AV102" s="54"/>
      <c r="AW102" s="54"/>
      <c r="AX102" s="54">
        <v>123077</v>
      </c>
      <c r="AY102" s="54"/>
      <c r="AZ102" s="53"/>
      <c r="BA102" s="53"/>
      <c r="BB102" s="54"/>
      <c r="BC102" s="54"/>
      <c r="BD102" s="54"/>
      <c r="BE102" s="54"/>
      <c r="BF102" s="54"/>
      <c r="BG102" s="54"/>
      <c r="BH102" s="54"/>
      <c r="BI102" s="54"/>
      <c r="BJ102" s="54"/>
      <c r="BK102" s="54"/>
      <c r="BL102" s="54"/>
      <c r="BM102" s="54"/>
      <c r="BN102" s="54"/>
      <c r="BO102" s="54"/>
      <c r="BP102" s="54"/>
      <c r="BQ102" s="53"/>
      <c r="BR102" s="53"/>
      <c r="BS102" s="54"/>
      <c r="BT102" s="54"/>
      <c r="BU102" s="68"/>
    </row>
    <row r="103" spans="2:73" x14ac:dyDescent="0.3">
      <c r="B103" s="4" t="s">
        <v>201</v>
      </c>
      <c r="C103" s="5" t="s">
        <v>202</v>
      </c>
      <c r="D103" s="63">
        <v>7.48</v>
      </c>
      <c r="E103" s="63">
        <f>Tabelle2[[#This Row],[BIP (mrd.)]]*1000000000/Tabelle2[[#This Row],[Bevölkerung]]</f>
        <v>14172.034861690034</v>
      </c>
      <c r="F103" s="63">
        <v>0.39800000000000002</v>
      </c>
      <c r="G103" s="53">
        <v>300</v>
      </c>
      <c r="H103" s="63">
        <v>527800</v>
      </c>
      <c r="I103" s="88">
        <v>0.82139700000000004</v>
      </c>
      <c r="J103" s="88">
        <f>Tabelle2[[#This Row],[Strom (mrd.)]]*1000000000/Tabelle2[[#This Row],[Bevölkerung]]</f>
        <v>1556.2656309208032</v>
      </c>
      <c r="K103" s="53"/>
      <c r="L103" s="53">
        <f>1000000*Tabelle2[[#This Row],[Bevölkerung]]*EXP(-15.4183+0.052*LN((Tabelle2[[#This Row],[BIP (mrd.)]]*1000000000)/Tabelle2[[#This Row],[Bevölkerung]]))</f>
        <v>174687.26711200594</v>
      </c>
      <c r="M103" s="53" t="str">
        <f t="shared" si="73"/>
        <v/>
      </c>
      <c r="N103" s="65" t="str">
        <f t="shared" si="63"/>
        <v/>
      </c>
      <c r="O103" s="53"/>
      <c r="P103" s="53"/>
      <c r="Q103" s="53">
        <f>1000000*Tabelle2[[#This Row],[Bevölkerung]]*EXP(-17.8941+0.2965*LN((Tabelle2[[#This Row],[BIP (mrd.)]]*1000000000)/Tabelle2[[#This Row],[Bevölkerung]]))</f>
        <v>152075.81342862628</v>
      </c>
      <c r="R103" s="53" t="str">
        <f t="shared" si="64"/>
        <v/>
      </c>
      <c r="S103" s="53" t="str">
        <f t="shared" si="65"/>
        <v/>
      </c>
      <c r="T103" s="53">
        <f>1000000*Tabelle2[[#This Row],[Bevölkerung]]*EXP(-14.22+0.2263*LN((Tabelle2[[#This Row],[BIP (mrd.)]]*1000000000)/Tabelle2[[#This Row],[Bevölkerung]]))</f>
        <v>3063874.4343377235</v>
      </c>
      <c r="U103" s="53" t="str">
        <f t="shared" si="66"/>
        <v/>
      </c>
      <c r="V103" s="53" t="str">
        <f t="shared" si="67"/>
        <v/>
      </c>
      <c r="W103" s="54"/>
      <c r="X103" s="53">
        <f>1000000*Tabelle2[[#This Row],[Bevölkerung]]*EXP(-17.9119+0.2965*LN((Tabelle2[[#This Row],[BIP (mrd.)]]*1000000000)/Tabelle2[[#This Row],[Bevölkerung]]))</f>
        <v>149392.81348882895</v>
      </c>
      <c r="Y103" s="53" t="str">
        <f t="shared" si="71"/>
        <v/>
      </c>
      <c r="Z103" s="65" t="str">
        <f t="shared" si="72"/>
        <v/>
      </c>
      <c r="AA103" s="54"/>
      <c r="AB103" s="54"/>
      <c r="AC103" s="54"/>
      <c r="AD103" s="54"/>
      <c r="AE103" s="54"/>
      <c r="AF103" s="54"/>
      <c r="AG103" s="54"/>
      <c r="AH103" s="54">
        <v>0</v>
      </c>
      <c r="AI103" s="54" t="s">
        <v>988</v>
      </c>
      <c r="AJ103" s="54">
        <v>65764</v>
      </c>
      <c r="AK103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177608.80467240227</v>
      </c>
      <c r="AL103" s="54">
        <f t="shared" si="68"/>
        <v>-111844.80467240227</v>
      </c>
      <c r="AM103" s="89">
        <f t="shared" si="69"/>
        <v>1.7006995418831317</v>
      </c>
      <c r="AN103" s="91">
        <f t="shared" si="60"/>
        <v>1.7006995418831317</v>
      </c>
      <c r="AO103" s="54"/>
      <c r="AP103" s="53"/>
      <c r="AQ103" s="53"/>
      <c r="AR103" s="53"/>
      <c r="AS103" s="53"/>
      <c r="AT103" s="54"/>
      <c r="AU103" s="54"/>
      <c r="AV103" s="54"/>
      <c r="AW103" s="54"/>
      <c r="AX103" s="54"/>
      <c r="AY103" s="54"/>
      <c r="AZ103" s="53"/>
      <c r="BA103" s="53"/>
      <c r="BB103" s="54"/>
      <c r="BC103" s="54"/>
      <c r="BD103" s="54"/>
      <c r="BE103" s="54"/>
      <c r="BF103" s="54"/>
      <c r="BG103" s="54"/>
      <c r="BH103" s="54"/>
      <c r="BI103" s="54"/>
      <c r="BJ103" s="54"/>
      <c r="BK103" s="54"/>
      <c r="BL103" s="54"/>
      <c r="BM103" s="54"/>
      <c r="BN103" s="54"/>
      <c r="BO103" s="54"/>
      <c r="BP103" s="54"/>
      <c r="BQ103" s="53"/>
      <c r="BR103" s="53"/>
      <c r="BS103" s="54"/>
      <c r="BT103" s="54"/>
      <c r="BU103" s="68"/>
    </row>
    <row r="104" spans="2:73" x14ac:dyDescent="0.3">
      <c r="B104" s="2" t="s">
        <v>203</v>
      </c>
      <c r="C104" s="3" t="s">
        <v>204</v>
      </c>
      <c r="D104" s="63">
        <v>2.3207999999999996E-2</v>
      </c>
      <c r="E104" s="63">
        <f>Tabelle2[[#This Row],[BIP (mrd.)]]*1000000000/Tabelle2[[#This Row],[Bevölkerung]]</f>
        <v>0.94809343671615187</v>
      </c>
      <c r="F104" s="63">
        <v>0.42399999999999999</v>
      </c>
      <c r="G104" s="53">
        <v>1240190</v>
      </c>
      <c r="H104" s="63">
        <v>24478600</v>
      </c>
      <c r="I104" s="88"/>
      <c r="J104" s="88">
        <f>Tabelle2[[#This Row],[Strom (mrd.)]]*1000000000/Tabelle2[[#This Row],[Bevölkerung]]</f>
        <v>0</v>
      </c>
      <c r="K104" s="53"/>
      <c r="L104" s="53">
        <f>Tabelle2[[#This Row],[Wohnimmobilien Anzahl]]/Tabelle2[[#This Row],[Bevölkerung]]</f>
        <v>0</v>
      </c>
      <c r="M104" s="53">
        <f t="shared" si="70"/>
        <v>0</v>
      </c>
      <c r="N104" s="53" t="str">
        <f t="shared" si="63"/>
        <v/>
      </c>
      <c r="O104" s="53"/>
      <c r="P104" s="53"/>
      <c r="Q104" s="53">
        <f>1000000*Tabelle2[[#This Row],[Bevölkerung]]*EXP(-17.8941+0.2965*LN((Tabelle2[[#This Row],[BIP (mrd.)]]*1000000000)/Tabelle2[[#This Row],[Bevölkerung]]))</f>
        <v>407956.68122013076</v>
      </c>
      <c r="R104" s="53" t="str">
        <f t="shared" si="64"/>
        <v/>
      </c>
      <c r="S104" s="53" t="str">
        <f t="shared" si="65"/>
        <v/>
      </c>
      <c r="T104" s="53">
        <f>1000000*Tabelle2[[#This Row],[Bevölkerung]]*EXP(-14.22+0.2263*LN((Tabelle2[[#This Row],[BIP (mrd.)]]*1000000000)/Tabelle2[[#This Row],[Bevölkerung]]))</f>
        <v>16139142.493000977</v>
      </c>
      <c r="U104" s="53" t="str">
        <f t="shared" si="66"/>
        <v/>
      </c>
      <c r="V104" s="53" t="str">
        <f t="shared" si="67"/>
        <v/>
      </c>
      <c r="W104" s="54"/>
      <c r="X104" s="54"/>
      <c r="Y104" s="54" t="str">
        <f t="shared" si="71"/>
        <v/>
      </c>
      <c r="Z104" s="54" t="str">
        <f t="shared" si="72"/>
        <v/>
      </c>
      <c r="AA104" s="54"/>
      <c r="AB104" s="54"/>
      <c r="AC104" s="54"/>
      <c r="AD104" s="54"/>
      <c r="AE104" s="54"/>
      <c r="AF104" s="54"/>
      <c r="AG104" s="54"/>
      <c r="AH104" s="54"/>
      <c r="AI104" s="54">
        <v>0</v>
      </c>
      <c r="AJ104" s="54"/>
      <c r="AK104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602970.46856087877</v>
      </c>
      <c r="AL104" s="54" t="str">
        <f t="shared" si="68"/>
        <v/>
      </c>
      <c r="AM104" s="89" t="str">
        <f t="shared" si="69"/>
        <v/>
      </c>
      <c r="AN104" s="91"/>
      <c r="AO104" s="54"/>
      <c r="AP104" s="53"/>
      <c r="AQ104" s="53"/>
      <c r="AR104" s="53"/>
      <c r="AS104" s="53"/>
      <c r="AT104" s="54"/>
      <c r="AU104" s="54"/>
      <c r="AV104" s="54"/>
      <c r="AW104" s="54"/>
      <c r="AX104" s="54"/>
      <c r="AY104" s="54"/>
      <c r="AZ104" s="53"/>
      <c r="BA104" s="53"/>
      <c r="BB104" s="54"/>
      <c r="BC104" s="54"/>
      <c r="BD104" s="54"/>
      <c r="BE104" s="54"/>
      <c r="BF104" s="54"/>
      <c r="BG104" s="54"/>
      <c r="BH104" s="54"/>
      <c r="BI104" s="54"/>
      <c r="BJ104" s="54"/>
      <c r="BK104" s="54"/>
      <c r="BL104" s="54"/>
      <c r="BM104" s="54"/>
      <c r="BN104" s="54"/>
      <c r="BO104" s="54"/>
      <c r="BP104" s="54"/>
      <c r="BQ104" s="53"/>
      <c r="BR104" s="53"/>
      <c r="BS104" s="54"/>
      <c r="BT104" s="54"/>
      <c r="BU104" s="68"/>
    </row>
    <row r="105" spans="2:73" x14ac:dyDescent="0.3">
      <c r="B105" s="22" t="s">
        <v>205</v>
      </c>
      <c r="C105" s="23" t="s">
        <v>206</v>
      </c>
      <c r="D105" s="63">
        <v>25.75</v>
      </c>
      <c r="E105" s="63">
        <f>Tabelle2[[#This Row],[BIP (mrd.)]]*1000000000/Tabelle2[[#This Row],[Bevölkerung]]</f>
        <v>44833.289805867505</v>
      </c>
      <c r="F105" s="63">
        <v>0.94599999999999995</v>
      </c>
      <c r="G105" s="53">
        <v>320</v>
      </c>
      <c r="H105" s="63">
        <v>574350</v>
      </c>
      <c r="I105" s="88">
        <v>2.766</v>
      </c>
      <c r="J105" s="88">
        <f>Tabelle2[[#This Row],[Strom (mrd.)]]*1000000000/Tabelle2[[#This Row],[Bevölkerung]]</f>
        <v>4815.8788195351262</v>
      </c>
      <c r="K105" s="53">
        <v>74820</v>
      </c>
      <c r="L105" s="53">
        <f>1000000*Tabelle2[[#This Row],[Bevölkerung]]*EXP(-15.4183+0.052*LN((Tabelle2[[#This Row],[BIP (mrd.)]]*1000000000)/Tabelle2[[#This Row],[Bevölkerung]]))</f>
        <v>201826.06213424553</v>
      </c>
      <c r="M105" s="53">
        <f>IF(AND(ISNUMBER(K105), ISNUMBER(L105)), K105-L105, "")</f>
        <v>-127006.06213424553</v>
      </c>
      <c r="N105" s="65">
        <f t="shared" si="63"/>
        <v>1.6974881333098841</v>
      </c>
      <c r="O105" s="53"/>
      <c r="P105" s="53">
        <v>215691</v>
      </c>
      <c r="Q105" s="53">
        <f>1000000*Tabelle2[[#This Row],[Bevölkerung]]*EXP(-17.8941+0.2965*LN((Tabelle2[[#This Row],[BIP (mrd.)]]*1000000000)/Tabelle2[[#This Row],[Bevölkerung]]))</f>
        <v>232845.21472725793</v>
      </c>
      <c r="R105" s="53">
        <f t="shared" si="64"/>
        <v>-17154.214727257931</v>
      </c>
      <c r="S105" s="65">
        <f t="shared" si="65"/>
        <v>7.9531434910394647E-2</v>
      </c>
      <c r="T105" s="53">
        <f>1000000*Tabelle2[[#This Row],[Wohneinheiten Anzahl]]*EXP(-14.22+0.02263*LN((Tabelle2[[#This Row],[BIP (mrd.)]]*1000000000)/Tabelle2[[#This Row],[Bevölkerung]]))</f>
        <v>252812.7317716307</v>
      </c>
      <c r="U105" s="65">
        <f t="shared" si="66"/>
        <v>-37121.731771630701</v>
      </c>
      <c r="V105" s="65">
        <f t="shared" si="67"/>
        <v>0.17210607661715463</v>
      </c>
      <c r="W105" s="54"/>
      <c r="X105" s="53">
        <f>1000000*Tabelle2[[#This Row],[Bevölkerung]]*EXP(-17.9119+0.2965*LN((Tabelle2[[#This Row],[BIP (mrd.)]]*1000000000)/Tabelle2[[#This Row],[Bevölkerung]]))</f>
        <v>228737.23934964451</v>
      </c>
      <c r="Y105" s="53" t="str">
        <f t="shared" si="71"/>
        <v/>
      </c>
      <c r="Z105" s="65" t="str">
        <f t="shared" si="72"/>
        <v/>
      </c>
      <c r="AA105" s="54"/>
      <c r="AB105" s="54"/>
      <c r="AC105" s="54"/>
      <c r="AD105" s="54"/>
      <c r="AE105" s="54"/>
      <c r="AF105" s="54"/>
      <c r="AG105" s="54"/>
      <c r="AH105" s="54">
        <v>0</v>
      </c>
      <c r="AI105" s="54" t="s">
        <v>989</v>
      </c>
      <c r="AJ105" s="54">
        <v>297304</v>
      </c>
      <c r="AK105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264373.28427677171</v>
      </c>
      <c r="AL105" s="54">
        <f t="shared" si="68"/>
        <v>32930.715723228292</v>
      </c>
      <c r="AM105" s="89">
        <f t="shared" si="69"/>
        <v>-0.11076445565222227</v>
      </c>
      <c r="AN105" s="91">
        <f t="shared" si="60"/>
        <v>0.11076445565222227</v>
      </c>
      <c r="AO105" s="54"/>
      <c r="AP105" s="53"/>
      <c r="AQ105" s="53"/>
      <c r="AR105" s="53"/>
      <c r="AS105" s="53"/>
      <c r="AT105" s="54"/>
      <c r="AU105" s="54"/>
      <c r="AV105" s="54"/>
      <c r="AW105" s="54"/>
      <c r="AX105" s="54"/>
      <c r="AY105" s="54"/>
      <c r="AZ105" s="53"/>
      <c r="BA105" s="53"/>
      <c r="BB105" s="54"/>
      <c r="BC105" s="54"/>
      <c r="BD105" s="54"/>
      <c r="BE105" s="54"/>
      <c r="BF105" s="54"/>
      <c r="BG105" s="54"/>
      <c r="BH105" s="54"/>
      <c r="BI105" s="54"/>
      <c r="BJ105" s="54"/>
      <c r="BK105" s="54"/>
      <c r="BL105" s="54"/>
      <c r="BM105" s="54"/>
      <c r="BN105" s="54"/>
      <c r="BO105" s="54"/>
      <c r="BP105" s="54"/>
      <c r="BQ105" s="53"/>
      <c r="BR105" s="53"/>
      <c r="BS105" s="54"/>
      <c r="BT105" s="54"/>
      <c r="BU105" s="68"/>
    </row>
    <row r="106" spans="2:73" x14ac:dyDescent="0.3">
      <c r="B106" s="22" t="s">
        <v>207</v>
      </c>
      <c r="C106" s="23" t="s">
        <v>208</v>
      </c>
      <c r="D106" s="63">
        <v>0.16583500000000001</v>
      </c>
      <c r="E106" s="63">
        <f>Tabelle2[[#This Row],[BIP (mrd.)]]*1000000000/Tabelle2[[#This Row],[Bevölkerung]]</f>
        <v>4.3547769146798796</v>
      </c>
      <c r="F106" s="63">
        <v>0.625</v>
      </c>
      <c r="G106" s="53">
        <v>446550</v>
      </c>
      <c r="H106" s="63">
        <v>38081170</v>
      </c>
      <c r="I106" s="88"/>
      <c r="J106" s="88">
        <f>Tabelle2[[#This Row],[Strom (mrd.)]]*1000000000/Tabelle2[[#This Row],[Bevölkerung]]</f>
        <v>0</v>
      </c>
      <c r="K106" s="53"/>
      <c r="L106" s="53">
        <f>Tabelle2[[#This Row],[Wohnimmobilien Anzahl]]/Tabelle2[[#This Row],[Bevölkerung]]</f>
        <v>0</v>
      </c>
      <c r="M106" s="53">
        <f t="shared" si="70"/>
        <v>0</v>
      </c>
      <c r="N106" s="53" t="str">
        <f t="shared" si="63"/>
        <v/>
      </c>
      <c r="O106" s="53"/>
      <c r="P106" s="53"/>
      <c r="Q106" s="53">
        <f>1000000*Tabelle2[[#This Row],[Bevölkerung]]*EXP(-17.8941+0.2965*LN((Tabelle2[[#This Row],[BIP (mrd.)]]*1000000000)/Tabelle2[[#This Row],[Bevölkerung]]))</f>
        <v>997366.52422606747</v>
      </c>
      <c r="R106" s="53" t="str">
        <f t="shared" si="64"/>
        <v/>
      </c>
      <c r="S106" s="53" t="str">
        <f t="shared" si="65"/>
        <v/>
      </c>
      <c r="T106" s="53">
        <f>1000000*Tabelle2[[#This Row],[Wohneinheiten Anzahl]]*EXP(-14.22+0.02263*LN((Tabelle2[[#This Row],[BIP (mrd.)]]*1000000000)/Tabelle2[[#This Row],[Bevölkerung]]))</f>
        <v>0</v>
      </c>
      <c r="U106" s="53" t="str">
        <f t="shared" si="66"/>
        <v/>
      </c>
      <c r="V106" s="53" t="str">
        <f t="shared" si="67"/>
        <v/>
      </c>
      <c r="W106" s="54"/>
      <c r="X106" s="54"/>
      <c r="Y106" s="54" t="str">
        <f t="shared" si="71"/>
        <v/>
      </c>
      <c r="Z106" s="54" t="str">
        <f t="shared" si="72"/>
        <v/>
      </c>
      <c r="AA106" s="54"/>
      <c r="AB106" s="54"/>
      <c r="AC106" s="54"/>
      <c r="AD106" s="54"/>
      <c r="AE106" s="54"/>
      <c r="AF106" s="54"/>
      <c r="AG106" s="54"/>
      <c r="AH106" s="54"/>
      <c r="AI106" s="54">
        <v>0</v>
      </c>
      <c r="AJ106" s="54"/>
      <c r="AK106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1420086.0031861542</v>
      </c>
      <c r="AL106" s="54" t="str">
        <f t="shared" si="68"/>
        <v/>
      </c>
      <c r="AM106" s="89" t="str">
        <f t="shared" si="69"/>
        <v/>
      </c>
      <c r="AN106" s="91"/>
      <c r="AO106" s="54"/>
      <c r="AP106" s="53"/>
      <c r="AQ106" s="53"/>
      <c r="AR106" s="53"/>
      <c r="AS106" s="53"/>
      <c r="AT106" s="54"/>
      <c r="AU106" s="54"/>
      <c r="AV106" s="54"/>
      <c r="AW106" s="54"/>
      <c r="AX106" s="54"/>
      <c r="AY106" s="54"/>
      <c r="AZ106" s="53"/>
      <c r="BA106" s="53"/>
      <c r="BB106" s="54"/>
      <c r="BC106" s="54"/>
      <c r="BD106" s="54"/>
      <c r="BE106" s="54"/>
      <c r="BF106" s="54"/>
      <c r="BG106" s="54"/>
      <c r="BH106" s="54"/>
      <c r="BI106" s="54"/>
      <c r="BJ106" s="54"/>
      <c r="BK106" s="54"/>
      <c r="BL106" s="54"/>
      <c r="BM106" s="54"/>
      <c r="BN106" s="54"/>
      <c r="BO106" s="54"/>
      <c r="BP106" s="54"/>
      <c r="BQ106" s="53"/>
      <c r="BR106" s="53"/>
      <c r="BS106" s="54"/>
      <c r="BT106" s="54"/>
      <c r="BU106" s="68"/>
    </row>
    <row r="107" spans="2:73" x14ac:dyDescent="0.3">
      <c r="B107" s="2" t="s">
        <v>209</v>
      </c>
      <c r="C107" s="3" t="s">
        <v>210</v>
      </c>
      <c r="D107" s="63">
        <v>2.9699999999999997E-7</v>
      </c>
      <c r="E107" s="63">
        <f>Tabelle2[[#This Row],[BIP (mrd.)]]*1000000000/Tabelle2[[#This Row],[Bevölkerung]]</f>
        <v>7.909454061251665E-3</v>
      </c>
      <c r="F107" s="63">
        <v>0.77</v>
      </c>
      <c r="G107" s="53">
        <v>180</v>
      </c>
      <c r="H107" s="63">
        <v>37550</v>
      </c>
      <c r="I107" s="88"/>
      <c r="J107" s="88">
        <f>Tabelle2[[#This Row],[Strom (mrd.)]]*1000000000/Tabelle2[[#This Row],[Bevölkerung]]</f>
        <v>0</v>
      </c>
      <c r="K107" s="53"/>
      <c r="L107" s="53">
        <f>Tabelle2[[#This Row],[Wohnimmobilien Anzahl]]/Tabelle2[[#This Row],[Bevölkerung]]</f>
        <v>0</v>
      </c>
      <c r="M107" s="53">
        <f t="shared" si="70"/>
        <v>0</v>
      </c>
      <c r="N107" s="53" t="str">
        <f t="shared" si="63"/>
        <v/>
      </c>
      <c r="O107" s="53"/>
      <c r="P107" s="53"/>
      <c r="Q107" s="53">
        <f>1000000*Tabelle2[[#This Row],[Bevölkerung]]*EXP(-17.8941+0.2965*LN((Tabelle2[[#This Row],[BIP (mrd.)]]*1000000000)/Tabelle2[[#This Row],[Bevölkerung]]))</f>
        <v>151.39150010524435</v>
      </c>
      <c r="R107" s="53" t="str">
        <f t="shared" si="64"/>
        <v/>
      </c>
      <c r="S107" s="53" t="str">
        <f t="shared" si="65"/>
        <v/>
      </c>
      <c r="T107" s="53">
        <f>1000000*Tabelle2[[#This Row],[Bevölkerung]]*EXP(-14.22+0.2263*LN((Tabelle2[[#This Row],[BIP (mrd.)]]*1000000000)/Tabelle2[[#This Row],[Bevölkerung]]))</f>
        <v>8380.9444756070643</v>
      </c>
      <c r="U107" s="53" t="str">
        <f t="shared" si="66"/>
        <v/>
      </c>
      <c r="V107" s="53" t="str">
        <f t="shared" si="67"/>
        <v/>
      </c>
      <c r="W107" s="54"/>
      <c r="X107" s="54"/>
      <c r="Y107" s="54" t="str">
        <f t="shared" si="71"/>
        <v/>
      </c>
      <c r="Z107" s="54" t="str">
        <f t="shared" si="72"/>
        <v/>
      </c>
      <c r="AA107" s="54"/>
      <c r="AB107" s="54"/>
      <c r="AC107" s="54"/>
      <c r="AD107" s="54"/>
      <c r="AE107" s="54"/>
      <c r="AF107" s="54"/>
      <c r="AG107" s="54"/>
      <c r="AH107" s="54"/>
      <c r="AI107" s="54">
        <v>0</v>
      </c>
      <c r="AJ107" s="54"/>
      <c r="AK107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252.45003537156617</v>
      </c>
      <c r="AL107" s="54" t="str">
        <f t="shared" si="68"/>
        <v/>
      </c>
      <c r="AM107" s="89" t="str">
        <f t="shared" si="69"/>
        <v/>
      </c>
      <c r="AN107" s="91"/>
      <c r="AO107" s="54"/>
      <c r="AP107" s="53"/>
      <c r="AQ107" s="53"/>
      <c r="AR107" s="53"/>
      <c r="AS107" s="53"/>
      <c r="AT107" s="54"/>
      <c r="AU107" s="54"/>
      <c r="AV107" s="54"/>
      <c r="AW107" s="54"/>
      <c r="AX107" s="54"/>
      <c r="AY107" s="54"/>
      <c r="AZ107" s="53"/>
      <c r="BA107" s="53"/>
      <c r="BB107" s="54"/>
      <c r="BC107" s="54"/>
      <c r="BD107" s="54"/>
      <c r="BE107" s="54"/>
      <c r="BF107" s="54"/>
      <c r="BG107" s="54"/>
      <c r="BH107" s="54"/>
      <c r="BI107" s="54"/>
      <c r="BJ107" s="54"/>
      <c r="BK107" s="54"/>
      <c r="BL107" s="54"/>
      <c r="BM107" s="54"/>
      <c r="BN107" s="54"/>
      <c r="BO107" s="54"/>
      <c r="BP107" s="54"/>
      <c r="BQ107" s="53"/>
      <c r="BR107" s="53"/>
      <c r="BS107" s="54"/>
      <c r="BT107" s="54"/>
      <c r="BU107" s="68"/>
    </row>
    <row r="108" spans="2:73" x14ac:dyDescent="0.3">
      <c r="B108" s="2" t="s">
        <v>211</v>
      </c>
      <c r="C108" s="3" t="s">
        <v>212</v>
      </c>
      <c r="D108" s="63">
        <v>1.1469999999999999E-2</v>
      </c>
      <c r="E108" s="63">
        <f>Tabelle2[[#This Row],[BIP (mrd.)]]*1000000000/Tabelle2[[#This Row],[Bevölkerung]]</f>
        <v>2.2188261693813596</v>
      </c>
      <c r="F108" s="63">
        <v>0.53700000000000003</v>
      </c>
      <c r="G108" s="53">
        <v>1030700</v>
      </c>
      <c r="H108" s="63">
        <v>5169400</v>
      </c>
      <c r="I108" s="88"/>
      <c r="J108" s="88">
        <f>Tabelle2[[#This Row],[Strom (mrd.)]]*1000000000/Tabelle2[[#This Row],[Bevölkerung]]</f>
        <v>0</v>
      </c>
      <c r="K108" s="53"/>
      <c r="L108" s="53">
        <f>Tabelle2[[#This Row],[Wohnimmobilien Anzahl]]/Tabelle2[[#This Row],[Bevölkerung]]</f>
        <v>0</v>
      </c>
      <c r="M108" s="53">
        <f t="shared" si="70"/>
        <v>0</v>
      </c>
      <c r="N108" s="53" t="str">
        <f t="shared" si="63"/>
        <v/>
      </c>
      <c r="O108" s="53"/>
      <c r="P108" s="53"/>
      <c r="Q108" s="53">
        <f>1000000*Tabelle2[[#This Row],[Bevölkerung]]*EXP(-17.8941+0.2965*LN((Tabelle2[[#This Row],[BIP (mrd.)]]*1000000000)/Tabelle2[[#This Row],[Bevölkerung]]))</f>
        <v>110855.38694239927</v>
      </c>
      <c r="R108" s="53" t="str">
        <f t="shared" si="64"/>
        <v/>
      </c>
      <c r="S108" s="53" t="str">
        <f t="shared" si="65"/>
        <v/>
      </c>
      <c r="T108" s="53">
        <f>1000000*Tabelle2[[#This Row],[Bevölkerung]]*EXP(-14.22+0.2263*LN((Tabelle2[[#This Row],[BIP (mrd.)]]*1000000000)/Tabelle2[[#This Row],[Bevölkerung]]))</f>
        <v>4131429.0979430126</v>
      </c>
      <c r="U108" s="53" t="str">
        <f t="shared" si="66"/>
        <v/>
      </c>
      <c r="V108" s="53" t="str">
        <f t="shared" si="67"/>
        <v/>
      </c>
      <c r="W108" s="54"/>
      <c r="X108" s="54"/>
      <c r="Y108" s="54" t="str">
        <f t="shared" si="71"/>
        <v/>
      </c>
      <c r="Z108" s="54" t="str">
        <f t="shared" si="72"/>
        <v/>
      </c>
      <c r="AA108" s="54"/>
      <c r="AB108" s="54"/>
      <c r="AC108" s="54"/>
      <c r="AD108" s="54"/>
      <c r="AE108" s="54"/>
      <c r="AF108" s="54"/>
      <c r="AG108" s="54"/>
      <c r="AH108" s="54"/>
      <c r="AI108" s="54">
        <v>0</v>
      </c>
      <c r="AJ108" s="54"/>
      <c r="AK108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160469.77976881032</v>
      </c>
      <c r="AL108" s="54" t="str">
        <f t="shared" si="68"/>
        <v/>
      </c>
      <c r="AM108" s="89" t="str">
        <f t="shared" si="69"/>
        <v/>
      </c>
      <c r="AN108" s="91"/>
      <c r="AO108" s="54"/>
      <c r="AP108" s="53"/>
      <c r="AQ108" s="53"/>
      <c r="AR108" s="53"/>
      <c r="AS108" s="53"/>
      <c r="AT108" s="54"/>
      <c r="AU108" s="54"/>
      <c r="AV108" s="54"/>
      <c r="AW108" s="54"/>
      <c r="AX108" s="54"/>
      <c r="AY108" s="54"/>
      <c r="AZ108" s="53"/>
      <c r="BA108" s="53"/>
      <c r="BB108" s="54"/>
      <c r="BC108" s="54"/>
      <c r="BD108" s="54"/>
      <c r="BE108" s="54"/>
      <c r="BF108" s="54"/>
      <c r="BG108" s="54"/>
      <c r="BH108" s="54"/>
      <c r="BI108" s="54"/>
      <c r="BJ108" s="54"/>
      <c r="BK108" s="54"/>
      <c r="BL108" s="54"/>
      <c r="BM108" s="54"/>
      <c r="BN108" s="54"/>
      <c r="BO108" s="54"/>
      <c r="BP108" s="54"/>
      <c r="BQ108" s="53"/>
      <c r="BR108" s="53"/>
      <c r="BS108" s="54"/>
      <c r="BT108" s="54"/>
      <c r="BU108" s="68"/>
    </row>
    <row r="109" spans="2:73" x14ac:dyDescent="0.3">
      <c r="B109" s="17" t="s">
        <v>213</v>
      </c>
      <c r="C109" s="18" t="s">
        <v>214</v>
      </c>
      <c r="D109" s="63">
        <v>15.494</v>
      </c>
      <c r="E109" s="63">
        <f>Tabelle2[[#This Row],[BIP (mrd.)]]*1000000000/Tabelle2[[#This Row],[Bevölkerung]]</f>
        <v>12301.609356019404</v>
      </c>
      <c r="F109" s="63">
        <v>0.40799999999999997</v>
      </c>
      <c r="G109" s="53">
        <v>2010</v>
      </c>
      <c r="H109" s="63">
        <v>1259510</v>
      </c>
      <c r="I109" s="88">
        <v>3.0840000000000001</v>
      </c>
      <c r="J109" s="88">
        <f>Tabelle2[[#This Row],[Strom (mrd.)]]*1000000000/Tabelle2[[#This Row],[Bevölkerung]]</f>
        <v>2448.5712697795175</v>
      </c>
      <c r="K109" s="53">
        <v>329000</v>
      </c>
      <c r="L109" s="53">
        <f>1000000*Tabelle2[[#This Row],[Bevölkerung]]*EXP(-15.4183+0.052*LN((Tabelle2[[#This Row],[BIP (mrd.)]]*1000000000)/Tabelle2[[#This Row],[Bevölkerung]]))</f>
        <v>413806.23500321509</v>
      </c>
      <c r="M109" s="53">
        <f t="shared" ref="M109:M111" si="74">IF(AND(ISNUMBER(K109), ISNUMBER(L109)), K109-L109, "")</f>
        <v>-84806.235003215086</v>
      </c>
      <c r="N109" s="65">
        <f t="shared" si="63"/>
        <v>0.25776971125597292</v>
      </c>
      <c r="O109" s="53"/>
      <c r="P109" s="53">
        <v>354062</v>
      </c>
      <c r="Q109" s="53">
        <f>1000000*Tabelle2[[#This Row],[Bevölkerung]]*EXP(-17.8941+0.2965*LN((Tabelle2[[#This Row],[BIP (mrd.)]]*1000000000)/Tabelle2[[#This Row],[Bevölkerung]]))</f>
        <v>347989.74362515437</v>
      </c>
      <c r="R109" s="53">
        <f t="shared" si="64"/>
        <v>6072.2563748456305</v>
      </c>
      <c r="S109" s="65">
        <f t="shared" si="65"/>
        <v>-1.7150262877252093E-2</v>
      </c>
      <c r="T109" s="53">
        <f>1000000*Tabelle2[[#This Row],[Wohneinheiten Anzahl]]*EXP(-14.22+0.02263*LN((Tabelle2[[#This Row],[BIP (mrd.)]]*1000000000)/Tabelle2[[#This Row],[Bevölkerung]]))</f>
        <v>339992.37156018836</v>
      </c>
      <c r="U109" s="65">
        <f t="shared" si="66"/>
        <v>14069.62843981164</v>
      </c>
      <c r="V109" s="65">
        <f t="shared" si="67"/>
        <v>-3.9737753387292733E-2</v>
      </c>
      <c r="W109" s="54"/>
      <c r="X109" s="53">
        <f>1000000*Tabelle2[[#This Row],[Bevölkerung]]*EXP(-17.9119+0.2965*LN((Tabelle2[[#This Row],[BIP (mrd.)]]*1000000000)/Tabelle2[[#This Row],[Bevölkerung]]))</f>
        <v>341850.32907824765</v>
      </c>
      <c r="Y109" s="53" t="str">
        <f t="shared" si="71"/>
        <v/>
      </c>
      <c r="Z109" s="65" t="str">
        <f t="shared" si="72"/>
        <v/>
      </c>
      <c r="AA109" s="54"/>
      <c r="AB109" s="54"/>
      <c r="AC109" s="54"/>
      <c r="AD109" s="54"/>
      <c r="AE109" s="54"/>
      <c r="AF109" s="54"/>
      <c r="AG109" s="54"/>
      <c r="AH109" s="54">
        <v>0</v>
      </c>
      <c r="AI109" s="54" t="s">
        <v>990</v>
      </c>
      <c r="AJ109" s="54">
        <v>411700</v>
      </c>
      <c r="AK109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407827.66472861095</v>
      </c>
      <c r="AL109" s="54">
        <f t="shared" si="68"/>
        <v>3872.335271389049</v>
      </c>
      <c r="AM109" s="89">
        <f t="shared" si="69"/>
        <v>-9.4057208437917147E-3</v>
      </c>
      <c r="AN109" s="91">
        <f t="shared" si="60"/>
        <v>9.4057208437917147E-3</v>
      </c>
      <c r="AO109" s="54"/>
      <c r="AP109" s="53"/>
      <c r="AQ109" s="53"/>
      <c r="AR109" s="53"/>
      <c r="AS109" s="53"/>
      <c r="AT109" s="54"/>
      <c r="AU109" s="54"/>
      <c r="AV109" s="54"/>
      <c r="AW109" s="54"/>
      <c r="AX109" s="54"/>
      <c r="AY109" s="54"/>
      <c r="AZ109" s="53"/>
      <c r="BA109" s="53"/>
      <c r="BB109" s="54"/>
      <c r="BC109" s="54"/>
      <c r="BD109" s="54"/>
      <c r="BE109" s="54"/>
      <c r="BF109" s="54"/>
      <c r="BG109" s="54"/>
      <c r="BH109" s="54"/>
      <c r="BI109" s="54"/>
      <c r="BJ109" s="54"/>
      <c r="BK109" s="54"/>
      <c r="BL109" s="54"/>
      <c r="BM109" s="54"/>
      <c r="BN109" s="54"/>
      <c r="BO109" s="54"/>
      <c r="BP109" s="54"/>
      <c r="BQ109" s="53"/>
      <c r="BR109" s="53"/>
      <c r="BS109" s="54"/>
      <c r="BT109" s="54"/>
      <c r="BU109" s="68"/>
    </row>
    <row r="110" spans="2:73" x14ac:dyDescent="0.3">
      <c r="B110" s="2" t="s">
        <v>215</v>
      </c>
      <c r="C110" s="3" t="s">
        <v>216</v>
      </c>
      <c r="D110" s="63">
        <v>17.885000000000002</v>
      </c>
      <c r="E110" s="63">
        <f>Tabelle2[[#This Row],[BIP (mrd.)]]*1000000000/Tabelle2[[#This Row],[Bevölkerung]]</f>
        <v>9979.4663482462693</v>
      </c>
      <c r="F110" s="63">
        <v>0.57999999999999996</v>
      </c>
      <c r="G110" s="53">
        <v>25710</v>
      </c>
      <c r="H110" s="63">
        <v>1792180</v>
      </c>
      <c r="I110" s="88">
        <v>5.8959999999999999</v>
      </c>
      <c r="J110" s="88">
        <f>Tabelle2[[#This Row],[Strom (mrd.)]]*1000000000/Tabelle2[[#This Row],[Bevölkerung]]</f>
        <v>3289.8481179345827</v>
      </c>
      <c r="K110" s="53"/>
      <c r="L110" s="53">
        <f>1000000*Tabelle2[[#This Row],[Bevölkerung]]*EXP(-15.4183+0.052*LN((Tabelle2[[#This Row],[BIP (mrd.)]]*1000000000)/Tabelle2[[#This Row],[Bevölkerung]]))</f>
        <v>582441.88222775678</v>
      </c>
      <c r="M110" s="53" t="str">
        <f t="shared" si="74"/>
        <v/>
      </c>
      <c r="N110" s="65" t="str">
        <f t="shared" si="63"/>
        <v/>
      </c>
      <c r="O110" s="53"/>
      <c r="P110" s="53">
        <v>531987</v>
      </c>
      <c r="Q110" s="53">
        <f>1000000*Tabelle2[[#This Row],[Bevölkerung]]*EXP(-17.8941+0.2965*LN((Tabelle2[[#This Row],[BIP (mrd.)]]*1000000000)/Tabelle2[[#This Row],[Bevölkerung]]))</f>
        <v>465380.36686675227</v>
      </c>
      <c r="R110" s="53">
        <f t="shared" si="64"/>
        <v>66606.633133247728</v>
      </c>
      <c r="S110" s="65">
        <f t="shared" si="65"/>
        <v>-0.12520349770435693</v>
      </c>
      <c r="T110" s="53">
        <f>1000000*Tabelle2[[#This Row],[Wohneinheiten Anzahl]]*EXP(-14.22+0.02263*LN((Tabelle2[[#This Row],[BIP (mrd.)]]*1000000000)/Tabelle2[[#This Row],[Bevölkerung]]))</f>
        <v>689738.21004707401</v>
      </c>
      <c r="U110" s="65">
        <f t="shared" si="66"/>
        <v>-157751.21004707401</v>
      </c>
      <c r="V110" s="65">
        <f t="shared" si="67"/>
        <v>0.296532077000141</v>
      </c>
      <c r="W110" s="54"/>
      <c r="X110" s="53">
        <f>1000000*Tabelle2[[#This Row],[Bevölkerung]]*EXP(-17.9119+0.2965*LN((Tabelle2[[#This Row],[BIP (mrd.)]]*1000000000)/Tabelle2[[#This Row],[Bevölkerung]]))</f>
        <v>457169.88639562618</v>
      </c>
      <c r="Y110" s="53" t="str">
        <f t="shared" si="71"/>
        <v/>
      </c>
      <c r="Z110" s="65" t="str">
        <f t="shared" si="72"/>
        <v/>
      </c>
      <c r="AA110" s="54"/>
      <c r="AB110" s="54"/>
      <c r="AC110" s="54"/>
      <c r="AD110" s="54"/>
      <c r="AE110" s="54"/>
      <c r="AF110" s="54"/>
      <c r="AG110" s="54"/>
      <c r="AH110" s="54">
        <v>0</v>
      </c>
      <c r="AI110" s="54" t="s">
        <v>987</v>
      </c>
      <c r="AJ110" s="54">
        <v>839174</v>
      </c>
      <c r="AK110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548206.56547054322</v>
      </c>
      <c r="AL110" s="54">
        <f t="shared" si="68"/>
        <v>290967.43452945678</v>
      </c>
      <c r="AM110" s="89">
        <f t="shared" si="69"/>
        <v>-0.34673075492026301</v>
      </c>
      <c r="AN110" s="91">
        <f t="shared" si="60"/>
        <v>0.34673075492026301</v>
      </c>
      <c r="AO110" s="54">
        <v>83062799</v>
      </c>
      <c r="AP110" s="53"/>
      <c r="AQ110" s="53"/>
      <c r="AR110" s="53"/>
      <c r="AS110" s="53"/>
      <c r="AT110" s="54"/>
      <c r="AU110" s="54"/>
      <c r="AV110" s="54"/>
      <c r="AW110" s="54"/>
      <c r="AX110" s="54"/>
      <c r="AY110" s="54"/>
      <c r="AZ110" s="53"/>
      <c r="BA110" s="53"/>
      <c r="BB110" s="54"/>
      <c r="BC110" s="54"/>
      <c r="BD110" s="54"/>
      <c r="BE110" s="54"/>
      <c r="BF110" s="54"/>
      <c r="BG110" s="54"/>
      <c r="BH110" s="54"/>
      <c r="BI110" s="54"/>
      <c r="BJ110" s="54"/>
      <c r="BK110" s="54"/>
      <c r="BL110" s="54"/>
      <c r="BM110" s="54"/>
      <c r="BN110" s="54"/>
      <c r="BO110" s="54"/>
      <c r="BP110" s="54"/>
      <c r="BQ110" s="53"/>
      <c r="BR110" s="53"/>
      <c r="BS110" s="54"/>
      <c r="BT110" s="54"/>
      <c r="BU110" s="68"/>
    </row>
    <row r="111" spans="2:73" x14ac:dyDescent="0.3">
      <c r="B111" s="19" t="s">
        <v>217</v>
      </c>
      <c r="C111" s="20" t="s">
        <v>218</v>
      </c>
      <c r="D111" s="63">
        <v>1692.64</v>
      </c>
      <c r="E111" s="63">
        <f>Tabelle2[[#This Row],[BIP (mrd.)]]*1000000000/Tabelle2[[#This Row],[Bevölkerung]]</f>
        <v>12934.639584395689</v>
      </c>
      <c r="F111" s="63">
        <v>0.80200000000000005</v>
      </c>
      <c r="G111" s="53">
        <v>1957194</v>
      </c>
      <c r="H111" s="63">
        <v>130861010</v>
      </c>
      <c r="I111" s="88">
        <v>332.04199999999997</v>
      </c>
      <c r="J111" s="88">
        <f>Tabelle2[[#This Row],[Strom (mrd.)]]*1000000000/Tabelle2[[#This Row],[Bevölkerung]]</f>
        <v>2537.3638794320782</v>
      </c>
      <c r="K111" s="53"/>
      <c r="L111" s="53">
        <f>1000000*Tabelle2[[#This Row],[Bevölkerung]]*EXP(-15.4183+0.052*LN((Tabelle2[[#This Row],[BIP (mrd.)]]*1000000000)/Tabelle2[[#This Row],[Bevölkerung]]))</f>
        <v>43106114.963150986</v>
      </c>
      <c r="M111" s="53" t="str">
        <f t="shared" si="74"/>
        <v/>
      </c>
      <c r="N111" s="65" t="str">
        <f t="shared" si="63"/>
        <v/>
      </c>
      <c r="O111" s="53"/>
      <c r="P111" s="53"/>
      <c r="Q111" s="53">
        <f>1000000*Tabelle2[[#This Row],[Bevölkerung]]*EXP(-17.8941+0.2965*LN((Tabelle2[[#This Row],[BIP (mrd.)]]*1000000000)/Tabelle2[[#This Row],[Bevölkerung]]))</f>
        <v>36697505.030592822</v>
      </c>
      <c r="R111" s="53" t="str">
        <f t="shared" si="64"/>
        <v/>
      </c>
      <c r="S111" s="53" t="str">
        <f t="shared" si="65"/>
        <v/>
      </c>
      <c r="T111" s="53">
        <f>1000000*Tabelle2[[#This Row],[Bevölkerung]]*EXP(-14.22+0.2263*LN((Tabelle2[[#This Row],[BIP (mrd.)]]*1000000000)/Tabelle2[[#This Row],[Bevölkerung]]))</f>
        <v>744102460.39902639</v>
      </c>
      <c r="U111" s="53" t="str">
        <f t="shared" si="66"/>
        <v/>
      </c>
      <c r="V111" s="53" t="str">
        <f t="shared" si="67"/>
        <v/>
      </c>
      <c r="W111" s="54"/>
      <c r="X111" s="53">
        <f>1000000*Tabelle2[[#This Row],[Bevölkerung]]*EXP(-17.9119+0.2965*LN((Tabelle2[[#This Row],[BIP (mrd.)]]*1000000000)/Tabelle2[[#This Row],[Bevölkerung]]))</f>
        <v>36050068.718611479</v>
      </c>
      <c r="Y111" s="53" t="str">
        <f t="shared" si="71"/>
        <v/>
      </c>
      <c r="Z111" s="65" t="str">
        <f t="shared" si="72"/>
        <v/>
      </c>
      <c r="AA111" s="54"/>
      <c r="AB111" s="54"/>
      <c r="AC111" s="54"/>
      <c r="AD111" s="54"/>
      <c r="AE111" s="54"/>
      <c r="AF111" s="54"/>
      <c r="AG111" s="54"/>
      <c r="AH111" s="54">
        <v>1</v>
      </c>
      <c r="AI111" s="54" t="s">
        <v>988</v>
      </c>
      <c r="AJ111" s="54">
        <v>35219141</v>
      </c>
      <c r="AK111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42954911.489555761</v>
      </c>
      <c r="AL111" s="54">
        <f t="shared" si="68"/>
        <v>-7735770.4895557612</v>
      </c>
      <c r="AM111" s="89">
        <f t="shared" si="69"/>
        <v>0.219646767919631</v>
      </c>
      <c r="AN111" s="91">
        <f t="shared" si="60"/>
        <v>0.219646767919631</v>
      </c>
      <c r="AO111" s="54"/>
      <c r="AP111" s="53"/>
      <c r="AQ111" s="53"/>
      <c r="AR111" s="53"/>
      <c r="AS111" s="53"/>
      <c r="AT111" s="54"/>
      <c r="AU111" s="54"/>
      <c r="AV111" s="54"/>
      <c r="AW111" s="54"/>
      <c r="AX111" s="54"/>
      <c r="AY111" s="54"/>
      <c r="AZ111" s="53"/>
      <c r="BA111" s="53"/>
      <c r="BB111" s="54"/>
      <c r="BC111" s="54"/>
      <c r="BD111" s="54"/>
      <c r="BE111" s="54"/>
      <c r="BF111" s="54"/>
      <c r="BG111" s="54"/>
      <c r="BH111" s="54"/>
      <c r="BI111" s="54"/>
      <c r="BJ111" s="54"/>
      <c r="BK111" s="54"/>
      <c r="BL111" s="54"/>
      <c r="BM111" s="54"/>
      <c r="BN111" s="54"/>
      <c r="BO111" s="54"/>
      <c r="BP111" s="54"/>
      <c r="BQ111" s="53"/>
      <c r="BR111" s="53"/>
      <c r="BS111" s="54"/>
      <c r="BT111" s="54"/>
      <c r="BU111" s="68"/>
    </row>
    <row r="112" spans="2:73" x14ac:dyDescent="0.3">
      <c r="B112" s="2" t="s">
        <v>219</v>
      </c>
      <c r="C112" s="3" t="s">
        <v>220</v>
      </c>
      <c r="D112" s="63">
        <v>5.0000000000000008E-7</v>
      </c>
      <c r="E112" s="63">
        <f>Tabelle2[[#This Row],[BIP (mrd.)]]*1000000000/Tabelle2[[#This Row],[Bevölkerung]]</f>
        <v>4.4185224460940265E-3</v>
      </c>
      <c r="F112" s="63">
        <v>0.22700000000000001</v>
      </c>
      <c r="G112" s="53">
        <v>700</v>
      </c>
      <c r="H112" s="63">
        <v>113160</v>
      </c>
      <c r="I112" s="88"/>
      <c r="J112" s="88">
        <f>Tabelle2[[#This Row],[Strom (mrd.)]]*1000000000/Tabelle2[[#This Row],[Bevölkerung]]</f>
        <v>0</v>
      </c>
      <c r="K112" s="53"/>
      <c r="L112" s="53">
        <f>Tabelle2[[#This Row],[Wohnimmobilien Anzahl]]/Tabelle2[[#This Row],[Bevölkerung]]</f>
        <v>0</v>
      </c>
      <c r="M112" s="53">
        <f t="shared" si="70"/>
        <v>0</v>
      </c>
      <c r="N112" s="53" t="str">
        <f t="shared" si="63"/>
        <v/>
      </c>
      <c r="O112" s="53"/>
      <c r="P112" s="53"/>
      <c r="Q112" s="53">
        <f>1000000*Tabelle2[[#This Row],[Bevölkerung]]*EXP(-17.8941+0.2965*LN((Tabelle2[[#This Row],[BIP (mrd.)]]*1000000000)/Tabelle2[[#This Row],[Bevölkerung]]))</f>
        <v>383.89168021684196</v>
      </c>
      <c r="R112" s="53" t="str">
        <f t="shared" si="64"/>
        <v/>
      </c>
      <c r="S112" s="53" t="str">
        <f t="shared" si="65"/>
        <v/>
      </c>
      <c r="T112" s="53">
        <f>1000000*Tabelle2[[#This Row],[Bevölkerung]]*EXP(-14.22+0.2263*LN((Tabelle2[[#This Row],[BIP (mrd.)]]*1000000000)/Tabelle2[[#This Row],[Bevölkerung]]))</f>
        <v>22138.674044964802</v>
      </c>
      <c r="U112" s="53" t="str">
        <f t="shared" si="66"/>
        <v/>
      </c>
      <c r="V112" s="53" t="str">
        <f t="shared" si="67"/>
        <v/>
      </c>
      <c r="W112" s="54"/>
      <c r="X112" s="54"/>
      <c r="Y112" s="54" t="str">
        <f t="shared" si="71"/>
        <v/>
      </c>
      <c r="Z112" s="54" t="str">
        <f t="shared" si="72"/>
        <v/>
      </c>
      <c r="AA112" s="54"/>
      <c r="AB112" s="54"/>
      <c r="AC112" s="54"/>
      <c r="AD112" s="54"/>
      <c r="AE112" s="54"/>
      <c r="AF112" s="54"/>
      <c r="AG112" s="54"/>
      <c r="AH112" s="54"/>
      <c r="AI112" s="54">
        <v>0</v>
      </c>
      <c r="AJ112" s="54"/>
      <c r="AK112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647.92986774260464</v>
      </c>
      <c r="AL112" s="54" t="str">
        <f t="shared" si="68"/>
        <v/>
      </c>
      <c r="AM112" s="89" t="str">
        <f t="shared" si="69"/>
        <v/>
      </c>
      <c r="AN112" s="91"/>
      <c r="AO112" s="54"/>
      <c r="AP112" s="53"/>
      <c r="AQ112" s="53"/>
      <c r="AR112" s="53"/>
      <c r="AS112" s="53"/>
      <c r="AT112" s="54"/>
      <c r="AU112" s="54"/>
      <c r="AV112" s="54"/>
      <c r="AW112" s="54"/>
      <c r="AX112" s="54"/>
      <c r="AY112" s="54"/>
      <c r="AZ112" s="53"/>
      <c r="BA112" s="53"/>
      <c r="BB112" s="54"/>
      <c r="BC112" s="54"/>
      <c r="BD112" s="54"/>
      <c r="BE112" s="54"/>
      <c r="BF112" s="54"/>
      <c r="BG112" s="54"/>
      <c r="BH112" s="54"/>
      <c r="BI112" s="54"/>
      <c r="BJ112" s="54"/>
      <c r="BK112" s="54"/>
      <c r="BL112" s="54"/>
      <c r="BM112" s="54"/>
      <c r="BN112" s="54"/>
      <c r="BO112" s="54"/>
      <c r="BP112" s="54"/>
      <c r="BQ112" s="53"/>
      <c r="BR112" s="53"/>
      <c r="BS112" s="54"/>
      <c r="BT112" s="54"/>
      <c r="BU112" s="68"/>
    </row>
    <row r="113" spans="1:73" x14ac:dyDescent="0.3">
      <c r="B113" s="2" t="s">
        <v>221</v>
      </c>
      <c r="C113" s="3" t="s">
        <v>222</v>
      </c>
      <c r="D113" s="63">
        <v>19.462</v>
      </c>
      <c r="E113" s="63">
        <f>Tabelle2[[#This Row],[BIP (mrd.)]]*1000000000/Tabelle2[[#This Row],[Bevölkerung]]</f>
        <v>8145.5501238866937</v>
      </c>
      <c r="F113" s="63">
        <v>0.42599999999999999</v>
      </c>
      <c r="G113" s="53">
        <v>33850</v>
      </c>
      <c r="H113" s="63">
        <v>2389280</v>
      </c>
      <c r="I113" s="88">
        <v>5.6740000000000004</v>
      </c>
      <c r="J113" s="88">
        <f>Tabelle2[[#This Row],[Strom (mrd.)]]*1000000000/Tabelle2[[#This Row],[Bevölkerung]]</f>
        <v>2374.773990490859</v>
      </c>
      <c r="K113" s="53"/>
      <c r="L113" s="53">
        <f>1000000*Tabelle2[[#This Row],[Bevölkerung]]*EXP(-15.4183+0.052*LN((Tabelle2[[#This Row],[BIP (mrd.)]]*1000000000)/Tabelle2[[#This Row],[Bevölkerung]]))</f>
        <v>768337.97610406822</v>
      </c>
      <c r="M113" s="53" t="str">
        <f>IF(AND(ISNUMBER(K113), ISNUMBER(L113)), K113-L113, "")</f>
        <v/>
      </c>
      <c r="N113" s="65" t="str">
        <f t="shared" si="63"/>
        <v/>
      </c>
      <c r="O113" s="53"/>
      <c r="P113" s="53">
        <v>996965</v>
      </c>
      <c r="Q113" s="53">
        <f>1000000*Tabelle2[[#This Row],[Bevölkerung]]*EXP(-17.8941+0.2965*LN((Tabelle2[[#This Row],[BIP (mrd.)]]*1000000000)/Tabelle2[[#This Row],[Bevölkerung]]))</f>
        <v>584179.1652442005</v>
      </c>
      <c r="R113" s="53">
        <f t="shared" si="64"/>
        <v>412785.8347557995</v>
      </c>
      <c r="S113" s="65">
        <f t="shared" si="65"/>
        <v>-0.41404245360248304</v>
      </c>
      <c r="T113" s="53">
        <f>1000000*Tabelle2[[#This Row],[Wohneinheiten Anzahl]]*EXP(-14.22+0.02263*LN((Tabelle2[[#This Row],[BIP (mrd.)]]*1000000000)/Tabelle2[[#This Row],[Bevölkerung]]))</f>
        <v>1011712.3664067135</v>
      </c>
      <c r="U113" s="65">
        <f t="shared" si="66"/>
        <v>-14747.366406713496</v>
      </c>
      <c r="V113" s="65">
        <f t="shared" si="67"/>
        <v>1.4792260918601452E-2</v>
      </c>
      <c r="W113" s="54"/>
      <c r="X113" s="53">
        <f>1000000*Tabelle2[[#This Row],[Bevölkerung]]*EXP(-17.9119+0.2965*LN((Tabelle2[[#This Row],[BIP (mrd.)]]*1000000000)/Tabelle2[[#This Row],[Bevölkerung]]))</f>
        <v>573872.7750967847</v>
      </c>
      <c r="Y113" s="53" t="str">
        <f t="shared" si="71"/>
        <v/>
      </c>
      <c r="Z113" s="65" t="str">
        <f t="shared" si="72"/>
        <v/>
      </c>
      <c r="AA113" s="54"/>
      <c r="AB113" s="54"/>
      <c r="AC113" s="54"/>
      <c r="AD113" s="54"/>
      <c r="AE113" s="54"/>
      <c r="AF113" s="54"/>
      <c r="AG113" s="54"/>
      <c r="AH113" s="54">
        <v>0</v>
      </c>
      <c r="AI113" s="54" t="s">
        <v>988</v>
      </c>
      <c r="AJ113" s="54">
        <v>1236575</v>
      </c>
      <c r="AK113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691580.591404723</v>
      </c>
      <c r="AL113" s="54">
        <f t="shared" si="68"/>
        <v>544994.408595277</v>
      </c>
      <c r="AM113" s="89">
        <f t="shared" si="69"/>
        <v>-0.44072895586218142</v>
      </c>
      <c r="AN113" s="91">
        <f t="shared" si="60"/>
        <v>0.44072895586218142</v>
      </c>
      <c r="AO113" s="54"/>
      <c r="AP113" s="53"/>
      <c r="AQ113" s="53"/>
      <c r="AR113" s="53"/>
      <c r="AS113" s="53"/>
      <c r="AT113" s="54"/>
      <c r="AU113" s="54"/>
      <c r="AV113" s="54"/>
      <c r="AW113" s="54"/>
      <c r="AX113" s="54"/>
      <c r="AY113" s="54"/>
      <c r="AZ113" s="53"/>
      <c r="BA113" s="53"/>
      <c r="BB113" s="54"/>
      <c r="BC113" s="54"/>
      <c r="BD113" s="54"/>
      <c r="BE113" s="54"/>
      <c r="BF113" s="54"/>
      <c r="BG113" s="54"/>
      <c r="BH113" s="54"/>
      <c r="BI113" s="54"/>
      <c r="BJ113" s="54"/>
      <c r="BK113" s="54"/>
      <c r="BL113" s="54"/>
      <c r="BM113" s="54"/>
      <c r="BN113" s="54"/>
      <c r="BO113" s="54"/>
      <c r="BP113" s="54"/>
      <c r="BQ113" s="53"/>
      <c r="BR113" s="53"/>
      <c r="BS113" s="54"/>
      <c r="BT113" s="54"/>
      <c r="BU113" s="68"/>
    </row>
    <row r="114" spans="1:73" x14ac:dyDescent="0.3">
      <c r="B114" s="2" t="s">
        <v>223</v>
      </c>
      <c r="C114" s="3" t="s">
        <v>224</v>
      </c>
      <c r="D114" s="63">
        <v>0.01</v>
      </c>
      <c r="E114" s="63">
        <f>Tabelle2[[#This Row],[BIP (mrd.)]]*1000000000/Tabelle2[[#This Row],[Bevölkerung]]</f>
        <v>258.86616619207871</v>
      </c>
      <c r="F114" s="63">
        <v>1</v>
      </c>
      <c r="G114" s="53">
        <v>75</v>
      </c>
      <c r="H114" s="63">
        <v>38630</v>
      </c>
      <c r="I114" s="88"/>
      <c r="J114" s="88">
        <f>Tabelle2[[#This Row],[Strom (mrd.)]]*1000000000/Tabelle2[[#This Row],[Bevölkerung]]</f>
        <v>0</v>
      </c>
      <c r="K114" s="53"/>
      <c r="L114" s="53">
        <f>Tabelle2[[#This Row],[Wohnimmobilien Anzahl]]/Tabelle2[[#This Row],[Bevölkerung]]</f>
        <v>0</v>
      </c>
      <c r="M114" s="53">
        <f t="shared" si="70"/>
        <v>0</v>
      </c>
      <c r="N114" s="53" t="str">
        <f t="shared" si="63"/>
        <v/>
      </c>
      <c r="O114" s="53"/>
      <c r="P114" s="53"/>
      <c r="Q114" s="53">
        <f>1000000*Tabelle2[[#This Row],[Bevölkerung]]*EXP(-17.8941+0.2965*LN((Tabelle2[[#This Row],[BIP (mrd.)]]*1000000000)/Tabelle2[[#This Row],[Bevölkerung]]))</f>
        <v>3396.9772906888556</v>
      </c>
      <c r="R114" s="53" t="str">
        <f t="shared" si="64"/>
        <v/>
      </c>
      <c r="S114" s="53" t="str">
        <f t="shared" si="65"/>
        <v/>
      </c>
      <c r="T114" s="53">
        <f>1000000*Tabelle2[[#This Row],[Bevölkerung]]*EXP(-14.22+0.2263*LN((Tabelle2[[#This Row],[BIP (mrd.)]]*1000000000)/Tabelle2[[#This Row],[Bevölkerung]]))</f>
        <v>90643.384689380371</v>
      </c>
      <c r="U114" s="53" t="str">
        <f t="shared" si="66"/>
        <v/>
      </c>
      <c r="V114" s="53" t="str">
        <f t="shared" si="67"/>
        <v/>
      </c>
      <c r="W114" s="54"/>
      <c r="X114" s="54"/>
      <c r="Y114" s="54" t="str">
        <f t="shared" si="71"/>
        <v/>
      </c>
      <c r="Z114" s="54" t="str">
        <f t="shared" si="72"/>
        <v/>
      </c>
      <c r="AA114" s="54"/>
      <c r="AB114" s="54"/>
      <c r="AC114" s="54"/>
      <c r="AD114" s="54"/>
      <c r="AE114" s="54"/>
      <c r="AF114" s="54"/>
      <c r="AG114" s="54"/>
      <c r="AH114" s="54"/>
      <c r="AI114" s="54">
        <v>0</v>
      </c>
      <c r="AJ114" s="54"/>
      <c r="AK114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4376.9780959350564</v>
      </c>
      <c r="AL114" s="54" t="str">
        <f t="shared" si="68"/>
        <v/>
      </c>
      <c r="AM114" s="89" t="str">
        <f t="shared" si="69"/>
        <v/>
      </c>
      <c r="AN114" s="91"/>
      <c r="AO114" s="54"/>
      <c r="AP114" s="53"/>
      <c r="AQ114" s="53"/>
      <c r="AR114" s="53"/>
      <c r="AS114" s="53"/>
      <c r="AT114" s="54"/>
      <c r="AU114" s="54"/>
      <c r="AV114" s="54"/>
      <c r="AW114" s="54"/>
      <c r="AX114" s="54"/>
      <c r="AY114" s="54"/>
      <c r="AZ114" s="53"/>
      <c r="BA114" s="53"/>
      <c r="BB114" s="54"/>
      <c r="BC114" s="54"/>
      <c r="BD114" s="54"/>
      <c r="BE114" s="54"/>
      <c r="BF114" s="54"/>
      <c r="BG114" s="54"/>
      <c r="BH114" s="54"/>
      <c r="BI114" s="54"/>
      <c r="BJ114" s="54"/>
      <c r="BK114" s="54"/>
      <c r="BL114" s="54"/>
      <c r="BM114" s="54"/>
      <c r="BN114" s="54"/>
      <c r="BO114" s="54"/>
      <c r="BP114" s="54"/>
      <c r="BQ114" s="53"/>
      <c r="BR114" s="53"/>
      <c r="BS114" s="54"/>
      <c r="BT114" s="54"/>
      <c r="BU114" s="68"/>
    </row>
    <row r="115" spans="1:73" x14ac:dyDescent="0.3">
      <c r="B115" s="4" t="s">
        <v>225</v>
      </c>
      <c r="C115" s="5" t="s">
        <v>226</v>
      </c>
      <c r="D115" s="63">
        <v>2.5804000000000001E-2</v>
      </c>
      <c r="E115" s="63">
        <f>Tabelle2[[#This Row],[BIP (mrd.)]]*1000000000/Tabelle2[[#This Row],[Bevölkerung]]</f>
        <v>7.3207198159322964</v>
      </c>
      <c r="F115" s="63">
        <v>0.68400000000000005</v>
      </c>
      <c r="G115" s="53">
        <v>1564116</v>
      </c>
      <c r="H115" s="63">
        <v>3524790</v>
      </c>
      <c r="I115" s="88"/>
      <c r="J115" s="88">
        <f>Tabelle2[[#This Row],[Strom (mrd.)]]*1000000000/Tabelle2[[#This Row],[Bevölkerung]]</f>
        <v>0</v>
      </c>
      <c r="K115" s="53"/>
      <c r="L115" s="53">
        <f>Tabelle2[[#This Row],[Wohnimmobilien Anzahl]]/Tabelle2[[#This Row],[Bevölkerung]]</f>
        <v>0</v>
      </c>
      <c r="M115" s="53">
        <f t="shared" si="70"/>
        <v>0</v>
      </c>
      <c r="N115" s="53" t="str">
        <f t="shared" si="63"/>
        <v/>
      </c>
      <c r="O115" s="53"/>
      <c r="P115" s="53"/>
      <c r="Q115" s="53">
        <f>1000000*Tabelle2[[#This Row],[Bevölkerung]]*EXP(-17.8941+0.2965*LN((Tabelle2[[#This Row],[BIP (mrd.)]]*1000000000)/Tabelle2[[#This Row],[Bevölkerung]]))</f>
        <v>107687.31692807307</v>
      </c>
      <c r="R115" s="53" t="str">
        <f t="shared" si="64"/>
        <v/>
      </c>
      <c r="S115" s="53" t="str">
        <f t="shared" si="65"/>
        <v/>
      </c>
      <c r="T115" s="53">
        <f>1000000*Tabelle2[[#This Row],[Bevölkerung]]*EXP(-14.22+0.2263*LN((Tabelle2[[#This Row],[BIP (mrd.)]]*1000000000)/Tabelle2[[#This Row],[Bevölkerung]]))</f>
        <v>3690746.6709667104</v>
      </c>
      <c r="U115" s="53" t="str">
        <f t="shared" si="66"/>
        <v/>
      </c>
      <c r="V115" s="53" t="str">
        <f t="shared" si="67"/>
        <v/>
      </c>
      <c r="W115" s="54"/>
      <c r="X115" s="54"/>
      <c r="Y115" s="54" t="str">
        <f t="shared" si="71"/>
        <v/>
      </c>
      <c r="Z115" s="54" t="str">
        <f t="shared" si="72"/>
        <v/>
      </c>
      <c r="AA115" s="54"/>
      <c r="AB115" s="54"/>
      <c r="AC115" s="54"/>
      <c r="AD115" s="54"/>
      <c r="AE115" s="54"/>
      <c r="AF115" s="54"/>
      <c r="AG115" s="54"/>
      <c r="AH115" s="54"/>
      <c r="AI115" s="54">
        <v>0</v>
      </c>
      <c r="AJ115" s="54"/>
      <c r="AK115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151390.86135220117</v>
      </c>
      <c r="AL115" s="54" t="str">
        <f t="shared" si="68"/>
        <v/>
      </c>
      <c r="AM115" s="89" t="str">
        <f t="shared" si="69"/>
        <v/>
      </c>
      <c r="AN115" s="91"/>
      <c r="AO115" s="54"/>
      <c r="AP115" s="53"/>
      <c r="AQ115" s="53"/>
      <c r="AR115" s="53"/>
      <c r="AS115" s="53"/>
      <c r="AT115" s="54"/>
      <c r="AU115" s="54"/>
      <c r="AV115" s="54"/>
      <c r="AW115" s="54"/>
      <c r="AX115" s="54"/>
      <c r="AY115" s="54"/>
      <c r="AZ115" s="53"/>
      <c r="BA115" s="53"/>
      <c r="BB115" s="54"/>
      <c r="BC115" s="54"/>
      <c r="BD115" s="54"/>
      <c r="BE115" s="54"/>
      <c r="BF115" s="54"/>
      <c r="BG115" s="54"/>
      <c r="BH115" s="54"/>
      <c r="BI115" s="54"/>
      <c r="BJ115" s="54"/>
      <c r="BK115" s="54"/>
      <c r="BL115" s="54"/>
      <c r="BM115" s="54"/>
      <c r="BN115" s="54"/>
      <c r="BO115" s="54"/>
      <c r="BP115" s="54"/>
      <c r="BQ115" s="53"/>
      <c r="BR115" s="53"/>
      <c r="BS115" s="54"/>
      <c r="BT115" s="54"/>
      <c r="BU115" s="68"/>
    </row>
    <row r="116" spans="1:73" x14ac:dyDescent="0.3">
      <c r="B116" s="4" t="s">
        <v>227</v>
      </c>
      <c r="C116" s="5" t="s">
        <v>228</v>
      </c>
      <c r="D116" s="63">
        <v>8.5619999999999994</v>
      </c>
      <c r="E116" s="63">
        <f>Tabelle2[[#This Row],[BIP (mrd.)]]*1000000000/Tabelle2[[#This Row],[Bevölkerung]]</f>
        <v>13724.892999695428</v>
      </c>
      <c r="F116" s="63">
        <v>0.66800000000000004</v>
      </c>
      <c r="G116" s="53">
        <v>13888</v>
      </c>
      <c r="H116" s="63">
        <v>623830</v>
      </c>
      <c r="I116" s="88">
        <v>2.7189999999999999</v>
      </c>
      <c r="J116" s="88">
        <f>Tabelle2[[#This Row],[Strom (mrd.)]]*1000000000/Tabelle2[[#This Row],[Bevölkerung]]</f>
        <v>4358.559222865204</v>
      </c>
      <c r="K116" s="53"/>
      <c r="L116" s="53">
        <f>1000000*Tabelle2[[#This Row],[Bevölkerung]]*EXP(-15.4183+0.052*LN((Tabelle2[[#This Row],[BIP (mrd.)]]*1000000000)/Tabelle2[[#This Row],[Bevölkerung]]))</f>
        <v>206126.63435024724</v>
      </c>
      <c r="M116" s="53" t="str">
        <f>IF(AND(ISNUMBER(K116), ISNUMBER(L116)), K116-L116, "")</f>
        <v/>
      </c>
      <c r="N116" s="65" t="str">
        <f t="shared" si="63"/>
        <v/>
      </c>
      <c r="O116" s="53"/>
      <c r="P116" s="53"/>
      <c r="Q116" s="53">
        <f>1000000*Tabelle2[[#This Row],[Bevölkerung]]*EXP(-17.8941+0.2965*LN((Tabelle2[[#This Row],[BIP (mrd.)]]*1000000000)/Tabelle2[[#This Row],[Bevölkerung]]))</f>
        <v>178044.58772702259</v>
      </c>
      <c r="R116" s="53" t="str">
        <f t="shared" si="64"/>
        <v/>
      </c>
      <c r="S116" s="53" t="str">
        <f t="shared" si="65"/>
        <v/>
      </c>
      <c r="T116" s="53">
        <f>1000000*Tabelle2[[#This Row],[Bevölkerung]]*EXP(-14.22+0.2263*LN((Tabelle2[[#This Row],[BIP (mrd.)]]*1000000000)/Tabelle2[[#This Row],[Bevölkerung]]))</f>
        <v>3595149.8980878247</v>
      </c>
      <c r="U116" s="53" t="str">
        <f t="shared" si="66"/>
        <v/>
      </c>
      <c r="V116" s="53" t="str">
        <f t="shared" si="67"/>
        <v/>
      </c>
      <c r="W116" s="54"/>
      <c r="X116" s="53">
        <f>1000000*Tabelle2[[#This Row],[Bevölkerung]]*EXP(-17.9119+0.2965*LN((Tabelle2[[#This Row],[BIP (mrd.)]]*1000000000)/Tabelle2[[#This Row],[Bevölkerung]]))</f>
        <v>174903.43327660082</v>
      </c>
      <c r="Y116" s="53" t="str">
        <f t="shared" si="71"/>
        <v/>
      </c>
      <c r="Z116" s="65" t="str">
        <f t="shared" si="72"/>
        <v/>
      </c>
      <c r="AA116" s="54"/>
      <c r="AB116" s="54"/>
      <c r="AC116" s="54"/>
      <c r="AD116" s="54"/>
      <c r="AE116" s="54"/>
      <c r="AF116" s="54"/>
      <c r="AG116" s="54"/>
      <c r="AH116" s="54">
        <v>0</v>
      </c>
      <c r="AI116" s="54" t="s">
        <v>988</v>
      </c>
      <c r="AJ116" s="54">
        <v>247000</v>
      </c>
      <c r="AK116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208101.03266072378</v>
      </c>
      <c r="AL116" s="54">
        <f t="shared" si="68"/>
        <v>38898.96733927622</v>
      </c>
      <c r="AM116" s="89">
        <f t="shared" si="69"/>
        <v>-0.15748569772986323</v>
      </c>
      <c r="AN116" s="91">
        <f t="shared" si="60"/>
        <v>0.15748569772986323</v>
      </c>
      <c r="AO116" s="54">
        <v>17673000</v>
      </c>
      <c r="AP116" s="53"/>
      <c r="AQ116" s="53"/>
      <c r="AR116" s="53"/>
      <c r="AS116" s="53"/>
      <c r="AT116" s="54"/>
      <c r="AU116" s="54"/>
      <c r="AV116" s="54"/>
      <c r="AW116" s="54"/>
      <c r="AX116" s="54"/>
      <c r="AY116" s="54"/>
      <c r="AZ116" s="53"/>
      <c r="BA116" s="53"/>
      <c r="BB116" s="54"/>
      <c r="BC116" s="54"/>
      <c r="BD116" s="54"/>
      <c r="BE116" s="54"/>
      <c r="BF116" s="54"/>
      <c r="BG116" s="54"/>
      <c r="BH116" s="54"/>
      <c r="BI116" s="54"/>
      <c r="BJ116" s="54"/>
      <c r="BK116" s="54"/>
      <c r="BL116" s="54"/>
      <c r="BM116" s="54"/>
      <c r="BN116" s="54"/>
      <c r="BO116" s="54"/>
      <c r="BP116" s="54"/>
      <c r="BQ116" s="53"/>
      <c r="BR116" s="53"/>
      <c r="BS116" s="54"/>
      <c r="BT116" s="54"/>
      <c r="BU116" s="68"/>
    </row>
    <row r="117" spans="1:73" x14ac:dyDescent="0.3">
      <c r="B117" s="24" t="s">
        <v>229</v>
      </c>
      <c r="C117" s="25" t="s">
        <v>230</v>
      </c>
      <c r="D117" s="63">
        <v>2.3771E-2</v>
      </c>
      <c r="E117" s="63">
        <f>Tabelle2[[#This Row],[BIP (mrd.)]]*1000000000/Tabelle2[[#This Row],[Bevölkerung]]</f>
        <v>0.68639286989951709</v>
      </c>
      <c r="F117" s="63">
        <v>0.36</v>
      </c>
      <c r="G117" s="53">
        <v>799380</v>
      </c>
      <c r="H117" s="63">
        <v>34631770</v>
      </c>
      <c r="I117" s="88"/>
      <c r="J117" s="88">
        <f>Tabelle2[[#This Row],[Strom (mrd.)]]*1000000000/Tabelle2[[#This Row],[Bevölkerung]]</f>
        <v>0</v>
      </c>
      <c r="K117" s="53"/>
      <c r="L117" s="53">
        <f>Tabelle2[[#This Row],[Wohnimmobilien Anzahl]]/Tabelle2[[#This Row],[Bevölkerung]]</f>
        <v>0</v>
      </c>
      <c r="M117" s="53">
        <f t="shared" si="70"/>
        <v>0</v>
      </c>
      <c r="N117" s="53" t="str">
        <f t="shared" si="63"/>
        <v/>
      </c>
      <c r="O117" s="53"/>
      <c r="P117" s="53"/>
      <c r="Q117" s="53">
        <f>1000000*Tabelle2[[#This Row],[Bevölkerung]]*EXP(-17.8941+0.2965*LN((Tabelle2[[#This Row],[BIP (mrd.)]]*1000000000)/Tabelle2[[#This Row],[Bevölkerung]]))</f>
        <v>524456.68350400683</v>
      </c>
      <c r="R117" s="53" t="str">
        <f t="shared" si="64"/>
        <v/>
      </c>
      <c r="S117" s="53" t="str">
        <f t="shared" si="65"/>
        <v/>
      </c>
      <c r="T117" s="53">
        <f>1000000*Tabelle2[[#This Row],[Wohneinheiten Anzahl]]*EXP(-14.22+0.02263*LN((Tabelle2[[#This Row],[BIP (mrd.)]]*1000000000)/Tabelle2[[#This Row],[Bevölkerung]]))</f>
        <v>0</v>
      </c>
      <c r="U117" s="53" t="str">
        <f t="shared" si="66"/>
        <v/>
      </c>
      <c r="V117" s="53" t="str">
        <f t="shared" si="67"/>
        <v/>
      </c>
      <c r="W117" s="54"/>
      <c r="X117" s="54"/>
      <c r="Y117" s="54" t="str">
        <f t="shared" si="71"/>
        <v/>
      </c>
      <c r="Z117" s="54" t="str">
        <f t="shared" si="72"/>
        <v/>
      </c>
      <c r="AA117" s="54"/>
      <c r="AB117" s="54"/>
      <c r="AC117" s="54"/>
      <c r="AD117" s="54"/>
      <c r="AE117" s="54"/>
      <c r="AF117" s="54"/>
      <c r="AG117" s="54"/>
      <c r="AH117" s="54"/>
      <c r="AI117" s="54">
        <v>0</v>
      </c>
      <c r="AJ117" s="54"/>
      <c r="AK117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781318.84677437961</v>
      </c>
      <c r="AL117" s="54" t="str">
        <f t="shared" si="68"/>
        <v/>
      </c>
      <c r="AM117" s="89" t="str">
        <f t="shared" si="69"/>
        <v/>
      </c>
      <c r="AN117" s="91"/>
      <c r="AO117" s="54"/>
      <c r="AP117" s="53"/>
      <c r="AQ117" s="53"/>
      <c r="AR117" s="53"/>
      <c r="AS117" s="53"/>
      <c r="AT117" s="54"/>
      <c r="AU117" s="54"/>
      <c r="AV117" s="54"/>
      <c r="AW117" s="54"/>
      <c r="AX117" s="54"/>
      <c r="AY117" s="54"/>
      <c r="AZ117" s="53"/>
      <c r="BA117" s="53"/>
      <c r="BB117" s="54"/>
      <c r="BC117" s="54"/>
      <c r="BD117" s="54"/>
      <c r="BE117" s="54"/>
      <c r="BF117" s="54"/>
      <c r="BG117" s="54"/>
      <c r="BH117" s="54"/>
      <c r="BI117" s="54"/>
      <c r="BJ117" s="54"/>
      <c r="BK117" s="54"/>
      <c r="BL117" s="54"/>
      <c r="BM117" s="54"/>
      <c r="BN117" s="54"/>
      <c r="BO117" s="54"/>
      <c r="BP117" s="54"/>
      <c r="BQ117" s="53"/>
      <c r="BR117" s="53"/>
      <c r="BS117" s="54"/>
      <c r="BT117" s="54"/>
      <c r="BU117" s="68"/>
    </row>
    <row r="118" spans="1:73" x14ac:dyDescent="0.3">
      <c r="B118" s="2" t="s">
        <v>231</v>
      </c>
      <c r="C118" s="3" t="s">
        <v>232</v>
      </c>
      <c r="D118" s="63">
        <v>6.4944000000000002E-2</v>
      </c>
      <c r="E118" s="63">
        <f>Tabelle2[[#This Row],[BIP (mrd.)]]*1000000000/Tabelle2[[#This Row],[Bevölkerung]]</f>
        <v>1.191631059691828</v>
      </c>
      <c r="F118" s="63">
        <v>0.30599999999999999</v>
      </c>
      <c r="G118" s="53">
        <v>676590</v>
      </c>
      <c r="H118" s="63">
        <v>54500090</v>
      </c>
      <c r="I118" s="88"/>
      <c r="J118" s="88">
        <f>Tabelle2[[#This Row],[Strom (mrd.)]]*1000000000/Tabelle2[[#This Row],[Bevölkerung]]</f>
        <v>0</v>
      </c>
      <c r="K118" s="53"/>
      <c r="L118" s="53">
        <f>Tabelle2[[#This Row],[Wohnimmobilien Anzahl]]/Tabelle2[[#This Row],[Bevölkerung]]</f>
        <v>0</v>
      </c>
      <c r="M118" s="53">
        <f t="shared" si="70"/>
        <v>0</v>
      </c>
      <c r="N118" s="53" t="str">
        <f t="shared" si="63"/>
        <v/>
      </c>
      <c r="O118" s="53"/>
      <c r="P118" s="53"/>
      <c r="Q118" s="53">
        <f>1000000*Tabelle2[[#This Row],[Bevölkerung]]*EXP(-17.8941+0.2965*LN((Tabelle2[[#This Row],[BIP (mrd.)]]*1000000000)/Tabelle2[[#This Row],[Bevölkerung]]))</f>
        <v>971995.77873081306</v>
      </c>
      <c r="R118" s="53" t="str">
        <f t="shared" si="64"/>
        <v/>
      </c>
      <c r="S118" s="53" t="str">
        <f t="shared" si="65"/>
        <v/>
      </c>
      <c r="T118" s="53">
        <f>1000000*Tabelle2[[#This Row],[Bevölkerung]]*EXP(-14.22+0.2263*LN((Tabelle2[[#This Row],[BIP (mrd.)]]*1000000000)/Tabelle2[[#This Row],[Bevölkerung]]))</f>
        <v>37840823.533011831</v>
      </c>
      <c r="U118" s="53" t="str">
        <f t="shared" si="66"/>
        <v/>
      </c>
      <c r="V118" s="53" t="str">
        <f t="shared" si="67"/>
        <v/>
      </c>
      <c r="W118" s="54"/>
      <c r="X118" s="54"/>
      <c r="Y118" s="54" t="str">
        <f t="shared" si="71"/>
        <v/>
      </c>
      <c r="Z118" s="54" t="str">
        <f t="shared" si="72"/>
        <v/>
      </c>
      <c r="AA118" s="54"/>
      <c r="AB118" s="54"/>
      <c r="AC118" s="54"/>
      <c r="AD118" s="54"/>
      <c r="AE118" s="54"/>
      <c r="AF118" s="54"/>
      <c r="AG118" s="54"/>
      <c r="AH118" s="54"/>
      <c r="AI118" s="54">
        <v>0</v>
      </c>
      <c r="AJ118" s="54"/>
      <c r="AK118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1428609.100805216</v>
      </c>
      <c r="AL118" s="54" t="str">
        <f t="shared" si="68"/>
        <v/>
      </c>
      <c r="AM118" s="89" t="str">
        <f t="shared" si="69"/>
        <v/>
      </c>
      <c r="AN118" s="91"/>
      <c r="AO118" s="54"/>
      <c r="AP118" s="53"/>
      <c r="AQ118" s="53"/>
      <c r="AR118" s="53"/>
      <c r="AS118" s="53"/>
      <c r="AT118" s="54"/>
      <c r="AU118" s="54"/>
      <c r="AV118" s="54"/>
      <c r="AW118" s="54"/>
      <c r="AX118" s="54"/>
      <c r="AY118" s="54"/>
      <c r="AZ118" s="53"/>
      <c r="BA118" s="53"/>
      <c r="BB118" s="54"/>
      <c r="BC118" s="54"/>
      <c r="BD118" s="54"/>
      <c r="BE118" s="54"/>
      <c r="BF118" s="54"/>
      <c r="BG118" s="54"/>
      <c r="BH118" s="54"/>
      <c r="BI118" s="54"/>
      <c r="BJ118" s="54"/>
      <c r="BK118" s="54"/>
      <c r="BL118" s="54"/>
      <c r="BM118" s="54"/>
      <c r="BN118" s="54"/>
      <c r="BO118" s="54"/>
      <c r="BP118" s="54"/>
      <c r="BQ118" s="53"/>
      <c r="BR118" s="53"/>
      <c r="BS118" s="54"/>
      <c r="BT118" s="54"/>
      <c r="BU118" s="68"/>
    </row>
    <row r="119" spans="1:73" x14ac:dyDescent="0.3">
      <c r="B119" s="4" t="s">
        <v>233</v>
      </c>
      <c r="C119" s="5" t="s">
        <v>234</v>
      </c>
      <c r="D119" s="63">
        <v>1.4214000000000001E-2</v>
      </c>
      <c r="E119" s="63">
        <f>Tabelle2[[#This Row],[BIP (mrd.)]]*1000000000/Tabelle2[[#This Row],[Bevölkerung]]</f>
        <v>4.6908878496962183</v>
      </c>
      <c r="F119" s="63">
        <v>0.5</v>
      </c>
      <c r="G119" s="53">
        <v>824290</v>
      </c>
      <c r="H119" s="63">
        <v>3030130</v>
      </c>
      <c r="I119" s="88"/>
      <c r="J119" s="88">
        <f>Tabelle2[[#This Row],[Strom (mrd.)]]*1000000000/Tabelle2[[#This Row],[Bevölkerung]]</f>
        <v>0</v>
      </c>
      <c r="K119" s="53"/>
      <c r="L119" s="53">
        <f>Tabelle2[[#This Row],[Wohnimmobilien Anzahl]]/Tabelle2[[#This Row],[Bevölkerung]]</f>
        <v>0</v>
      </c>
      <c r="M119" s="53">
        <f t="shared" si="70"/>
        <v>0</v>
      </c>
      <c r="N119" s="53" t="str">
        <f t="shared" si="63"/>
        <v/>
      </c>
      <c r="O119" s="53"/>
      <c r="P119" s="53"/>
      <c r="Q119" s="53">
        <f>1000000*Tabelle2[[#This Row],[Bevölkerung]]*EXP(-17.8941+0.2965*LN((Tabelle2[[#This Row],[BIP (mrd.)]]*1000000000)/Tabelle2[[#This Row],[Bevölkerung]]))</f>
        <v>81129.629912921344</v>
      </c>
      <c r="R119" s="53" t="str">
        <f t="shared" si="64"/>
        <v/>
      </c>
      <c r="S119" s="53" t="str">
        <f t="shared" si="65"/>
        <v/>
      </c>
      <c r="T119" s="53">
        <f>1000000*Tabelle2[[#This Row],[Bevölkerung]]*EXP(-14.22+0.2263*LN((Tabelle2[[#This Row],[BIP (mrd.)]]*1000000000)/Tabelle2[[#This Row],[Bevölkerung]]))</f>
        <v>2868789.9205186283</v>
      </c>
      <c r="U119" s="53" t="str">
        <f t="shared" si="66"/>
        <v/>
      </c>
      <c r="V119" s="53" t="str">
        <f t="shared" si="67"/>
        <v/>
      </c>
      <c r="W119" s="54"/>
      <c r="X119" s="54"/>
      <c r="Y119" s="54" t="str">
        <f t="shared" si="71"/>
        <v/>
      </c>
      <c r="Z119" s="54" t="str">
        <f t="shared" si="72"/>
        <v/>
      </c>
      <c r="AA119" s="54"/>
      <c r="AB119" s="54"/>
      <c r="AC119" s="54"/>
      <c r="AD119" s="54"/>
      <c r="AE119" s="54"/>
      <c r="AF119" s="54"/>
      <c r="AG119" s="54"/>
      <c r="AH119" s="54"/>
      <c r="AI119" s="54">
        <v>0</v>
      </c>
      <c r="AJ119" s="54"/>
      <c r="AK119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115305.77593919839</v>
      </c>
      <c r="AL119" s="54" t="str">
        <f t="shared" si="68"/>
        <v/>
      </c>
      <c r="AM119" s="89" t="str">
        <f t="shared" si="69"/>
        <v/>
      </c>
      <c r="AN119" s="91"/>
      <c r="AO119" s="54"/>
      <c r="AP119" s="53"/>
      <c r="AQ119" s="53"/>
      <c r="AR119" s="53"/>
      <c r="AS119" s="53"/>
      <c r="AT119" s="54"/>
      <c r="AU119" s="54"/>
      <c r="AV119" s="54"/>
      <c r="AW119" s="54"/>
      <c r="AX119" s="54"/>
      <c r="AY119" s="54"/>
      <c r="AZ119" s="53"/>
      <c r="BA119" s="53"/>
      <c r="BB119" s="54"/>
      <c r="BC119" s="54"/>
      <c r="BD119" s="54"/>
      <c r="BE119" s="54"/>
      <c r="BF119" s="54"/>
      <c r="BG119" s="54"/>
      <c r="BH119" s="54"/>
      <c r="BI119" s="54"/>
      <c r="BJ119" s="54"/>
      <c r="BK119" s="54"/>
      <c r="BL119" s="54"/>
      <c r="BM119" s="54"/>
      <c r="BN119" s="54"/>
      <c r="BO119" s="54"/>
      <c r="BP119" s="54"/>
      <c r="BQ119" s="53"/>
      <c r="BR119" s="53"/>
      <c r="BS119" s="54"/>
      <c r="BT119" s="54"/>
      <c r="BU119" s="68"/>
    </row>
    <row r="120" spans="1:73" x14ac:dyDescent="0.3">
      <c r="B120" s="2" t="s">
        <v>235</v>
      </c>
      <c r="C120" s="3" t="s">
        <v>236</v>
      </c>
      <c r="D120" s="63">
        <v>1.6900000000000004E-7</v>
      </c>
      <c r="E120" s="63">
        <f>Tabelle2[[#This Row],[BIP (mrd.)]]*1000000000/Tabelle2[[#This Row],[Bevölkerung]]</f>
        <v>1.4142259414225946E-2</v>
      </c>
      <c r="F120" s="63">
        <v>1</v>
      </c>
      <c r="G120" s="53">
        <v>20</v>
      </c>
      <c r="H120" s="63">
        <v>11950</v>
      </c>
      <c r="I120" s="88"/>
      <c r="J120" s="88">
        <f>Tabelle2[[#This Row],[Strom (mrd.)]]*1000000000/Tabelle2[[#This Row],[Bevölkerung]]</f>
        <v>0</v>
      </c>
      <c r="K120" s="53"/>
      <c r="L120" s="53">
        <f>Tabelle2[[#This Row],[Wohnimmobilien Anzahl]]/Tabelle2[[#This Row],[Bevölkerung]]</f>
        <v>0</v>
      </c>
      <c r="M120" s="53">
        <f t="shared" si="70"/>
        <v>0</v>
      </c>
      <c r="N120" s="53" t="str">
        <f t="shared" si="63"/>
        <v/>
      </c>
      <c r="O120" s="53"/>
      <c r="P120" s="53"/>
      <c r="Q120" s="53">
        <f>1000000*Tabelle2[[#This Row],[Bevölkerung]]*EXP(-17.8941+0.2965*LN((Tabelle2[[#This Row],[BIP (mrd.)]]*1000000000)/Tabelle2[[#This Row],[Bevölkerung]]))</f>
        <v>57.238446833891331</v>
      </c>
      <c r="R120" s="53" t="str">
        <f t="shared" si="64"/>
        <v/>
      </c>
      <c r="S120" s="53" t="str">
        <f t="shared" si="65"/>
        <v/>
      </c>
      <c r="T120" s="53">
        <f>1000000*Tabelle2[[#This Row],[Bevölkerung]]*EXP(-14.22+0.2263*LN((Tabelle2[[#This Row],[BIP (mrd.)]]*1000000000)/Tabelle2[[#This Row],[Bevölkerung]]))</f>
        <v>3042.0249863644717</v>
      </c>
      <c r="U120" s="53" t="str">
        <f t="shared" si="66"/>
        <v/>
      </c>
      <c r="V120" s="53" t="str">
        <f t="shared" si="67"/>
        <v/>
      </c>
      <c r="W120" s="54"/>
      <c r="X120" s="54"/>
      <c r="Y120" s="54" t="str">
        <f t="shared" si="71"/>
        <v/>
      </c>
      <c r="Z120" s="54" t="str">
        <f t="shared" si="72"/>
        <v/>
      </c>
      <c r="AA120" s="54"/>
      <c r="AB120" s="54"/>
      <c r="AC120" s="54"/>
      <c r="AD120" s="54"/>
      <c r="AE120" s="54"/>
      <c r="AF120" s="54"/>
      <c r="AG120" s="54"/>
      <c r="AH120" s="54"/>
      <c r="AI120" s="54">
        <v>0</v>
      </c>
      <c r="AJ120" s="54"/>
      <c r="AK120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94.6657231508823</v>
      </c>
      <c r="AL120" s="54" t="str">
        <f t="shared" si="68"/>
        <v/>
      </c>
      <c r="AM120" s="89" t="str">
        <f t="shared" si="69"/>
        <v/>
      </c>
      <c r="AN120" s="91"/>
      <c r="AO120" s="54"/>
      <c r="AP120" s="53"/>
      <c r="AQ120" s="53"/>
      <c r="AR120" s="53"/>
      <c r="AS120" s="53"/>
      <c r="AT120" s="54"/>
      <c r="AU120" s="54"/>
      <c r="AV120" s="54"/>
      <c r="AW120" s="54"/>
      <c r="AX120" s="54"/>
      <c r="AY120" s="54"/>
      <c r="AZ120" s="53"/>
      <c r="BA120" s="53"/>
      <c r="BB120" s="54"/>
      <c r="BC120" s="54"/>
      <c r="BD120" s="54"/>
      <c r="BE120" s="54"/>
      <c r="BF120" s="54"/>
      <c r="BG120" s="54"/>
      <c r="BH120" s="54"/>
      <c r="BI120" s="54"/>
      <c r="BJ120" s="54"/>
      <c r="BK120" s="54"/>
      <c r="BL120" s="54"/>
      <c r="BM120" s="54"/>
      <c r="BN120" s="54"/>
      <c r="BO120" s="54"/>
      <c r="BP120" s="54"/>
      <c r="BQ120" s="53"/>
      <c r="BR120" s="53"/>
      <c r="BS120" s="54"/>
      <c r="BT120" s="54"/>
      <c r="BU120" s="68"/>
    </row>
    <row r="121" spans="1:73" x14ac:dyDescent="0.3">
      <c r="B121" s="2" t="s">
        <v>237</v>
      </c>
      <c r="C121" s="3" t="s">
        <v>238</v>
      </c>
      <c r="D121" s="63">
        <v>4.6079999999999996E-2</v>
      </c>
      <c r="E121" s="63">
        <f>Tabelle2[[#This Row],[BIP (mrd.)]]*1000000000/Tabelle2[[#This Row],[Bevölkerung]]</f>
        <v>1.5540764998204109</v>
      </c>
      <c r="F121" s="63">
        <v>0.19700000000000001</v>
      </c>
      <c r="G121" s="53">
        <v>147180</v>
      </c>
      <c r="H121" s="63">
        <v>29651050</v>
      </c>
      <c r="I121" s="88"/>
      <c r="J121" s="88">
        <f>Tabelle2[[#This Row],[Strom (mrd.)]]*1000000000/Tabelle2[[#This Row],[Bevölkerung]]</f>
        <v>0</v>
      </c>
      <c r="K121" s="53"/>
      <c r="L121" s="53">
        <f>Tabelle2[[#This Row],[Wohnimmobilien Anzahl]]/Tabelle2[[#This Row],[Bevölkerung]]</f>
        <v>0</v>
      </c>
      <c r="M121" s="53">
        <f t="shared" si="70"/>
        <v>0</v>
      </c>
      <c r="N121" s="53" t="str">
        <f t="shared" si="63"/>
        <v/>
      </c>
      <c r="O121" s="53"/>
      <c r="P121" s="53"/>
      <c r="Q121" s="53">
        <f>1000000*Tabelle2[[#This Row],[Bevölkerung]]*EXP(-17.8941+0.2965*LN((Tabelle2[[#This Row],[BIP (mrd.)]]*1000000000)/Tabelle2[[#This Row],[Bevölkerung]]))</f>
        <v>572140.58163237199</v>
      </c>
      <c r="R121" s="53" t="str">
        <f t="shared" si="64"/>
        <v/>
      </c>
      <c r="S121" s="53" t="str">
        <f t="shared" si="65"/>
        <v/>
      </c>
      <c r="T121" s="53">
        <f>1000000*Tabelle2[[#This Row],[Bevölkerung]]*EXP(-14.22+0.2263*LN((Tabelle2[[#This Row],[BIP (mrd.)]]*1000000000)/Tabelle2[[#This Row],[Bevölkerung]]))</f>
        <v>21862647.225972284</v>
      </c>
      <c r="U121" s="53" t="str">
        <f t="shared" si="66"/>
        <v/>
      </c>
      <c r="V121" s="53" t="str">
        <f t="shared" si="67"/>
        <v/>
      </c>
      <c r="W121" s="54"/>
      <c r="X121" s="54"/>
      <c r="Y121" s="54" t="str">
        <f t="shared" si="71"/>
        <v/>
      </c>
      <c r="Z121" s="54" t="str">
        <f t="shared" si="72"/>
        <v/>
      </c>
      <c r="AA121" s="54"/>
      <c r="AB121" s="54"/>
      <c r="AC121" s="54"/>
      <c r="AD121" s="54"/>
      <c r="AE121" s="54"/>
      <c r="AF121" s="54"/>
      <c r="AG121" s="54"/>
      <c r="AH121" s="54"/>
      <c r="AI121" s="54">
        <v>0</v>
      </c>
      <c r="AJ121" s="54"/>
      <c r="AK121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835461.31843377778</v>
      </c>
      <c r="AL121" s="54" t="str">
        <f t="shared" si="68"/>
        <v/>
      </c>
      <c r="AM121" s="89" t="str">
        <f t="shared" si="69"/>
        <v/>
      </c>
      <c r="AN121" s="91"/>
      <c r="AO121" s="54"/>
      <c r="AP121" s="53"/>
      <c r="AQ121" s="53"/>
      <c r="AR121" s="53"/>
      <c r="AS121" s="53"/>
      <c r="AT121" s="54"/>
      <c r="AU121" s="54"/>
      <c r="AV121" s="54"/>
      <c r="AW121" s="54"/>
      <c r="AX121" s="54"/>
      <c r="AY121" s="54"/>
      <c r="AZ121" s="53"/>
      <c r="BA121" s="53"/>
      <c r="BB121" s="54"/>
      <c r="BC121" s="54"/>
      <c r="BD121" s="54"/>
      <c r="BE121" s="54"/>
      <c r="BF121" s="54"/>
      <c r="BG121" s="54"/>
      <c r="BH121" s="54"/>
      <c r="BI121" s="54"/>
      <c r="BJ121" s="54"/>
      <c r="BK121" s="54"/>
      <c r="BL121" s="54"/>
      <c r="BM121" s="54"/>
      <c r="BN121" s="54"/>
      <c r="BO121" s="54"/>
      <c r="BP121" s="54"/>
      <c r="BQ121" s="53"/>
      <c r="BR121" s="53"/>
      <c r="BS121" s="54"/>
      <c r="BT121" s="54"/>
      <c r="BU121" s="68"/>
    </row>
    <row r="122" spans="1:73" x14ac:dyDescent="0.3">
      <c r="B122" s="11" t="s">
        <v>239</v>
      </c>
      <c r="C122" s="12" t="s">
        <v>240</v>
      </c>
      <c r="D122" s="63">
        <v>248.666</v>
      </c>
      <c r="E122" s="63">
        <f>Tabelle2[[#This Row],[BIP (mrd.)]]*1000000000/Tabelle2[[#This Row],[Bevölkerung]]</f>
        <v>46579.750866348222</v>
      </c>
      <c r="F122" s="63">
        <v>0.86499999999999999</v>
      </c>
      <c r="G122" s="53">
        <v>267710</v>
      </c>
      <c r="H122" s="63">
        <v>5338500</v>
      </c>
      <c r="I122" s="88">
        <v>40.793999999999997</v>
      </c>
      <c r="J122" s="88">
        <f>Tabelle2[[#This Row],[Strom (mrd.)]]*1000000000/Tabelle2[[#This Row],[Bevölkerung]]</f>
        <v>7641.4723236864284</v>
      </c>
      <c r="K122" s="53"/>
      <c r="L122" s="53">
        <f>1000000*Tabelle2[[#This Row],[Bevölkerung]]*EXP(-15.4183+0.052*LN((Tabelle2[[#This Row],[BIP (mrd.)]]*1000000000)/Tabelle2[[#This Row],[Bevölkerung]]))</f>
        <v>1879675.5360432984</v>
      </c>
      <c r="M122" s="53" t="str">
        <f>IF(AND(ISNUMBER(K122), ISNUMBER(L122)), K122-L122, "")</f>
        <v/>
      </c>
      <c r="N122" s="65" t="str">
        <f t="shared" si="63"/>
        <v/>
      </c>
      <c r="O122" s="53"/>
      <c r="P122" s="53">
        <v>1804101</v>
      </c>
      <c r="Q122" s="53">
        <f>1000000*Tabelle2[[#This Row],[Bevölkerung]]*EXP(-17.8941+0.2965*LN((Tabelle2[[#This Row],[BIP (mrd.)]]*1000000000)/Tabelle2[[#This Row],[Bevölkerung]]))</f>
        <v>2188924.6741973059</v>
      </c>
      <c r="R122" s="53">
        <f t="shared" si="64"/>
        <v>-384823.67419730593</v>
      </c>
      <c r="S122" s="65">
        <f t="shared" si="65"/>
        <v>0.21330495033111002</v>
      </c>
      <c r="T122" s="53">
        <f>1000000*Tabelle2[[#This Row],[Wohneinheiten Anzahl]]*EXP(-14.22+0.02263*LN((Tabelle2[[#This Row],[BIP (mrd.)]]*1000000000)/Tabelle2[[#This Row],[Bevölkerung]]))</f>
        <v>1750326.0433956124</v>
      </c>
      <c r="U122" s="65">
        <f t="shared" si="66"/>
        <v>53774.956604387611</v>
      </c>
      <c r="V122" s="65">
        <f t="shared" si="67"/>
        <v>-2.9807065460518901E-2</v>
      </c>
      <c r="W122" s="54"/>
      <c r="X122" s="53">
        <f>1000000*Tabelle2[[#This Row],[Bevölkerung]]*EXP(-17.9119+0.2965*LN((Tabelle2[[#This Row],[BIP (mrd.)]]*1000000000)/Tabelle2[[#This Row],[Bevölkerung]]))</f>
        <v>2150306.5360681382</v>
      </c>
      <c r="Y122" s="53" t="str">
        <f t="shared" si="71"/>
        <v/>
      </c>
      <c r="Z122" s="65" t="str">
        <f t="shared" si="72"/>
        <v/>
      </c>
      <c r="AA122" s="54"/>
      <c r="AB122" s="54"/>
      <c r="AC122" s="54"/>
      <c r="AD122" s="54"/>
      <c r="AE122" s="54"/>
      <c r="AF122" s="54"/>
      <c r="AG122" s="54"/>
      <c r="AH122" s="54">
        <v>1</v>
      </c>
      <c r="AI122" s="54" t="s">
        <v>989</v>
      </c>
      <c r="AJ122" s="54">
        <v>2056578</v>
      </c>
      <c r="AK122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2482985.9578610612</v>
      </c>
      <c r="AL122" s="54">
        <f t="shared" si="68"/>
        <v>-426407.95786106121</v>
      </c>
      <c r="AM122" s="89">
        <f t="shared" si="69"/>
        <v>0.20733857790030877</v>
      </c>
      <c r="AN122" s="91">
        <f t="shared" si="60"/>
        <v>0.20733857790030877</v>
      </c>
      <c r="AO122" s="54"/>
      <c r="AP122" s="53"/>
      <c r="AQ122" s="53"/>
      <c r="AR122" s="53"/>
      <c r="AS122" s="53"/>
      <c r="AT122" s="54"/>
      <c r="AU122" s="54"/>
      <c r="AV122" s="54"/>
      <c r="AW122" s="54"/>
      <c r="AX122" s="54"/>
      <c r="AY122" s="54"/>
      <c r="AZ122" s="53"/>
      <c r="BA122" s="53"/>
      <c r="BB122" s="54"/>
      <c r="BC122" s="54"/>
      <c r="BD122" s="54"/>
      <c r="BE122" s="54"/>
      <c r="BF122" s="54"/>
      <c r="BG122" s="54"/>
      <c r="BH122" s="54"/>
      <c r="BI122" s="54"/>
      <c r="BJ122" s="54"/>
      <c r="BK122" s="54"/>
      <c r="BL122" s="54"/>
      <c r="BM122" s="54"/>
      <c r="BN122" s="54"/>
      <c r="BO122" s="54"/>
      <c r="BP122" s="54"/>
      <c r="BQ122" s="53"/>
      <c r="BR122" s="53"/>
      <c r="BS122" s="54"/>
      <c r="BT122" s="54"/>
      <c r="BU122" s="68"/>
    </row>
    <row r="123" spans="1:73" x14ac:dyDescent="0.3">
      <c r="B123" s="2" t="s">
        <v>241</v>
      </c>
      <c r="C123" s="3" t="s">
        <v>242</v>
      </c>
      <c r="D123" s="63">
        <v>2.1155E-2</v>
      </c>
      <c r="E123" s="63">
        <f>Tabelle2[[#This Row],[BIP (mrd.)]]*1000000000/Tabelle2[[#This Row],[Bevölkerung]]</f>
        <v>3.0587871269233995</v>
      </c>
      <c r="F123" s="63">
        <v>0.58499999999999996</v>
      </c>
      <c r="G123" s="53">
        <v>130370</v>
      </c>
      <c r="H123" s="63">
        <v>6916140</v>
      </c>
      <c r="I123" s="88"/>
      <c r="J123" s="88">
        <f>Tabelle2[[#This Row],[Strom (mrd.)]]*1000000000/Tabelle2[[#This Row],[Bevölkerung]]</f>
        <v>0</v>
      </c>
      <c r="K123" s="53"/>
      <c r="L123" s="53">
        <f>Tabelle2[[#This Row],[Wohnimmobilien Anzahl]]/Tabelle2[[#This Row],[Bevölkerung]]</f>
        <v>0</v>
      </c>
      <c r="M123" s="53">
        <f t="shared" si="70"/>
        <v>0</v>
      </c>
      <c r="N123" s="53" t="str">
        <f t="shared" si="63"/>
        <v/>
      </c>
      <c r="O123" s="53"/>
      <c r="P123" s="53"/>
      <c r="Q123" s="53">
        <f>1000000*Tabelle2[[#This Row],[Bevölkerung]]*EXP(-17.8941+0.2965*LN((Tabelle2[[#This Row],[BIP (mrd.)]]*1000000000)/Tabelle2[[#This Row],[Bevölkerung]]))</f>
        <v>163124.89345251265</v>
      </c>
      <c r="R123" s="53" t="str">
        <f t="shared" si="64"/>
        <v/>
      </c>
      <c r="S123" s="53" t="str">
        <f t="shared" si="65"/>
        <v/>
      </c>
      <c r="T123" s="53">
        <f>1000000*Tabelle2[[#This Row],[Bevölkerung]]*EXP(-14.22+0.2263*LN((Tabelle2[[#This Row],[BIP (mrd.)]]*1000000000)/Tabelle2[[#This Row],[Bevölkerung]]))</f>
        <v>5943962.2061762437</v>
      </c>
      <c r="U123" s="53" t="str">
        <f t="shared" si="66"/>
        <v/>
      </c>
      <c r="V123" s="53" t="str">
        <f t="shared" si="67"/>
        <v/>
      </c>
      <c r="W123" s="54"/>
      <c r="X123" s="54"/>
      <c r="Y123" s="54" t="str">
        <f t="shared" si="71"/>
        <v/>
      </c>
      <c r="Z123" s="54" t="str">
        <f t="shared" si="72"/>
        <v/>
      </c>
      <c r="AA123" s="54"/>
      <c r="AB123" s="54"/>
      <c r="AC123" s="54"/>
      <c r="AD123" s="54"/>
      <c r="AE123" s="54"/>
      <c r="AF123" s="54"/>
      <c r="AG123" s="54"/>
      <c r="AH123" s="54"/>
      <c r="AI123" s="54">
        <v>0</v>
      </c>
      <c r="AJ123" s="54"/>
      <c r="AK123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234282.62336768533</v>
      </c>
      <c r="AL123" s="54" t="str">
        <f t="shared" si="68"/>
        <v/>
      </c>
      <c r="AM123" s="89" t="str">
        <f t="shared" si="69"/>
        <v/>
      </c>
      <c r="AN123" s="91"/>
      <c r="AO123" s="54"/>
      <c r="AP123" s="53"/>
      <c r="AQ123" s="53"/>
      <c r="AR123" s="53"/>
      <c r="AS123" s="53"/>
      <c r="AT123" s="54"/>
      <c r="AU123" s="54"/>
      <c r="AV123" s="54"/>
      <c r="AW123" s="54"/>
      <c r="AX123" s="54"/>
      <c r="AY123" s="54"/>
      <c r="AZ123" s="53"/>
      <c r="BA123" s="53"/>
      <c r="BB123" s="54"/>
      <c r="BC123" s="54"/>
      <c r="BD123" s="54"/>
      <c r="BE123" s="54"/>
      <c r="BF123" s="54"/>
      <c r="BG123" s="54"/>
      <c r="BH123" s="54"/>
      <c r="BI123" s="54"/>
      <c r="BJ123" s="54"/>
      <c r="BK123" s="54"/>
      <c r="BL123" s="54"/>
      <c r="BM123" s="54"/>
      <c r="BN123" s="54"/>
      <c r="BO123" s="54"/>
      <c r="BP123" s="54"/>
      <c r="BQ123" s="53"/>
      <c r="BR123" s="53"/>
      <c r="BS123" s="54"/>
      <c r="BT123" s="54"/>
      <c r="BU123" s="68"/>
    </row>
    <row r="124" spans="1:73" x14ac:dyDescent="0.3">
      <c r="A124" t="s">
        <v>589</v>
      </c>
      <c r="B124" s="11" t="s">
        <v>243</v>
      </c>
      <c r="C124" s="12" t="s">
        <v>244</v>
      </c>
      <c r="D124" s="63">
        <v>1272.011</v>
      </c>
      <c r="E124" s="63">
        <f>Tabelle2[[#This Row],[BIP (mrd.)]]*1000000000/Tabelle2[[#This Row],[Bevölkerung]]</f>
        <v>70689.898545312273</v>
      </c>
      <c r="F124" s="63">
        <v>0.91500000000000004</v>
      </c>
      <c r="G124" s="53">
        <v>41540</v>
      </c>
      <c r="H124" s="63">
        <v>17994240</v>
      </c>
      <c r="I124" s="88">
        <v>108.14100000000001</v>
      </c>
      <c r="J124" s="88">
        <f>Tabelle2[[#This Row],[Strom (mrd.)]]*1000000000/Tabelle2[[#This Row],[Bevölkerung]]</f>
        <v>6009.7564553990615</v>
      </c>
      <c r="K124" s="53">
        <v>8218573</v>
      </c>
      <c r="L124" s="53">
        <f>1000000*Tabelle2[[#This Row],[Bevölkerung]]*EXP(-15.4183+0.052*LN((Tabelle2[[#This Row],[BIP (mrd.)]]*1000000000)/Tabelle2[[#This Row],[Bevölkerung]]))</f>
        <v>6474667.6544831134</v>
      </c>
      <c r="M124" s="53">
        <f>IF(AND(ISNUMBER(K124), ISNUMBER(L124)), K124-L124, "")</f>
        <v>1743905.3455168866</v>
      </c>
      <c r="N124" s="65">
        <f t="shared" si="63"/>
        <v>-0.21219077150216789</v>
      </c>
      <c r="O124" s="53"/>
      <c r="P124" s="53"/>
      <c r="Q124" s="53">
        <f>1000000*Tabelle2[[#This Row],[Bevölkerung]]*EXP(-17.8941+0.2965*LN((Tabelle2[[#This Row],[BIP (mrd.)]]*1000000000)/Tabelle2[[#This Row],[Bevölkerung]]))</f>
        <v>8349473.2326547382</v>
      </c>
      <c r="R124" s="53" t="str">
        <f t="shared" si="64"/>
        <v/>
      </c>
      <c r="S124" s="53" t="str">
        <f t="shared" si="65"/>
        <v/>
      </c>
      <c r="T124" s="53">
        <f>1000000*Tabelle2[[#This Row],[Bevölkerung]]*EXP(-14.22+0.2263*LN((Tabelle2[[#This Row],[BIP (mrd.)]]*1000000000)/Tabelle2[[#This Row],[Bevölkerung]]))</f>
        <v>150271127.9091607</v>
      </c>
      <c r="U124" s="53" t="str">
        <f t="shared" si="66"/>
        <v/>
      </c>
      <c r="V124" s="53" t="str">
        <f t="shared" si="67"/>
        <v/>
      </c>
      <c r="W124" s="54"/>
      <c r="X124" s="53">
        <f>1000000*Tabelle2[[#This Row],[Bevölkerung]]*EXP(-17.9119+0.2965*LN((Tabelle2[[#This Row],[BIP (mrd.)]]*1000000000)/Tabelle2[[#This Row],[Bevölkerung]]))</f>
        <v>8202167.5193036422</v>
      </c>
      <c r="Y124" s="53" t="str">
        <f t="shared" si="71"/>
        <v/>
      </c>
      <c r="Z124" s="65" t="str">
        <f t="shared" si="72"/>
        <v/>
      </c>
      <c r="AA124" s="54"/>
      <c r="AB124" s="54"/>
      <c r="AC124" s="54"/>
      <c r="AD124" s="54"/>
      <c r="AE124" s="54"/>
      <c r="AF124" s="54"/>
      <c r="AG124" s="54"/>
      <c r="AH124" s="54">
        <v>1</v>
      </c>
      <c r="AI124" s="54" t="s">
        <v>989</v>
      </c>
      <c r="AJ124" s="54">
        <v>8097408</v>
      </c>
      <c r="AK124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9374844.9448289145</v>
      </c>
      <c r="AL124" s="54">
        <f t="shared" si="68"/>
        <v>-1277436.9448289145</v>
      </c>
      <c r="AM124" s="89">
        <f t="shared" si="69"/>
        <v>0.15775874759292288</v>
      </c>
      <c r="AN124" s="91">
        <f t="shared" si="60"/>
        <v>0.15775874759292288</v>
      </c>
      <c r="AO124" s="54"/>
      <c r="AP124" s="53">
        <v>1199595</v>
      </c>
      <c r="AQ124" s="53"/>
      <c r="AR124" s="53"/>
      <c r="AS124" s="53"/>
      <c r="AT124" s="54">
        <v>30000</v>
      </c>
      <c r="AU124" s="54">
        <v>40000000</v>
      </c>
      <c r="AV124" s="54"/>
      <c r="AW124" s="54"/>
      <c r="AX124" s="54"/>
      <c r="AY124" s="54"/>
      <c r="AZ124" s="53"/>
      <c r="BA124" s="53"/>
      <c r="BB124" s="54"/>
      <c r="BC124" s="54"/>
      <c r="BD124" s="54"/>
      <c r="BE124" s="54"/>
      <c r="BF124" s="54"/>
      <c r="BG124" s="54"/>
      <c r="BH124" s="54"/>
      <c r="BI124" s="54"/>
      <c r="BJ124" s="54"/>
      <c r="BK124" s="54"/>
      <c r="BL124" s="54"/>
      <c r="BM124" s="54"/>
      <c r="BN124" s="54"/>
      <c r="BO124" s="54"/>
      <c r="BP124" s="54"/>
      <c r="BQ124" s="53">
        <v>9506280</v>
      </c>
      <c r="BR124" s="53"/>
      <c r="BS124" s="54"/>
      <c r="BT124" s="54"/>
      <c r="BU124" s="68"/>
    </row>
    <row r="125" spans="1:73" x14ac:dyDescent="0.3">
      <c r="B125" s="2" t="s">
        <v>245</v>
      </c>
      <c r="C125" s="3" t="s">
        <v>246</v>
      </c>
      <c r="D125" s="63">
        <v>2.1873999999999998E-2</v>
      </c>
      <c r="E125" s="63">
        <f>Tabelle2[[#This Row],[BIP (mrd.)]]*1000000000/Tabelle2[[#This Row],[Bevölkerung]]</f>
        <v>0.80917683624952408</v>
      </c>
      <c r="F125" s="63">
        <v>0.16400000000000001</v>
      </c>
      <c r="G125" s="53">
        <v>1267000</v>
      </c>
      <c r="H125" s="63">
        <v>27032410</v>
      </c>
      <c r="I125" s="88"/>
      <c r="J125" s="88">
        <f>Tabelle2[[#This Row],[Strom (mrd.)]]*1000000000/Tabelle2[[#This Row],[Bevölkerung]]</f>
        <v>0</v>
      </c>
      <c r="K125" s="53"/>
      <c r="L125" s="53">
        <f>Tabelle2[[#This Row],[Wohnimmobilien Anzahl]]/Tabelle2[[#This Row],[Bevölkerung]]</f>
        <v>0</v>
      </c>
      <c r="M125" s="53">
        <f t="shared" si="70"/>
        <v>0</v>
      </c>
      <c r="N125" s="53" t="str">
        <f t="shared" si="63"/>
        <v/>
      </c>
      <c r="O125" s="53"/>
      <c r="P125" s="53"/>
      <c r="Q125" s="53">
        <f>1000000*Tabelle2[[#This Row],[Bevölkerung]]*EXP(-17.8941+0.2965*LN((Tabelle2[[#This Row],[BIP (mrd.)]]*1000000000)/Tabelle2[[#This Row],[Bevölkerung]]))</f>
        <v>429843.88983433688</v>
      </c>
      <c r="R125" s="53" t="str">
        <f t="shared" si="64"/>
        <v/>
      </c>
      <c r="S125" s="53" t="str">
        <f t="shared" si="65"/>
        <v/>
      </c>
      <c r="T125" s="53">
        <f>1000000*Tabelle2[[#This Row],[Bevölkerung]]*EXP(-14.22+0.2263*LN((Tabelle2[[#This Row],[BIP (mrd.)]]*1000000000)/Tabelle2[[#This Row],[Bevölkerung]]))</f>
        <v>17195209.204898901</v>
      </c>
      <c r="U125" s="53" t="str">
        <f t="shared" si="66"/>
        <v/>
      </c>
      <c r="V125" s="53" t="str">
        <f t="shared" si="67"/>
        <v/>
      </c>
      <c r="W125" s="54"/>
      <c r="X125" s="54"/>
      <c r="Y125" s="54" t="str">
        <f t="shared" si="71"/>
        <v/>
      </c>
      <c r="Z125" s="54" t="str">
        <f t="shared" si="72"/>
        <v/>
      </c>
      <c r="AA125" s="54"/>
      <c r="AB125" s="54"/>
      <c r="AC125" s="54"/>
      <c r="AD125" s="54"/>
      <c r="AE125" s="54"/>
      <c r="AF125" s="54"/>
      <c r="AG125" s="54"/>
      <c r="AH125" s="54"/>
      <c r="AI125" s="54">
        <v>0</v>
      </c>
      <c r="AJ125" s="54"/>
      <c r="AK125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637791.13763063238</v>
      </c>
      <c r="AL125" s="54" t="str">
        <f t="shared" si="68"/>
        <v/>
      </c>
      <c r="AM125" s="89" t="str">
        <f t="shared" si="69"/>
        <v/>
      </c>
      <c r="AN125" s="91"/>
      <c r="AO125" s="54"/>
      <c r="AP125" s="53"/>
      <c r="AQ125" s="53"/>
      <c r="AR125" s="53"/>
      <c r="AS125" s="53"/>
      <c r="AT125" s="54"/>
      <c r="AU125" s="54"/>
      <c r="AV125" s="54"/>
      <c r="AW125" s="54"/>
      <c r="AX125" s="54"/>
      <c r="AY125" s="54"/>
      <c r="AZ125" s="53"/>
      <c r="BA125" s="53"/>
      <c r="BB125" s="54"/>
      <c r="BC125" s="54"/>
      <c r="BD125" s="54"/>
      <c r="BE125" s="54"/>
      <c r="BF125" s="54"/>
      <c r="BG125" s="54"/>
      <c r="BH125" s="54"/>
      <c r="BI125" s="54"/>
      <c r="BJ125" s="54"/>
      <c r="BK125" s="54"/>
      <c r="BL125" s="54"/>
      <c r="BM125" s="54"/>
      <c r="BN125" s="54"/>
      <c r="BO125" s="54"/>
      <c r="BP125" s="54"/>
      <c r="BQ125" s="53"/>
      <c r="BR125" s="53"/>
      <c r="BS125" s="54"/>
      <c r="BT125" s="54"/>
      <c r="BU125" s="68"/>
    </row>
    <row r="126" spans="1:73" x14ac:dyDescent="0.3">
      <c r="B126" s="24" t="s">
        <v>247</v>
      </c>
      <c r="C126" s="25" t="s">
        <v>248</v>
      </c>
      <c r="D126" s="63">
        <v>0.18827099999999999</v>
      </c>
      <c r="E126" s="63">
        <f>Tabelle2[[#This Row],[BIP (mrd.)]]*1000000000/Tabelle2[[#This Row],[Bevölkerung]]</f>
        <v>0.80914311825004936</v>
      </c>
      <c r="F126" s="63">
        <v>0.503</v>
      </c>
      <c r="G126" s="53">
        <v>923770</v>
      </c>
      <c r="H126" s="63">
        <v>232679480</v>
      </c>
      <c r="I126" s="88"/>
      <c r="J126" s="88">
        <f>Tabelle2[[#This Row],[Strom (mrd.)]]*1000000000/Tabelle2[[#This Row],[Bevölkerung]]</f>
        <v>0</v>
      </c>
      <c r="K126" s="53"/>
      <c r="L126" s="53">
        <f>Tabelle2[[#This Row],[Wohnimmobilien Anzahl]]/Tabelle2[[#This Row],[Bevölkerung]]</f>
        <v>0</v>
      </c>
      <c r="M126" s="53">
        <f t="shared" si="70"/>
        <v>0</v>
      </c>
      <c r="N126" s="53" t="str">
        <f t="shared" si="63"/>
        <v/>
      </c>
      <c r="O126" s="53"/>
      <c r="P126" s="53"/>
      <c r="Q126" s="53">
        <f>1000000*Tabelle2[[#This Row],[Bevölkerung]]*EXP(-17.8941+0.2965*LN((Tabelle2[[#This Row],[BIP (mrd.)]]*1000000000)/Tabelle2[[#This Row],[Bevölkerung]]))</f>
        <v>3699803.9410096356</v>
      </c>
      <c r="R126" s="53" t="str">
        <f t="shared" si="64"/>
        <v/>
      </c>
      <c r="S126" s="53" t="str">
        <f t="shared" si="65"/>
        <v/>
      </c>
      <c r="T126" s="53">
        <f>1000000*Tabelle2[[#This Row],[Wohneinheiten Anzahl]]*EXP(-14.22+0.02263*LN((Tabelle2[[#This Row],[BIP (mrd.)]]*1000000000)/Tabelle2[[#This Row],[Bevölkerung]]))</f>
        <v>0</v>
      </c>
      <c r="U126" s="53" t="str">
        <f t="shared" si="66"/>
        <v/>
      </c>
      <c r="V126" s="53" t="str">
        <f t="shared" si="67"/>
        <v/>
      </c>
      <c r="W126" s="54"/>
      <c r="X126" s="54"/>
      <c r="Y126" s="54" t="str">
        <f t="shared" si="71"/>
        <v/>
      </c>
      <c r="Z126" s="54" t="str">
        <f t="shared" si="72"/>
        <v/>
      </c>
      <c r="AA126" s="54"/>
      <c r="AB126" s="54"/>
      <c r="AC126" s="54"/>
      <c r="AD126" s="54"/>
      <c r="AE126" s="54"/>
      <c r="AF126" s="54"/>
      <c r="AG126" s="54"/>
      <c r="AH126" s="54"/>
      <c r="AI126" s="54">
        <v>0</v>
      </c>
      <c r="AJ126" s="54"/>
      <c r="AK126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5489672.3566219825</v>
      </c>
      <c r="AL126" s="54" t="str">
        <f t="shared" si="68"/>
        <v/>
      </c>
      <c r="AM126" s="89" t="str">
        <f t="shared" si="69"/>
        <v/>
      </c>
      <c r="AN126" s="91"/>
      <c r="AO126" s="54"/>
      <c r="AP126" s="53"/>
      <c r="AQ126" s="53"/>
      <c r="AR126" s="53"/>
      <c r="AS126" s="53"/>
      <c r="AT126" s="54"/>
      <c r="AU126" s="54"/>
      <c r="AV126" s="54"/>
      <c r="AW126" s="54"/>
      <c r="AX126" s="54"/>
      <c r="AY126" s="54"/>
      <c r="AZ126" s="53"/>
      <c r="BA126" s="53"/>
      <c r="BB126" s="54"/>
      <c r="BC126" s="54"/>
      <c r="BD126" s="54"/>
      <c r="BE126" s="54"/>
      <c r="BF126" s="54"/>
      <c r="BG126" s="54"/>
      <c r="BH126" s="54"/>
      <c r="BI126" s="54"/>
      <c r="BJ126" s="54"/>
      <c r="BK126" s="54"/>
      <c r="BL126" s="54"/>
      <c r="BM126" s="54"/>
      <c r="BN126" s="54"/>
      <c r="BO126" s="54"/>
      <c r="BP126" s="54"/>
      <c r="BQ126" s="39"/>
      <c r="BR126" s="53"/>
      <c r="BS126" s="54"/>
      <c r="BT126" s="54"/>
      <c r="BU126" s="68"/>
    </row>
    <row r="127" spans="1:73" x14ac:dyDescent="0.3">
      <c r="B127" s="4" t="s">
        <v>249</v>
      </c>
      <c r="C127" s="5" t="s">
        <v>250</v>
      </c>
      <c r="D127" s="63" t="s">
        <v>592</v>
      </c>
      <c r="E127" s="63" t="e">
        <f>Tabelle2[[#This Row],[BIP (mrd.)]]*1000000000/Tabelle2[[#This Row],[Bevölkerung]]</f>
        <v>#VALUE!</v>
      </c>
      <c r="F127" s="63">
        <v>0.44800000000000001</v>
      </c>
      <c r="G127" s="53">
        <v>262</v>
      </c>
      <c r="H127" s="63">
        <v>1780</v>
      </c>
      <c r="I127" s="88"/>
      <c r="J127" s="88">
        <f>Tabelle2[[#This Row],[Strom (mrd.)]]*1000000000/Tabelle2[[#This Row],[Bevölkerung]]</f>
        <v>0</v>
      </c>
      <c r="K127" s="53"/>
      <c r="L127" s="53">
        <f>Tabelle2[[#This Row],[Wohnimmobilien Anzahl]]/Tabelle2[[#This Row],[Bevölkerung]]</f>
        <v>0</v>
      </c>
      <c r="M127" s="53">
        <f t="shared" si="70"/>
        <v>0</v>
      </c>
      <c r="N127" s="53" t="str">
        <f t="shared" si="63"/>
        <v/>
      </c>
      <c r="O127" s="53"/>
      <c r="P127" s="53"/>
      <c r="Q127" s="53" t="e">
        <f>1000000*Tabelle2[[#This Row],[Bevölkerung]]*EXP(-17.8941+0.2965*LN((Tabelle2[[#This Row],[BIP (mrd.)]]*1000000000)/Tabelle2[[#This Row],[Bevölkerung]]))</f>
        <v>#VALUE!</v>
      </c>
      <c r="R127" s="53" t="str">
        <f t="shared" si="64"/>
        <v/>
      </c>
      <c r="S127" s="53" t="str">
        <f t="shared" si="65"/>
        <v/>
      </c>
      <c r="T127" s="53" t="e">
        <f>1000000*Tabelle2[[#This Row],[Bevölkerung]]*EXP(-14.22+0.2263*LN((Tabelle2[[#This Row],[BIP (mrd.)]]*1000000000)/Tabelle2[[#This Row],[Bevölkerung]]))</f>
        <v>#VALUE!</v>
      </c>
      <c r="U127" s="53" t="str">
        <f t="shared" si="66"/>
        <v/>
      </c>
      <c r="V127" s="53" t="str">
        <f t="shared" si="67"/>
        <v/>
      </c>
      <c r="W127" s="54"/>
      <c r="X127" s="54"/>
      <c r="Y127" s="54" t="str">
        <f t="shared" si="71"/>
        <v/>
      </c>
      <c r="Z127" s="54" t="str">
        <f t="shared" si="72"/>
        <v/>
      </c>
      <c r="AA127" s="54"/>
      <c r="AB127" s="54"/>
      <c r="AC127" s="54"/>
      <c r="AD127" s="54"/>
      <c r="AE127" s="54"/>
      <c r="AF127" s="54"/>
      <c r="AG127" s="54"/>
      <c r="AH127" s="54"/>
      <c r="AI127" s="54">
        <v>0</v>
      </c>
      <c r="AJ127" s="54"/>
      <c r="AK127" s="80" t="e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#VALUE!</v>
      </c>
      <c r="AL127" s="54" t="str">
        <f t="shared" si="68"/>
        <v/>
      </c>
      <c r="AM127" s="89" t="str">
        <f t="shared" si="69"/>
        <v/>
      </c>
      <c r="AN127" s="91"/>
      <c r="AO127" s="54"/>
      <c r="AP127" s="53"/>
      <c r="AQ127" s="53"/>
      <c r="AR127" s="53"/>
      <c r="AS127" s="53"/>
      <c r="AT127" s="54"/>
      <c r="AU127" s="54"/>
      <c r="AV127" s="54"/>
      <c r="AW127" s="54"/>
      <c r="AX127" s="54"/>
      <c r="AY127" s="54"/>
      <c r="AZ127" s="53"/>
      <c r="BA127" s="53"/>
      <c r="BB127" s="54"/>
      <c r="BC127" s="54"/>
      <c r="BD127" s="54"/>
      <c r="BE127" s="54"/>
      <c r="BF127" s="54"/>
      <c r="BG127" s="54"/>
      <c r="BH127" s="54"/>
      <c r="BI127" s="54"/>
      <c r="BJ127" s="54"/>
      <c r="BK127" s="54"/>
      <c r="BL127" s="54"/>
      <c r="BM127" s="54"/>
      <c r="BN127" s="54"/>
      <c r="BO127" s="54"/>
      <c r="BP127" s="54"/>
      <c r="BQ127" s="53"/>
      <c r="BR127" s="53"/>
      <c r="BS127" s="54"/>
      <c r="BT127" s="54"/>
      <c r="BU127" s="68"/>
    </row>
    <row r="128" spans="1:73" x14ac:dyDescent="0.3">
      <c r="A128" t="s">
        <v>588</v>
      </c>
      <c r="B128" s="13" t="s">
        <v>251</v>
      </c>
      <c r="C128" s="14" t="s">
        <v>252</v>
      </c>
      <c r="D128" s="63">
        <v>504.27600000000001</v>
      </c>
      <c r="E128" s="63">
        <f>Tabelle2[[#This Row],[BIP (mrd.)]]*1000000000/Tabelle2[[#This Row],[Bevölkerung]]</f>
        <v>90497.409493796964</v>
      </c>
      <c r="F128" s="63">
        <v>0.82199999999999995</v>
      </c>
      <c r="G128" s="53">
        <v>624500</v>
      </c>
      <c r="H128" s="63">
        <v>5572270</v>
      </c>
      <c r="I128" s="88">
        <v>127.33499999999999</v>
      </c>
      <c r="J128" s="88">
        <f>Tabelle2[[#This Row],[Strom (mrd.)]]*1000000000/Tabelle2[[#This Row],[Bevölkerung]]</f>
        <v>22851.548830189491</v>
      </c>
      <c r="K128" s="87">
        <v>1604505</v>
      </c>
      <c r="L128" s="87">
        <f>1000000*Tabelle2[[#This Row],[Bevölkerung]]*EXP(-15.4183+0.052*LN((Tabelle2[[#This Row],[BIP (mrd.)]]*1000000000)/Tabelle2[[#This Row],[Bevölkerung]]))</f>
        <v>2030928.4388396256</v>
      </c>
      <c r="M128" s="87">
        <f t="shared" ref="M128:M130" si="75">IF(AND(ISNUMBER(K128), ISNUMBER(L128)), K128-L128, "")</f>
        <v>-426423.43883962557</v>
      </c>
      <c r="N128" s="92">
        <f t="shared" si="63"/>
        <v>0.2657663508930328</v>
      </c>
      <c r="O128" s="53"/>
      <c r="P128" s="53"/>
      <c r="Q128" s="53">
        <f>1000000*Tabelle2[[#This Row],[Bevölkerung]]*EXP(-17.8941+0.2965*LN((Tabelle2[[#This Row],[BIP (mrd.)]]*1000000000)/Tabelle2[[#This Row],[Bevölkerung]]))</f>
        <v>2782056.0842334512</v>
      </c>
      <c r="R128" s="53" t="str">
        <f t="shared" si="64"/>
        <v/>
      </c>
      <c r="S128" s="53" t="str">
        <f t="shared" si="65"/>
        <v/>
      </c>
      <c r="T128" s="53">
        <f>1000000*Tabelle2[[#This Row],[Bevölkerung]]*EXP(-14.22+0.2263*LN((Tabelle2[[#This Row],[BIP (mrd.)]]*1000000000)/Tabelle2[[#This Row],[Bevölkerung]]))</f>
        <v>49209774.985697068</v>
      </c>
      <c r="U128" s="53" t="str">
        <f t="shared" si="66"/>
        <v/>
      </c>
      <c r="V128" s="53" t="str">
        <f t="shared" si="67"/>
        <v/>
      </c>
      <c r="W128" s="87">
        <v>1191500</v>
      </c>
      <c r="X128" s="87">
        <f>1000000*Tabelle2[[#This Row],[Bevölkerung]]*EXP(-15.6892+0.034*LN((Tabelle2[[#This Row],[BIP (mrd.)]]*1000000000)/Tabelle2[[#This Row],[Bevölkerung]]))</f>
        <v>1261318.5858112017</v>
      </c>
      <c r="Y128" s="87">
        <f t="shared" si="71"/>
        <v>-69818.585811201716</v>
      </c>
      <c r="Z128" s="92">
        <f t="shared" si="72"/>
        <v>5.8597218473522214E-2</v>
      </c>
      <c r="AA128" s="54"/>
      <c r="AB128" s="54">
        <v>178441</v>
      </c>
      <c r="AC128" s="54"/>
      <c r="AD128" s="54">
        <v>183896</v>
      </c>
      <c r="AE128" s="54"/>
      <c r="AF128" s="54">
        <v>45087</v>
      </c>
      <c r="AG128" s="54"/>
      <c r="AH128" s="54">
        <v>1</v>
      </c>
      <c r="AI128" s="54">
        <v>1</v>
      </c>
      <c r="AJ128" s="54">
        <v>2786135</v>
      </c>
      <c r="AK128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3104863.8867899063</v>
      </c>
      <c r="AL128" s="80">
        <f t="shared" si="68"/>
        <v>-318728.8867899063</v>
      </c>
      <c r="AM128" s="89">
        <f t="shared" si="69"/>
        <v>0.11439822075739557</v>
      </c>
      <c r="AN128" s="91">
        <f t="shared" si="60"/>
        <v>0.11439822075739557</v>
      </c>
      <c r="AO128" s="54"/>
      <c r="AP128" s="53">
        <v>2738537</v>
      </c>
      <c r="AQ128" s="53"/>
      <c r="AR128" s="53"/>
      <c r="AS128" s="53"/>
      <c r="AT128" s="54">
        <v>38809</v>
      </c>
      <c r="AU128" s="54"/>
      <c r="AV128" s="54"/>
      <c r="AW128" s="54"/>
      <c r="AX128" s="54">
        <v>118367</v>
      </c>
      <c r="AY128" s="54"/>
      <c r="AZ128" s="53"/>
      <c r="BA128" s="53"/>
      <c r="BB128" s="54"/>
      <c r="BC128" s="54"/>
      <c r="BD128" s="54"/>
      <c r="BE128" s="54"/>
      <c r="BF128" s="54"/>
      <c r="BG128" s="54">
        <v>5618</v>
      </c>
      <c r="BH128" s="54"/>
      <c r="BI128" s="54"/>
      <c r="BJ128" s="54"/>
      <c r="BK128" s="54">
        <v>33510</v>
      </c>
      <c r="BL128" s="54"/>
      <c r="BM128" s="54"/>
      <c r="BN128" s="54"/>
      <c r="BO128" s="54"/>
      <c r="BP128" s="54"/>
      <c r="BQ128" s="53">
        <v>4343042</v>
      </c>
      <c r="BR128" s="53"/>
      <c r="BS128" s="54"/>
      <c r="BT128" s="54"/>
      <c r="BU128" s="68"/>
    </row>
    <row r="129" spans="1:73" x14ac:dyDescent="0.3">
      <c r="A129" t="s">
        <v>588</v>
      </c>
      <c r="B129" s="24" t="s">
        <v>253</v>
      </c>
      <c r="C129" s="25" t="s">
        <v>254</v>
      </c>
      <c r="D129" s="63">
        <v>104.351</v>
      </c>
      <c r="E129" s="63">
        <f>Tabelle2[[#This Row],[BIP (mrd.)]]*1000000000/Tabelle2[[#This Row],[Bevölkerung]]</f>
        <v>19757.684311772704</v>
      </c>
      <c r="F129" s="63">
        <v>0.84499999999999997</v>
      </c>
      <c r="G129" s="53">
        <v>309500</v>
      </c>
      <c r="H129" s="63">
        <v>5281540</v>
      </c>
      <c r="I129" s="88">
        <v>40.738</v>
      </c>
      <c r="J129" s="88">
        <f>Tabelle2[[#This Row],[Strom (mrd.)]]*1000000000/Tabelle2[[#This Row],[Bevölkerung]]</f>
        <v>7713.2805961897475</v>
      </c>
      <c r="K129" s="53">
        <v>700439</v>
      </c>
      <c r="L129" s="53">
        <f>1000000*Tabelle2[[#This Row],[Bevölkerung]]*EXP(-15.4183+0.052*LN((Tabelle2[[#This Row],[BIP (mrd.)]]*1000000000)/Tabelle2[[#This Row],[Bevölkerung]]))</f>
        <v>1778509.6957868251</v>
      </c>
      <c r="M129" s="53">
        <f t="shared" si="75"/>
        <v>-1078070.6957868251</v>
      </c>
      <c r="N129" s="65">
        <f t="shared" si="63"/>
        <v>1.5391357359981741</v>
      </c>
      <c r="O129" s="53"/>
      <c r="P129" s="53">
        <v>1104621</v>
      </c>
      <c r="Q129" s="53">
        <f>1000000*Tabelle2[[#This Row],[Bevölkerung]]*EXP(-17.8941+0.2965*LN((Tabelle2[[#This Row],[BIP (mrd.)]]*1000000000)/Tabelle2[[#This Row],[Bevölkerung]]))</f>
        <v>1679335.3157416484</v>
      </c>
      <c r="R129" s="53">
        <f t="shared" si="64"/>
        <v>-574714.31574164843</v>
      </c>
      <c r="S129" s="65">
        <f t="shared" si="65"/>
        <v>0.52028190278986952</v>
      </c>
      <c r="T129" s="53">
        <f>1000000*Tabelle2[[#This Row],[Wohneinheiten Anzahl]]*EXP(-14.22+0.02263*LN((Tabelle2[[#This Row],[BIP (mrd.)]]*1000000000)/Tabelle2[[#This Row],[Bevölkerung]]))</f>
        <v>1274835.8112332204</v>
      </c>
      <c r="U129" s="65">
        <f t="shared" si="66"/>
        <v>-170214.81123322039</v>
      </c>
      <c r="V129" s="65">
        <f t="shared" si="67"/>
        <v>0.15409340509841873</v>
      </c>
      <c r="W129" s="54"/>
      <c r="X129" s="53">
        <f>1000000*Tabelle2[[#This Row],[Bevölkerung]]*EXP(-17.9119+0.2965*LN((Tabelle2[[#This Row],[BIP (mrd.)]]*1000000000)/Tabelle2[[#This Row],[Bevölkerung]]))</f>
        <v>1649707.6159158046</v>
      </c>
      <c r="Y129" s="53" t="str">
        <f t="shared" si="71"/>
        <v/>
      </c>
      <c r="Z129" s="65" t="str">
        <f t="shared" si="72"/>
        <v/>
      </c>
      <c r="AA129" s="54"/>
      <c r="AB129" s="54"/>
      <c r="AC129" s="54"/>
      <c r="AD129" s="54"/>
      <c r="AE129" s="54"/>
      <c r="AF129" s="54"/>
      <c r="AG129" s="54"/>
      <c r="AH129" s="54">
        <v>0</v>
      </c>
      <c r="AI129" s="54" t="s">
        <v>989</v>
      </c>
      <c r="AJ129" s="54">
        <v>1527247</v>
      </c>
      <c r="AK129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1945387.7024066306</v>
      </c>
      <c r="AL129" s="54">
        <f t="shared" si="68"/>
        <v>-418140.70240663062</v>
      </c>
      <c r="AM129" s="89">
        <f t="shared" si="69"/>
        <v>0.27378721477706658</v>
      </c>
      <c r="AN129" s="91">
        <f t="shared" si="60"/>
        <v>0.27378721477706658</v>
      </c>
      <c r="AO129" s="54"/>
      <c r="AP129" s="53"/>
      <c r="AQ129" s="53"/>
      <c r="AR129" s="53">
        <v>115734</v>
      </c>
      <c r="AS129" s="53"/>
      <c r="AT129" s="54"/>
      <c r="AU129" s="54"/>
      <c r="AV129" s="54"/>
      <c r="AW129" s="54"/>
      <c r="AX129" s="54"/>
      <c r="AY129" s="54"/>
      <c r="AZ129" s="39"/>
      <c r="BA129" s="53"/>
      <c r="BB129" s="54"/>
      <c r="BC129" s="54"/>
      <c r="BD129" s="54"/>
      <c r="BE129" s="54"/>
      <c r="BF129" s="54"/>
      <c r="BG129" s="54"/>
      <c r="BH129" s="54"/>
      <c r="BI129" s="54"/>
      <c r="BJ129" s="54"/>
      <c r="BK129" s="54"/>
      <c r="BL129" s="54"/>
      <c r="BM129" s="54"/>
      <c r="BN129" s="54"/>
      <c r="BO129" s="54"/>
      <c r="BP129" s="54"/>
      <c r="BQ129" s="53">
        <v>870652</v>
      </c>
      <c r="BR129" s="53"/>
      <c r="BS129" s="54"/>
      <c r="BT129" s="54"/>
      <c r="BU129" s="68"/>
    </row>
    <row r="130" spans="1:73" x14ac:dyDescent="0.3">
      <c r="B130" s="4" t="s">
        <v>255</v>
      </c>
      <c r="C130" s="5" t="s">
        <v>256</v>
      </c>
      <c r="D130" s="63">
        <v>534.30100000000004</v>
      </c>
      <c r="E130" s="63">
        <f>Tabelle2[[#This Row],[BIP (mrd.)]]*1000000000/Tabelle2[[#This Row],[Bevölkerung]]</f>
        <v>58215.403362018566</v>
      </c>
      <c r="F130" s="63">
        <v>0.58299999999999996</v>
      </c>
      <c r="G130" s="53">
        <v>83879</v>
      </c>
      <c r="H130" s="63">
        <v>9178000.4800000004</v>
      </c>
      <c r="I130" s="88">
        <v>64.611000000000004</v>
      </c>
      <c r="J130" s="88">
        <f>Tabelle2[[#This Row],[Strom (mrd.)]]*1000000000/Tabelle2[[#This Row],[Bevölkerung]]</f>
        <v>7039.7686446841417</v>
      </c>
      <c r="K130" s="87">
        <v>2374777</v>
      </c>
      <c r="L130" s="87">
        <f>1000000*Tabelle2[[#This Row],[Bevölkerung]]*EXP(-15.4183+0.052*LN((Tabelle2[[#This Row],[BIP (mrd.)]]*1000000000)/Tabelle2[[#This Row],[Bevölkerung]]))</f>
        <v>3269244.7659937381</v>
      </c>
      <c r="M130" s="87">
        <f t="shared" si="75"/>
        <v>-894467.76599373808</v>
      </c>
      <c r="N130" s="92">
        <f t="shared" ref="N130:N161" si="76">IF(OR(K130=0,K130=""),"",(L130 - K130)/K130)</f>
        <v>0.3766533725034974</v>
      </c>
      <c r="O130" s="53">
        <v>517921000</v>
      </c>
      <c r="P130" s="53">
        <v>4015886</v>
      </c>
      <c r="Q130" s="53">
        <f>1000000*Tabelle2[[#This Row],[Bevölkerung]]*EXP(-17.8941+0.2965*LN((Tabelle2[[#This Row],[BIP (mrd.)]]*1000000000)/Tabelle2[[#This Row],[Bevölkerung]]))</f>
        <v>4020433.9163863002</v>
      </c>
      <c r="R130" s="53">
        <f t="shared" ref="R130:R161" si="77">IF(AND(ISNUMBER(P130), ISNUMBER(Q130)), P130-Q130, "")</f>
        <v>-4547.9163863002323</v>
      </c>
      <c r="S130" s="65">
        <f t="shared" ref="S130:S161" si="78">IF(OR(P130=0,P130=""),"",(Q130 - P130)/P130)</f>
        <v>1.1324814465102427E-3</v>
      </c>
      <c r="T130" s="53">
        <f>1000000*Tabelle2[[#This Row],[Wohneinheiten Anzahl]]*EXP(-14.22+0.02263*LN((Tabelle2[[#This Row],[BIP (mrd.)]]*1000000000)/Tabelle2[[#This Row],[Bevölkerung]]))</f>
        <v>4199470.9189705215</v>
      </c>
      <c r="U130" s="65">
        <f t="shared" ref="U130:U161" si="79">IF(AND(ISNUMBER(P130), ISNUMBER(T130)), P130-T130, "")</f>
        <v>-183584.91897052154</v>
      </c>
      <c r="V130" s="65">
        <f t="shared" ref="V130:V161" si="80">IF(OR(P130=0,P130=""),"",(T130 - P130)/P130)</f>
        <v>4.5714673915176265E-2</v>
      </c>
      <c r="W130" s="87">
        <v>1530000</v>
      </c>
      <c r="X130" s="87">
        <f>1000000*Tabelle2[[#This Row],[Bevölkerung]]*EXP(-15.6892+0.034*LN((Tabelle2[[#This Row],[BIP (mrd.)]]*1000000000)/Tabelle2[[#This Row],[Bevölkerung]]))</f>
        <v>2046568.9439993487</v>
      </c>
      <c r="Y130" s="87">
        <f t="shared" si="71"/>
        <v>-516568.94399934867</v>
      </c>
      <c r="Z130" s="92">
        <f t="shared" si="72"/>
        <v>0.33762676078388804</v>
      </c>
      <c r="AA130" s="54"/>
      <c r="AB130" s="54">
        <v>293000</v>
      </c>
      <c r="AC130" s="54"/>
      <c r="AD130" s="54"/>
      <c r="AE130" s="54"/>
      <c r="AF130" s="54">
        <v>274000</v>
      </c>
      <c r="AG130" s="54"/>
      <c r="AH130" s="54">
        <v>1</v>
      </c>
      <c r="AI130" s="54" t="s">
        <v>989</v>
      </c>
      <c r="AJ130" s="54">
        <v>4909410</v>
      </c>
      <c r="AK130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4535694.2210347299</v>
      </c>
      <c r="AL130" s="54">
        <f t="shared" ref="AL130:AL161" si="81">IF(AND(ISNUMBER(AJ130), ISNUMBER(AK130)), AJ130-AK130, "")</f>
        <v>373715.77896527015</v>
      </c>
      <c r="AM130" s="89">
        <f t="shared" ref="AM130:AM161" si="82">IF(OR(AJ130=0,AJ130=""),"",(AK130 - AJ130)/AJ130)</f>
        <v>-7.6122340355617102E-2</v>
      </c>
      <c r="AN130" s="91">
        <f t="shared" si="60"/>
        <v>7.6122340355617102E-2</v>
      </c>
      <c r="AO130" s="54"/>
      <c r="AP130" s="53">
        <v>276781</v>
      </c>
      <c r="AQ130" s="53">
        <v>329227000</v>
      </c>
      <c r="AR130" s="53"/>
      <c r="AS130" s="53"/>
      <c r="AT130" s="54">
        <v>47279</v>
      </c>
      <c r="AU130" s="54"/>
      <c r="AV130" s="54">
        <v>43753</v>
      </c>
      <c r="AW130" s="54"/>
      <c r="AX130" s="54"/>
      <c r="AY130" s="54"/>
      <c r="AZ130" s="53"/>
      <c r="BA130" s="53"/>
      <c r="BB130" s="54"/>
      <c r="BC130" s="54"/>
      <c r="BD130" s="54"/>
      <c r="BE130" s="54"/>
      <c r="BF130" s="54"/>
      <c r="BG130" s="54"/>
      <c r="BH130" s="54"/>
      <c r="BI130" s="54"/>
      <c r="BJ130" s="54"/>
      <c r="BK130" s="54">
        <v>44191</v>
      </c>
      <c r="BL130" s="54"/>
      <c r="BM130" s="54"/>
      <c r="BN130" s="54"/>
      <c r="BO130" s="54"/>
      <c r="BP130" s="54"/>
      <c r="BQ130" s="53"/>
      <c r="BR130" s="53"/>
      <c r="BS130" s="54"/>
      <c r="BT130" s="54"/>
      <c r="BU130" s="68"/>
    </row>
    <row r="131" spans="1:73" x14ac:dyDescent="0.3">
      <c r="B131" s="22" t="s">
        <v>257</v>
      </c>
      <c r="C131" s="23" t="s">
        <v>258</v>
      </c>
      <c r="D131" s="63">
        <v>0.37307799999999991</v>
      </c>
      <c r="E131" s="63">
        <f>Tabelle2[[#This Row],[BIP (mrd.)]]*1000000000/Tabelle2[[#This Row],[Bevölkerung]]</f>
        <v>1.484774335218854</v>
      </c>
      <c r="F131" s="63">
        <v>0.36699999999999999</v>
      </c>
      <c r="G131" s="53">
        <v>796100</v>
      </c>
      <c r="H131" s="63">
        <v>251269160</v>
      </c>
      <c r="I131" s="88"/>
      <c r="J131" s="88">
        <f>Tabelle2[[#This Row],[Strom (mrd.)]]*1000000000/Tabelle2[[#This Row],[Bevölkerung]]</f>
        <v>0</v>
      </c>
      <c r="K131" s="53"/>
      <c r="L131" s="53">
        <f>Tabelle2[[#This Row],[Wohnimmobilien Anzahl]]/Tabelle2[[#This Row],[Bevölkerung]]</f>
        <v>0</v>
      </c>
      <c r="M131" s="53">
        <f t="shared" ref="M131:M161" si="83">L131-K131</f>
        <v>0</v>
      </c>
      <c r="N131" s="53" t="str">
        <f t="shared" si="76"/>
        <v/>
      </c>
      <c r="O131" s="53"/>
      <c r="P131" s="53"/>
      <c r="Q131" s="53">
        <f>1000000*Tabelle2[[#This Row],[Bevölkerung]]*EXP(-17.8941+0.2965*LN((Tabelle2[[#This Row],[BIP (mrd.)]]*1000000000)/Tabelle2[[#This Row],[Bevölkerung]]))</f>
        <v>4783300.0374972569</v>
      </c>
      <c r="R131" s="53" t="str">
        <f t="shared" si="77"/>
        <v/>
      </c>
      <c r="S131" s="53" t="str">
        <f t="shared" si="78"/>
        <v/>
      </c>
      <c r="T131" s="53">
        <f>1000000*Tabelle2[[#This Row],[Wohneinheiten Anzahl]]*EXP(-14.22+0.02263*LN((Tabelle2[[#This Row],[BIP (mrd.)]]*1000000000)/Tabelle2[[#This Row],[Bevölkerung]]))</f>
        <v>0</v>
      </c>
      <c r="U131" s="53" t="str">
        <f t="shared" si="79"/>
        <v/>
      </c>
      <c r="V131" s="53" t="str">
        <f t="shared" si="80"/>
        <v/>
      </c>
      <c r="W131" s="54"/>
      <c r="X131" s="54"/>
      <c r="Y131" s="54" t="str">
        <f t="shared" ref="Y131:Y161" si="84">IF(AND(ISNUMBER(W131), ISNUMBER(X131)), W131-X131, "")</f>
        <v/>
      </c>
      <c r="Z131" s="54" t="str">
        <f t="shared" ref="Z131:Z161" si="85">IF(OR(W131=0,W131=""),"",(X131 - W131)/W131)</f>
        <v/>
      </c>
      <c r="AA131" s="54"/>
      <c r="AB131" s="54"/>
      <c r="AC131" s="54"/>
      <c r="AD131" s="54"/>
      <c r="AE131" s="54"/>
      <c r="AF131" s="54"/>
      <c r="AG131" s="54"/>
      <c r="AH131" s="54"/>
      <c r="AI131" s="54">
        <v>0</v>
      </c>
      <c r="AJ131" s="54"/>
      <c r="AK131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6992560.980407848</v>
      </c>
      <c r="AL131" s="54" t="str">
        <f t="shared" si="81"/>
        <v/>
      </c>
      <c r="AM131" s="89" t="str">
        <f t="shared" si="82"/>
        <v/>
      </c>
      <c r="AN131" s="91"/>
      <c r="AO131" s="54"/>
      <c r="AP131" s="53"/>
      <c r="AQ131" s="53"/>
      <c r="AR131" s="53"/>
      <c r="AS131" s="53"/>
      <c r="AT131" s="54"/>
      <c r="AU131" s="54"/>
      <c r="AV131" s="54"/>
      <c r="AW131" s="54"/>
      <c r="AX131" s="54"/>
      <c r="AY131" s="54"/>
      <c r="AZ131" s="84"/>
      <c r="BA131" s="53"/>
      <c r="BB131" s="54"/>
      <c r="BC131" s="54"/>
      <c r="BD131" s="54"/>
      <c r="BE131" s="54"/>
      <c r="BF131" s="54"/>
      <c r="BG131" s="54"/>
      <c r="BH131" s="54"/>
      <c r="BI131" s="54"/>
      <c r="BJ131" s="54"/>
      <c r="BK131" s="54"/>
      <c r="BL131" s="54"/>
      <c r="BM131" s="54"/>
      <c r="BN131" s="54"/>
      <c r="BO131" s="54"/>
      <c r="BP131" s="54"/>
      <c r="BQ131" s="53"/>
      <c r="BR131" s="53"/>
      <c r="BS131" s="54"/>
      <c r="BT131" s="54"/>
      <c r="BU131" s="68"/>
    </row>
    <row r="132" spans="1:73" x14ac:dyDescent="0.3">
      <c r="B132" s="2" t="s">
        <v>259</v>
      </c>
      <c r="C132" s="3" t="s">
        <v>260</v>
      </c>
      <c r="D132" s="63">
        <v>3.3299999999999998E-7</v>
      </c>
      <c r="E132" s="63">
        <f>Tabelle2[[#This Row],[BIP (mrd.)]]*1000000000/Tabelle2[[#This Row],[Bevölkerung]]</f>
        <v>1.8813559322033897E-2</v>
      </c>
      <c r="F132" s="63">
        <v>0.79900000000000004</v>
      </c>
      <c r="G132" s="53">
        <v>460</v>
      </c>
      <c r="H132" s="63">
        <v>17700</v>
      </c>
      <c r="I132" s="88"/>
      <c r="J132" s="88">
        <f>Tabelle2[[#This Row],[Strom (mrd.)]]*1000000000/Tabelle2[[#This Row],[Bevölkerung]]</f>
        <v>0</v>
      </c>
      <c r="K132" s="53"/>
      <c r="L132" s="53">
        <f>Tabelle2[[#This Row],[Wohnimmobilien Anzahl]]/Tabelle2[[#This Row],[Bevölkerung]]</f>
        <v>0</v>
      </c>
      <c r="M132" s="53">
        <f t="shared" si="83"/>
        <v>0</v>
      </c>
      <c r="N132" s="53" t="str">
        <f t="shared" si="76"/>
        <v/>
      </c>
      <c r="O132" s="53"/>
      <c r="P132" s="53"/>
      <c r="Q132" s="53">
        <f>1000000*Tabelle2[[#This Row],[Bevölkerung]]*EXP(-17.8941+0.2965*LN((Tabelle2[[#This Row],[BIP (mrd.)]]*1000000000)/Tabelle2[[#This Row],[Bevölkerung]]))</f>
        <v>92.266706699002739</v>
      </c>
      <c r="R132" s="53" t="str">
        <f t="shared" si="77"/>
        <v/>
      </c>
      <c r="S132" s="53" t="str">
        <f t="shared" si="78"/>
        <v/>
      </c>
      <c r="T132" s="53">
        <f>1000000*Tabelle2[[#This Row],[Bevölkerung]]*EXP(-14.22+0.2263*LN((Tabelle2[[#This Row],[BIP (mrd.)]]*1000000000)/Tabelle2[[#This Row],[Bevölkerung]]))</f>
        <v>4806.384534512189</v>
      </c>
      <c r="U132" s="53" t="str">
        <f t="shared" si="79"/>
        <v/>
      </c>
      <c r="V132" s="53" t="str">
        <f t="shared" si="80"/>
        <v/>
      </c>
      <c r="W132" s="54"/>
      <c r="X132" s="54"/>
      <c r="Y132" s="54" t="str">
        <f t="shared" si="84"/>
        <v/>
      </c>
      <c r="Z132" s="54" t="str">
        <f t="shared" si="85"/>
        <v/>
      </c>
      <c r="AA132" s="54"/>
      <c r="AB132" s="54"/>
      <c r="AC132" s="54"/>
      <c r="AD132" s="54"/>
      <c r="AE132" s="54"/>
      <c r="AF132" s="54"/>
      <c r="AG132" s="54"/>
      <c r="AH132" s="54"/>
      <c r="AI132" s="54">
        <v>0</v>
      </c>
      <c r="AJ132" s="54"/>
      <c r="AK132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150.97283466711394</v>
      </c>
      <c r="AL132" s="54" t="str">
        <f t="shared" si="81"/>
        <v/>
      </c>
      <c r="AM132" s="89" t="str">
        <f t="shared" si="82"/>
        <v/>
      </c>
      <c r="AN132" s="91"/>
      <c r="AO132" s="54"/>
      <c r="AP132" s="53"/>
      <c r="AQ132" s="53"/>
      <c r="AR132" s="53"/>
      <c r="AS132" s="53"/>
      <c r="AT132" s="54"/>
      <c r="AU132" s="54"/>
      <c r="AV132" s="54"/>
      <c r="AW132" s="54"/>
      <c r="AX132" s="54"/>
      <c r="AY132" s="54"/>
      <c r="AZ132" s="53"/>
      <c r="BA132" s="53"/>
      <c r="BB132" s="54"/>
      <c r="BC132" s="54"/>
      <c r="BD132" s="54"/>
      <c r="BE132" s="54"/>
      <c r="BF132" s="54"/>
      <c r="BG132" s="54"/>
      <c r="BH132" s="54"/>
      <c r="BI132" s="54"/>
      <c r="BJ132" s="54"/>
      <c r="BK132" s="54"/>
      <c r="BL132" s="54"/>
      <c r="BM132" s="54"/>
      <c r="BN132" s="54"/>
      <c r="BO132" s="54"/>
      <c r="BP132" s="54"/>
      <c r="BQ132" s="53"/>
      <c r="BR132" s="53"/>
      <c r="BS132" s="54"/>
      <c r="BT132" s="54"/>
      <c r="BU132" s="68"/>
    </row>
    <row r="133" spans="1:73" x14ac:dyDescent="0.3">
      <c r="B133" s="22" t="s">
        <v>261</v>
      </c>
      <c r="C133" s="23" t="s">
        <v>262</v>
      </c>
      <c r="D133" s="63">
        <v>9.1675000000000006E-2</v>
      </c>
      <c r="E133" s="63">
        <f>Tabelle2[[#This Row],[BIP (mrd.)]]*1000000000/Tabelle2[[#This Row],[Bevölkerung]]</f>
        <v>20.301932420641425</v>
      </c>
      <c r="F133" s="63">
        <v>0.67700000000000005</v>
      </c>
      <c r="G133" s="53">
        <v>75320</v>
      </c>
      <c r="H133" s="63">
        <v>4515580</v>
      </c>
      <c r="I133" s="88"/>
      <c r="J133" s="88">
        <f>Tabelle2[[#This Row],[Strom (mrd.)]]*1000000000/Tabelle2[[#This Row],[Bevölkerung]]</f>
        <v>0</v>
      </c>
      <c r="K133" s="53"/>
      <c r="L133" s="53">
        <f>Tabelle2[[#This Row],[Wohnimmobilien Anzahl]]/Tabelle2[[#This Row],[Bevölkerung]]</f>
        <v>0</v>
      </c>
      <c r="M133" s="53">
        <f t="shared" si="83"/>
        <v>0</v>
      </c>
      <c r="N133" s="53" t="str">
        <f t="shared" si="76"/>
        <v/>
      </c>
      <c r="O133" s="53"/>
      <c r="P133" s="53"/>
      <c r="Q133" s="53">
        <f>1000000*Tabelle2[[#This Row],[Bevölkerung]]*EXP(-17.8941+0.2965*LN((Tabelle2[[#This Row],[BIP (mrd.)]]*1000000000)/Tabelle2[[#This Row],[Bevölkerung]]))</f>
        <v>186676.42908925042</v>
      </c>
      <c r="R133" s="53" t="str">
        <f t="shared" si="77"/>
        <v/>
      </c>
      <c r="S133" s="53" t="str">
        <f t="shared" si="78"/>
        <v/>
      </c>
      <c r="T133" s="53">
        <f>1000000*Tabelle2[[#This Row],[Wohneinheiten Anzahl]]*EXP(-14.22+0.02263*LN((Tabelle2[[#This Row],[BIP (mrd.)]]*1000000000)/Tabelle2[[#This Row],[Bevölkerung]]))</f>
        <v>0</v>
      </c>
      <c r="U133" s="53" t="str">
        <f t="shared" si="79"/>
        <v/>
      </c>
      <c r="V133" s="53" t="str">
        <f t="shared" si="80"/>
        <v/>
      </c>
      <c r="W133" s="54"/>
      <c r="X133" s="54"/>
      <c r="Y133" s="54" t="str">
        <f t="shared" si="84"/>
        <v/>
      </c>
      <c r="Z133" s="54" t="str">
        <f t="shared" si="85"/>
        <v/>
      </c>
      <c r="AA133" s="54"/>
      <c r="AB133" s="54"/>
      <c r="AC133" s="54"/>
      <c r="AD133" s="54"/>
      <c r="AE133" s="54"/>
      <c r="AF133" s="54"/>
      <c r="AG133" s="54"/>
      <c r="AH133" s="54"/>
      <c r="AI133" s="54">
        <v>0</v>
      </c>
      <c r="AJ133" s="54"/>
      <c r="AK133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255959.06078490903</v>
      </c>
      <c r="AL133" s="54" t="str">
        <f t="shared" si="81"/>
        <v/>
      </c>
      <c r="AM133" s="89" t="str">
        <f t="shared" si="82"/>
        <v/>
      </c>
      <c r="AN133" s="91"/>
      <c r="AO133" s="54"/>
      <c r="AP133" s="53"/>
      <c r="AQ133" s="53"/>
      <c r="AR133" s="53"/>
      <c r="AS133" s="53"/>
      <c r="AT133" s="54"/>
      <c r="AU133" s="54"/>
      <c r="AV133" s="54"/>
      <c r="AW133" s="54"/>
      <c r="AX133" s="54"/>
      <c r="AY133" s="54"/>
      <c r="AZ133" s="53"/>
      <c r="BA133" s="53"/>
      <c r="BB133" s="54"/>
      <c r="BC133" s="54"/>
      <c r="BD133" s="54"/>
      <c r="BE133" s="54"/>
      <c r="BF133" s="54"/>
      <c r="BG133" s="54"/>
      <c r="BH133" s="54"/>
      <c r="BI133" s="54"/>
      <c r="BJ133" s="54"/>
      <c r="BK133" s="54"/>
      <c r="BL133" s="54"/>
      <c r="BM133" s="54"/>
      <c r="BN133" s="54"/>
      <c r="BO133" s="54"/>
      <c r="BP133" s="54"/>
      <c r="BQ133" s="53"/>
      <c r="BR133" s="53"/>
      <c r="BS133" s="54"/>
      <c r="BT133" s="54"/>
      <c r="BU133" s="68"/>
    </row>
    <row r="134" spans="1:73" x14ac:dyDescent="0.3">
      <c r="B134" s="2" t="s">
        <v>263</v>
      </c>
      <c r="C134" s="3" t="s">
        <v>264</v>
      </c>
      <c r="D134" s="63">
        <v>3.2835000000000003E-2</v>
      </c>
      <c r="E134" s="63">
        <f>Tabelle2[[#This Row],[BIP (mrd.)]]*1000000000/Tabelle2[[#This Row],[Bevölkerung]]</f>
        <v>3.104524180967239</v>
      </c>
      <c r="F134" s="63">
        <v>0.13200000000000001</v>
      </c>
      <c r="G134" s="53">
        <v>462840</v>
      </c>
      <c r="H134" s="63">
        <v>10576500</v>
      </c>
      <c r="I134" s="88"/>
      <c r="J134" s="88">
        <f>Tabelle2[[#This Row],[Strom (mrd.)]]*1000000000/Tabelle2[[#This Row],[Bevölkerung]]</f>
        <v>0</v>
      </c>
      <c r="K134" s="53"/>
      <c r="L134" s="53">
        <f>Tabelle2[[#This Row],[Wohnimmobilien Anzahl]]/Tabelle2[[#This Row],[Bevölkerung]]</f>
        <v>0</v>
      </c>
      <c r="M134" s="53">
        <f t="shared" si="83"/>
        <v>0</v>
      </c>
      <c r="N134" s="53" t="str">
        <f t="shared" si="76"/>
        <v/>
      </c>
      <c r="O134" s="53"/>
      <c r="P134" s="53"/>
      <c r="Q134" s="53">
        <f>1000000*Tabelle2[[#This Row],[Bevölkerung]]*EXP(-17.8941+0.2965*LN((Tabelle2[[#This Row],[BIP (mrd.)]]*1000000000)/Tabelle2[[#This Row],[Bevölkerung]]))</f>
        <v>250558.774668283</v>
      </c>
      <c r="R134" s="53" t="str">
        <f t="shared" si="77"/>
        <v/>
      </c>
      <c r="S134" s="53" t="str">
        <f t="shared" si="78"/>
        <v/>
      </c>
      <c r="T134" s="53">
        <f>1000000*Tabelle2[[#This Row],[Bevölkerung]]*EXP(-14.22+0.2263*LN((Tabelle2[[#This Row],[BIP (mrd.)]]*1000000000)/Tabelle2[[#This Row],[Bevölkerung]]))</f>
        <v>9120379.7191198766</v>
      </c>
      <c r="U134" s="53" t="str">
        <f t="shared" si="79"/>
        <v/>
      </c>
      <c r="V134" s="53" t="str">
        <f t="shared" si="80"/>
        <v/>
      </c>
      <c r="W134" s="54"/>
      <c r="X134" s="54"/>
      <c r="Y134" s="54" t="str">
        <f t="shared" si="84"/>
        <v/>
      </c>
      <c r="Z134" s="54" t="str">
        <f t="shared" si="85"/>
        <v/>
      </c>
      <c r="AA134" s="54"/>
      <c r="AB134" s="54"/>
      <c r="AC134" s="54"/>
      <c r="AD134" s="54"/>
      <c r="AE134" s="54"/>
      <c r="AF134" s="54"/>
      <c r="AG134" s="54"/>
      <c r="AH134" s="54"/>
      <c r="AI134" s="54">
        <v>0</v>
      </c>
      <c r="AJ134" s="54"/>
      <c r="AK134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359725.24532568199</v>
      </c>
      <c r="AL134" s="54" t="str">
        <f t="shared" si="81"/>
        <v/>
      </c>
      <c r="AM134" s="89" t="str">
        <f t="shared" si="82"/>
        <v/>
      </c>
      <c r="AN134" s="91"/>
      <c r="AO134" s="54"/>
      <c r="AP134" s="53"/>
      <c r="AQ134" s="53"/>
      <c r="AR134" s="53"/>
      <c r="AS134" s="53"/>
      <c r="AT134" s="54"/>
      <c r="AU134" s="54"/>
      <c r="AV134" s="54"/>
      <c r="AW134" s="54"/>
      <c r="AX134" s="54"/>
      <c r="AY134" s="54"/>
      <c r="AZ134" s="53"/>
      <c r="BA134" s="53"/>
      <c r="BB134" s="54"/>
      <c r="BC134" s="54"/>
      <c r="BD134" s="54"/>
      <c r="BE134" s="54"/>
      <c r="BF134" s="54"/>
      <c r="BG134" s="54"/>
      <c r="BH134" s="54"/>
      <c r="BI134" s="54"/>
      <c r="BJ134" s="54"/>
      <c r="BK134" s="54"/>
      <c r="BL134" s="54"/>
      <c r="BM134" s="54"/>
      <c r="BN134" s="54"/>
      <c r="BO134" s="54"/>
      <c r="BP134" s="54"/>
      <c r="BQ134" s="53"/>
      <c r="BR134" s="53"/>
      <c r="BS134" s="54"/>
      <c r="BT134" s="54"/>
      <c r="BU134" s="68"/>
    </row>
    <row r="135" spans="1:73" x14ac:dyDescent="0.3">
      <c r="B135" s="4" t="s">
        <v>265</v>
      </c>
      <c r="C135" s="5" t="s">
        <v>266</v>
      </c>
      <c r="D135" s="63">
        <v>45.465000000000003</v>
      </c>
      <c r="E135" s="63">
        <f>Tabelle2[[#This Row],[BIP (mrd.)]]*1000000000/Tabelle2[[#This Row],[Bevölkerung]]</f>
        <v>6561.4108512588127</v>
      </c>
      <c r="F135" s="63">
        <v>0.61599999999999999</v>
      </c>
      <c r="G135" s="53">
        <v>406752</v>
      </c>
      <c r="H135" s="63">
        <v>6929150</v>
      </c>
      <c r="I135" s="88">
        <v>14.835000000000001</v>
      </c>
      <c r="J135" s="88">
        <f>Tabelle2[[#This Row],[Strom (mrd.)]]*1000000000/Tabelle2[[#This Row],[Bevölkerung]]</f>
        <v>2140.9552398201799</v>
      </c>
      <c r="K135" s="53"/>
      <c r="L135" s="53">
        <f>1000000*Tabelle2[[#This Row],[Bevölkerung]]*EXP(-15.4183+0.052*LN((Tabelle2[[#This Row],[BIP (mrd.)]]*1000000000)/Tabelle2[[#This Row],[Bevölkerung]]))</f>
        <v>2203338.4264776958</v>
      </c>
      <c r="M135" s="53" t="str">
        <f t="shared" ref="M135:M136" si="86">IF(AND(ISNUMBER(K135), ISNUMBER(L135)), K135-L135, "")</f>
        <v/>
      </c>
      <c r="N135" s="65" t="str">
        <f t="shared" si="76"/>
        <v/>
      </c>
      <c r="O135" s="53"/>
      <c r="P135" s="53"/>
      <c r="Q135" s="53">
        <f>1000000*Tabelle2[[#This Row],[Bevölkerung]]*EXP(-17.8941+0.2965*LN((Tabelle2[[#This Row],[BIP (mrd.)]]*1000000000)/Tabelle2[[#This Row],[Bevölkerung]]))</f>
        <v>1588951.9112325811</v>
      </c>
      <c r="R135" s="53" t="str">
        <f t="shared" si="77"/>
        <v/>
      </c>
      <c r="S135" s="53" t="str">
        <f t="shared" si="78"/>
        <v/>
      </c>
      <c r="T135" s="53">
        <f>1000000*Tabelle2[[#This Row],[Bevölkerung]]*EXP(-14.22+0.2263*LN((Tabelle2[[#This Row],[BIP (mrd.)]]*1000000000)/Tabelle2[[#This Row],[Bevölkerung]]))</f>
        <v>33790833.464659564</v>
      </c>
      <c r="U135" s="53" t="str">
        <f t="shared" si="79"/>
        <v/>
      </c>
      <c r="V135" s="53" t="str">
        <f t="shared" si="80"/>
        <v/>
      </c>
      <c r="W135" s="54"/>
      <c r="X135" s="53">
        <f>1000000*Tabelle2[[#This Row],[Bevölkerung]]*EXP(-17.9119+0.2965*LN((Tabelle2[[#This Row],[BIP (mrd.)]]*1000000000)/Tabelle2[[#This Row],[Bevölkerung]]))</f>
        <v>1560918.8020480054</v>
      </c>
      <c r="Y135" s="53" t="str">
        <f t="shared" si="84"/>
        <v/>
      </c>
      <c r="Z135" s="65" t="str">
        <f t="shared" si="85"/>
        <v/>
      </c>
      <c r="AA135" s="54"/>
      <c r="AB135" s="54"/>
      <c r="AC135" s="54"/>
      <c r="AD135" s="54"/>
      <c r="AE135" s="54"/>
      <c r="AF135" s="54"/>
      <c r="AG135" s="54"/>
      <c r="AH135" s="54">
        <v>0</v>
      </c>
      <c r="AI135" s="54" t="s">
        <v>988</v>
      </c>
      <c r="AJ135" s="54">
        <v>1749336</v>
      </c>
      <c r="AK135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1891074.3235605115</v>
      </c>
      <c r="AL135" s="54">
        <f t="shared" si="81"/>
        <v>-141738.32356051146</v>
      </c>
      <c r="AM135" s="89">
        <f t="shared" si="82"/>
        <v>8.102407059622134E-2</v>
      </c>
      <c r="AN135" s="91">
        <f t="shared" si="60"/>
        <v>8.102407059622134E-2</v>
      </c>
      <c r="AO135" s="54"/>
      <c r="AP135" s="53"/>
      <c r="AQ135" s="53"/>
      <c r="AR135" s="53"/>
      <c r="AS135" s="53"/>
      <c r="AT135" s="54"/>
      <c r="AU135" s="54"/>
      <c r="AV135" s="54"/>
      <c r="AW135" s="54"/>
      <c r="AX135" s="54"/>
      <c r="AY135" s="54"/>
      <c r="AZ135" s="53"/>
      <c r="BA135" s="53"/>
      <c r="BB135" s="54"/>
      <c r="BC135" s="54"/>
      <c r="BD135" s="54"/>
      <c r="BE135" s="54"/>
      <c r="BF135" s="54"/>
      <c r="BG135" s="54"/>
      <c r="BH135" s="54"/>
      <c r="BI135" s="54"/>
      <c r="BJ135" s="54"/>
      <c r="BK135" s="54"/>
      <c r="BL135" s="54"/>
      <c r="BM135" s="54"/>
      <c r="BN135" s="54"/>
      <c r="BO135" s="54"/>
      <c r="BP135" s="54"/>
      <c r="BQ135" s="53"/>
      <c r="BR135" s="53"/>
      <c r="BS135" s="54"/>
      <c r="BT135" s="54"/>
      <c r="BU135" s="68"/>
    </row>
    <row r="136" spans="1:73" x14ac:dyDescent="0.3">
      <c r="B136" s="19" t="s">
        <v>267</v>
      </c>
      <c r="C136" s="20" t="s">
        <v>268</v>
      </c>
      <c r="D136" s="63">
        <v>303.29300000000001</v>
      </c>
      <c r="E136" s="63">
        <f>Tabelle2[[#This Row],[BIP (mrd.)]]*1000000000/Tabelle2[[#This Row],[Bevölkerung]]</f>
        <v>8863.5902021897928</v>
      </c>
      <c r="F136" s="63">
        <v>0.77900000000000003</v>
      </c>
      <c r="G136" s="53">
        <v>1285216</v>
      </c>
      <c r="H136" s="63">
        <v>34217850</v>
      </c>
      <c r="I136" s="88">
        <v>53.3</v>
      </c>
      <c r="J136" s="88">
        <f>Tabelle2[[#This Row],[Strom (mrd.)]]*1000000000/Tabelle2[[#This Row],[Bevölkerung]]</f>
        <v>1557.6665395400355</v>
      </c>
      <c r="K136" s="53"/>
      <c r="L136" s="53">
        <f>1000000*Tabelle2[[#This Row],[Bevölkerung]]*EXP(-15.4183+0.052*LN((Tabelle2[[#This Row],[BIP (mrd.)]]*1000000000)/Tabelle2[[#This Row],[Bevölkerung]]))</f>
        <v>11052125.571343048</v>
      </c>
      <c r="M136" s="53" t="str">
        <f t="shared" si="86"/>
        <v/>
      </c>
      <c r="N136" s="65" t="str">
        <f t="shared" si="76"/>
        <v/>
      </c>
      <c r="O136" s="53"/>
      <c r="P136" s="53">
        <v>9218299</v>
      </c>
      <c r="Q136" s="53">
        <f>1000000*Tabelle2[[#This Row],[Bevölkerung]]*EXP(-17.8941+0.2965*LN((Tabelle2[[#This Row],[BIP (mrd.)]]*1000000000)/Tabelle2[[#This Row],[Bevölkerung]]))</f>
        <v>8578475.1258695982</v>
      </c>
      <c r="R136" s="53">
        <f t="shared" si="77"/>
        <v>639823.87413040176</v>
      </c>
      <c r="S136" s="65">
        <f t="shared" si="78"/>
        <v>-6.9408019215953159E-2</v>
      </c>
      <c r="T136" s="53">
        <f>1000000*Tabelle2[[#This Row],[Wohneinheiten Anzahl]]*EXP(-14.22+0.02263*LN((Tabelle2[[#This Row],[BIP (mrd.)]]*1000000000)/Tabelle2[[#This Row],[Bevölkerung]]))</f>
        <v>8281532.9871869516</v>
      </c>
      <c r="U136" s="65">
        <f t="shared" si="79"/>
        <v>936766.01281304844</v>
      </c>
      <c r="V136" s="65">
        <f t="shared" si="80"/>
        <v>-0.10162026777532909</v>
      </c>
      <c r="W136" s="54"/>
      <c r="X136" s="53">
        <f>1000000*Tabelle2[[#This Row],[Bevölkerung]]*EXP(-17.9119+0.2965*LN((Tabelle2[[#This Row],[BIP (mrd.)]]*1000000000)/Tabelle2[[#This Row],[Bevölkerung]]))</f>
        <v>8427129.2430013604</v>
      </c>
      <c r="Y136" s="53" t="str">
        <f t="shared" si="84"/>
        <v/>
      </c>
      <c r="Z136" s="65" t="str">
        <f t="shared" si="85"/>
        <v/>
      </c>
      <c r="AA136" s="54"/>
      <c r="AB136" s="54"/>
      <c r="AC136" s="54"/>
      <c r="AD136" s="54"/>
      <c r="AE136" s="54"/>
      <c r="AF136" s="54"/>
      <c r="AG136" s="54"/>
      <c r="AH136" s="54">
        <v>0</v>
      </c>
      <c r="AI136" s="54" t="s">
        <v>988</v>
      </c>
      <c r="AJ136" s="54">
        <v>10102849</v>
      </c>
      <c r="AK136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10134630.779143877</v>
      </c>
      <c r="AL136" s="54">
        <f t="shared" si="81"/>
        <v>-31781.779143877327</v>
      </c>
      <c r="AM136" s="89">
        <f t="shared" si="82"/>
        <v>3.145823434941701E-3</v>
      </c>
      <c r="AN136" s="94">
        <f t="shared" si="60"/>
        <v>3.145823434941701E-3</v>
      </c>
      <c r="AO136" s="54"/>
      <c r="AP136" s="53"/>
      <c r="AQ136" s="53"/>
      <c r="AR136" s="53"/>
      <c r="AS136" s="53"/>
      <c r="AT136" s="54"/>
      <c r="AU136" s="54"/>
      <c r="AV136" s="54"/>
      <c r="AW136" s="54"/>
      <c r="AX136" s="54"/>
      <c r="AY136" s="54"/>
      <c r="AZ136" s="53"/>
      <c r="BA136" s="53"/>
      <c r="BB136" s="54"/>
      <c r="BC136" s="54"/>
      <c r="BD136" s="54"/>
      <c r="BE136" s="54"/>
      <c r="BF136" s="54"/>
      <c r="BG136" s="54"/>
      <c r="BH136" s="54"/>
      <c r="BI136" s="54"/>
      <c r="BJ136" s="54"/>
      <c r="BK136" s="54"/>
      <c r="BL136" s="54"/>
      <c r="BM136" s="54"/>
      <c r="BN136" s="54"/>
      <c r="BO136" s="54"/>
      <c r="BP136" s="54"/>
      <c r="BQ136" s="53"/>
      <c r="BR136" s="53"/>
      <c r="BS136" s="54"/>
      <c r="BT136" s="54"/>
      <c r="BU136" s="68"/>
    </row>
    <row r="137" spans="1:73" x14ac:dyDescent="0.3">
      <c r="B137" s="17" t="s">
        <v>269</v>
      </c>
      <c r="C137" s="18" t="s">
        <v>270</v>
      </c>
      <c r="D137" s="63">
        <v>0.49749499999999997</v>
      </c>
      <c r="E137" s="63">
        <f>Tabelle2[[#This Row],[BIP (mrd.)]]*1000000000/Tabelle2[[#This Row],[Bevölkerung]]</f>
        <v>4.2945376298938038</v>
      </c>
      <c r="F137" s="63">
        <v>0.46899999999999997</v>
      </c>
      <c r="G137" s="53">
        <v>300000</v>
      </c>
      <c r="H137" s="63">
        <v>115843670</v>
      </c>
      <c r="I137" s="88"/>
      <c r="J137" s="88">
        <f>Tabelle2[[#This Row],[Strom (mrd.)]]*1000000000/Tabelle2[[#This Row],[Bevölkerung]]</f>
        <v>0</v>
      </c>
      <c r="K137" s="53"/>
      <c r="L137" s="53">
        <f>Tabelle2[[#This Row],[Wohnimmobilien Anzahl]]/Tabelle2[[#This Row],[Bevölkerung]]</f>
        <v>0</v>
      </c>
      <c r="M137" s="53">
        <f t="shared" si="83"/>
        <v>0</v>
      </c>
      <c r="N137" s="53" t="str">
        <f t="shared" si="76"/>
        <v/>
      </c>
      <c r="O137" s="53"/>
      <c r="P137" s="53"/>
      <c r="Q137" s="53">
        <f>1000000*Tabelle2[[#This Row],[Bevölkerung]]*EXP(-17.8941+0.2965*LN((Tabelle2[[#This Row],[BIP (mrd.)]]*1000000000)/Tabelle2[[#This Row],[Bevölkerung]]))</f>
        <v>3021503.7352766092</v>
      </c>
      <c r="R137" s="53" t="str">
        <f t="shared" si="77"/>
        <v/>
      </c>
      <c r="S137" s="53" t="str">
        <f t="shared" si="78"/>
        <v/>
      </c>
      <c r="T137" s="53">
        <f>1000000*Tabelle2[[#This Row],[Bevölkerung]]*EXP(-14.22+0.2263*LN((Tabelle2[[#This Row],[BIP (mrd.)]]*1000000000)/Tabelle2[[#This Row],[Bevölkerung]]))</f>
        <v>107506261.40664771</v>
      </c>
      <c r="U137" s="53" t="str">
        <f t="shared" si="79"/>
        <v/>
      </c>
      <c r="V137" s="53" t="str">
        <f t="shared" si="80"/>
        <v/>
      </c>
      <c r="W137" s="54"/>
      <c r="X137" s="54"/>
      <c r="Y137" s="54" t="str">
        <f t="shared" si="84"/>
        <v/>
      </c>
      <c r="Z137" s="54" t="str">
        <f t="shared" si="85"/>
        <v/>
      </c>
      <c r="AA137" s="54"/>
      <c r="AB137" s="54"/>
      <c r="AC137" s="54"/>
      <c r="AD137" s="54"/>
      <c r="AE137" s="54"/>
      <c r="AF137" s="54"/>
      <c r="AG137" s="54"/>
      <c r="AH137" s="54"/>
      <c r="AI137" s="54">
        <v>0</v>
      </c>
      <c r="AJ137" s="54"/>
      <c r="AK137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4303591.4471237278</v>
      </c>
      <c r="AL137" s="54" t="str">
        <f t="shared" si="81"/>
        <v/>
      </c>
      <c r="AM137" s="89" t="str">
        <f t="shared" si="82"/>
        <v/>
      </c>
      <c r="AN137" s="91"/>
      <c r="AO137" s="54"/>
      <c r="AP137" s="53"/>
      <c r="AQ137" s="53"/>
      <c r="AR137" s="53"/>
      <c r="AS137" s="53"/>
      <c r="AT137" s="54"/>
      <c r="AU137" s="54"/>
      <c r="AV137" s="54"/>
      <c r="AW137" s="54"/>
      <c r="AX137" s="54"/>
      <c r="AY137" s="54"/>
      <c r="AZ137" s="53"/>
      <c r="BA137" s="53"/>
      <c r="BB137" s="54"/>
      <c r="BC137" s="54"/>
      <c r="BD137" s="54"/>
      <c r="BE137" s="54"/>
      <c r="BF137" s="54"/>
      <c r="BG137" s="54"/>
      <c r="BH137" s="54"/>
      <c r="BI137" s="54"/>
      <c r="BJ137" s="54"/>
      <c r="BK137" s="54"/>
      <c r="BL137" s="54"/>
      <c r="BM137" s="54"/>
      <c r="BN137" s="54"/>
      <c r="BO137" s="54"/>
      <c r="BP137" s="54"/>
      <c r="BQ137" s="53"/>
      <c r="BR137" s="53"/>
      <c r="BS137" s="54"/>
      <c r="BT137" s="54"/>
      <c r="BU137" s="68"/>
    </row>
    <row r="138" spans="1:73" x14ac:dyDescent="0.3">
      <c r="B138" s="15" t="s">
        <v>271</v>
      </c>
      <c r="C138" s="16" t="s">
        <v>272</v>
      </c>
      <c r="D138" s="63">
        <v>979.96</v>
      </c>
      <c r="E138" s="63">
        <f>Tabelle2[[#This Row],[BIP (mrd.)]]*1000000000/Tabelle2[[#This Row],[Bevölkerung]]</f>
        <v>26808.036501999333</v>
      </c>
      <c r="F138" s="63">
        <v>0.60099999999999998</v>
      </c>
      <c r="G138" s="53">
        <v>313930</v>
      </c>
      <c r="H138" s="63">
        <v>36554710</v>
      </c>
      <c r="I138" s="88">
        <v>159.63900000000001</v>
      </c>
      <c r="J138" s="88">
        <f>Tabelle2[[#This Row],[Strom (mrd.)]]*1000000000/Tabelle2[[#This Row],[Bevölkerung]]</f>
        <v>4367.1253307713287</v>
      </c>
      <c r="K138" s="53"/>
      <c r="L138" s="53">
        <f>1000000*Tabelle2[[#This Row],[Bevölkerung]]*EXP(-15.4183+0.052*LN((Tabelle2[[#This Row],[BIP (mrd.)]]*1000000000)/Tabelle2[[#This Row],[Bevölkerung]]))</f>
        <v>12506348.107041067</v>
      </c>
      <c r="M138" s="53" t="str">
        <f t="shared" ref="M138:M139" si="87">IF(AND(ISNUMBER(K138), ISNUMBER(L138)), K138-L138, "")</f>
        <v/>
      </c>
      <c r="N138" s="65" t="str">
        <f t="shared" si="76"/>
        <v/>
      </c>
      <c r="O138" s="53"/>
      <c r="P138" s="53"/>
      <c r="Q138" s="53">
        <f>1000000*Tabelle2[[#This Row],[Bevölkerung]]*EXP(-17.8941+0.2965*LN((Tabelle2[[#This Row],[BIP (mrd.)]]*1000000000)/Tabelle2[[#This Row],[Bevölkerung]]))</f>
        <v>12723747.105108263</v>
      </c>
      <c r="R138" s="53" t="str">
        <f t="shared" si="77"/>
        <v/>
      </c>
      <c r="S138" s="53" t="str">
        <f t="shared" si="78"/>
        <v/>
      </c>
      <c r="T138" s="53">
        <f>1000000*Tabelle2[[#This Row],[Bevölkerung]]*EXP(-14.22+0.2263*LN((Tabelle2[[#This Row],[BIP (mrd.)]]*1000000000)/Tabelle2[[#This Row],[Bevölkerung]]))</f>
        <v>245127581.91012183</v>
      </c>
      <c r="U138" s="53" t="str">
        <f t="shared" si="79"/>
        <v/>
      </c>
      <c r="V138" s="53" t="str">
        <f t="shared" si="80"/>
        <v/>
      </c>
      <c r="W138" s="54"/>
      <c r="X138" s="53">
        <f>1000000*Tabelle2[[#This Row],[Bevölkerung]]*EXP(-17.9119+0.2965*LN((Tabelle2[[#This Row],[BIP (mrd.)]]*1000000000)/Tabelle2[[#This Row],[Bevölkerung]]))</f>
        <v>12499268.195889581</v>
      </c>
      <c r="Y138" s="53" t="str">
        <f t="shared" si="84"/>
        <v/>
      </c>
      <c r="Z138" s="65" t="str">
        <f t="shared" si="85"/>
        <v/>
      </c>
      <c r="AA138" s="54"/>
      <c r="AB138" s="54"/>
      <c r="AC138" s="54"/>
      <c r="AD138" s="54"/>
      <c r="AE138" s="54"/>
      <c r="AF138" s="54"/>
      <c r="AG138" s="54"/>
      <c r="AH138" s="54">
        <v>1</v>
      </c>
      <c r="AI138" s="54" t="s">
        <v>989</v>
      </c>
      <c r="AJ138" s="54">
        <v>15700000</v>
      </c>
      <c r="AK138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14629746.669602619</v>
      </c>
      <c r="AL138" s="54">
        <f t="shared" si="81"/>
        <v>1070253.3303973805</v>
      </c>
      <c r="AM138" s="89">
        <f t="shared" si="82"/>
        <v>-6.8169001936138882E-2</v>
      </c>
      <c r="AN138" s="91">
        <f t="shared" si="60"/>
        <v>6.8169001936138882E-2</v>
      </c>
      <c r="AO138" s="54">
        <v>11907000000</v>
      </c>
      <c r="AP138" s="53"/>
      <c r="AQ138" s="53"/>
      <c r="AR138" s="53"/>
      <c r="AS138" s="53"/>
      <c r="AT138" s="54"/>
      <c r="AU138" s="54"/>
      <c r="AV138" s="54"/>
      <c r="AW138" s="54"/>
      <c r="AX138" s="54"/>
      <c r="AY138" s="54"/>
      <c r="AZ138" s="53"/>
      <c r="BA138" s="53"/>
      <c r="BB138" s="54"/>
      <c r="BC138" s="54"/>
      <c r="BD138" s="54"/>
      <c r="BE138" s="54"/>
      <c r="BF138" s="54"/>
      <c r="BG138" s="54"/>
      <c r="BH138" s="54"/>
      <c r="BI138" s="54"/>
      <c r="BJ138" s="54"/>
      <c r="BK138" s="54"/>
      <c r="BL138" s="54"/>
      <c r="BM138" s="54"/>
      <c r="BN138" s="54"/>
      <c r="BO138" s="54"/>
      <c r="BP138" s="54"/>
      <c r="BQ138" s="53"/>
      <c r="BR138" s="53"/>
      <c r="BS138" s="54"/>
      <c r="BT138" s="54"/>
      <c r="BU138" s="68"/>
    </row>
    <row r="139" spans="1:73" x14ac:dyDescent="0.3">
      <c r="B139" s="13" t="s">
        <v>273</v>
      </c>
      <c r="C139" s="14" t="s">
        <v>274</v>
      </c>
      <c r="D139" s="63">
        <v>321.44</v>
      </c>
      <c r="E139" s="63">
        <f>Tabelle2[[#This Row],[BIP (mrd.)]]*1000000000/Tabelle2[[#This Row],[Bevölkerung]]</f>
        <v>30036.517767370235</v>
      </c>
      <c r="F139" s="63">
        <v>0.65200000000000002</v>
      </c>
      <c r="G139" s="53">
        <v>92230</v>
      </c>
      <c r="H139" s="63">
        <v>10701640</v>
      </c>
      <c r="I139" s="88">
        <v>50.317</v>
      </c>
      <c r="J139" s="88">
        <f>Tabelle2[[#This Row],[Strom (mrd.)]]*1000000000/Tabelle2[[#This Row],[Bevölkerung]]</f>
        <v>4701.8027143503241</v>
      </c>
      <c r="K139" s="53">
        <v>3573416</v>
      </c>
      <c r="L139" s="53">
        <f>1000000*Tabelle2[[#This Row],[Bevölkerung]]*EXP(-15.4183+0.052*LN((Tabelle2[[#This Row],[BIP (mrd.)]]*1000000000)/Tabelle2[[#This Row],[Bevölkerung]]))</f>
        <v>3683032.1106550833</v>
      </c>
      <c r="M139" s="53">
        <f t="shared" si="87"/>
        <v>-109616.11065508332</v>
      </c>
      <c r="N139" s="65">
        <f t="shared" si="76"/>
        <v>3.0675440714174707E-2</v>
      </c>
      <c r="O139" s="53"/>
      <c r="P139" s="53"/>
      <c r="Q139" s="53">
        <f>1000000*Tabelle2[[#This Row],[Bevölkerung]]*EXP(-17.8941+0.2965*LN((Tabelle2[[#This Row],[BIP (mrd.)]]*1000000000)/Tabelle2[[#This Row],[Bevölkerung]]))</f>
        <v>3852694.2948149377</v>
      </c>
      <c r="R139" s="53" t="str">
        <f t="shared" si="77"/>
        <v/>
      </c>
      <c r="S139" s="53" t="str">
        <f t="shared" si="78"/>
        <v/>
      </c>
      <c r="T139" s="53">
        <f>1000000*Tabelle2[[#This Row],[Bevölkerung]]*EXP(-14.22+0.2263*LN((Tabelle2[[#This Row],[BIP (mrd.)]]*1000000000)/Tabelle2[[#This Row],[Bevölkerung]]))</f>
        <v>73633408.603755802</v>
      </c>
      <c r="U139" s="53" t="str">
        <f t="shared" si="79"/>
        <v/>
      </c>
      <c r="V139" s="53" t="str">
        <f t="shared" si="80"/>
        <v/>
      </c>
      <c r="W139" s="54"/>
      <c r="X139" s="53">
        <f>1000000*Tabelle2[[#This Row],[Bevölkerung]]*EXP(-17.9119+0.2965*LN((Tabelle2[[#This Row],[BIP (mrd.)]]*1000000000)/Tabelle2[[#This Row],[Bevölkerung]]))</f>
        <v>3784723.0748819448</v>
      </c>
      <c r="Y139" s="53" t="str">
        <f t="shared" si="84"/>
        <v/>
      </c>
      <c r="Z139" s="65" t="str">
        <f t="shared" si="85"/>
        <v/>
      </c>
      <c r="AA139" s="54"/>
      <c r="AB139" s="54"/>
      <c r="AC139" s="54"/>
      <c r="AD139" s="54"/>
      <c r="AE139" s="54"/>
      <c r="AF139" s="54"/>
      <c r="AG139" s="54"/>
      <c r="AH139" s="54">
        <v>1</v>
      </c>
      <c r="AI139" s="54" t="s">
        <v>989</v>
      </c>
      <c r="AJ139" s="54">
        <v>5981482</v>
      </c>
      <c r="AK139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4417498.4507386824</v>
      </c>
      <c r="AL139" s="54">
        <f t="shared" si="81"/>
        <v>1563983.5492613176</v>
      </c>
      <c r="AM139" s="89">
        <f t="shared" si="82"/>
        <v>-0.26147091126602362</v>
      </c>
      <c r="AN139" s="91">
        <f t="shared" si="60"/>
        <v>0.26147091126602362</v>
      </c>
      <c r="AO139" s="54"/>
      <c r="AP139" s="53"/>
      <c r="AQ139" s="53"/>
      <c r="AR139" s="53"/>
      <c r="AS139" s="53"/>
      <c r="AT139" s="54"/>
      <c r="AU139" s="54"/>
      <c r="AV139" s="54"/>
      <c r="AW139" s="54"/>
      <c r="AX139" s="54"/>
      <c r="AY139" s="54"/>
      <c r="AZ139" s="53"/>
      <c r="BA139" s="53"/>
      <c r="BB139" s="54"/>
      <c r="BC139" s="54"/>
      <c r="BD139" s="54"/>
      <c r="BE139" s="54"/>
      <c r="BF139" s="54"/>
      <c r="BG139" s="54"/>
      <c r="BH139" s="54"/>
      <c r="BI139" s="54"/>
      <c r="BJ139" s="54"/>
      <c r="BK139" s="54"/>
      <c r="BL139" s="54"/>
      <c r="BM139" s="54"/>
      <c r="BN139" s="54"/>
      <c r="BO139" s="54"/>
      <c r="BP139" s="54"/>
      <c r="BQ139" s="53"/>
      <c r="BR139" s="53"/>
      <c r="BS139" s="54"/>
      <c r="BT139" s="54"/>
      <c r="BU139" s="68"/>
    </row>
    <row r="140" spans="1:73" x14ac:dyDescent="0.3">
      <c r="B140" s="4" t="s">
        <v>275</v>
      </c>
      <c r="C140" s="5" t="s">
        <v>276</v>
      </c>
      <c r="D140" s="63">
        <v>1.4771000000000001E-2</v>
      </c>
      <c r="E140" s="63">
        <f>Tabelle2[[#This Row],[BIP (mrd.)]]*1000000000/Tabelle2[[#This Row],[Bevölkerung]]</f>
        <v>1.0360837143857184</v>
      </c>
      <c r="F140" s="63">
        <v>0.17199999999999999</v>
      </c>
      <c r="G140" s="53">
        <v>26338</v>
      </c>
      <c r="H140" s="63">
        <v>14256570</v>
      </c>
      <c r="I140" s="88"/>
      <c r="J140" s="88">
        <f>Tabelle2[[#This Row],[Strom (mrd.)]]*1000000000/Tabelle2[[#This Row],[Bevölkerung]]</f>
        <v>0</v>
      </c>
      <c r="K140" s="53"/>
      <c r="L140" s="53">
        <f>Tabelle2[[#This Row],[Wohnimmobilien Anzahl]]/Tabelle2[[#This Row],[Bevölkerung]]</f>
        <v>0</v>
      </c>
      <c r="M140" s="53">
        <f t="shared" si="83"/>
        <v>0</v>
      </c>
      <c r="N140" s="53" t="str">
        <f t="shared" si="76"/>
        <v/>
      </c>
      <c r="O140" s="53"/>
      <c r="P140" s="53"/>
      <c r="Q140" s="53">
        <f>1000000*Tabelle2[[#This Row],[Bevölkerung]]*EXP(-17.8941+0.2965*LN((Tabelle2[[#This Row],[BIP (mrd.)]]*1000000000)/Tabelle2[[#This Row],[Bevölkerung]]))</f>
        <v>243933.09967018571</v>
      </c>
      <c r="R140" s="53" t="str">
        <f t="shared" si="77"/>
        <v/>
      </c>
      <c r="S140" s="53" t="str">
        <f t="shared" si="78"/>
        <v/>
      </c>
      <c r="T140" s="53">
        <f>1000000*Tabelle2[[#This Row],[Bevölkerung]]*EXP(-14.22+0.2263*LN((Tabelle2[[#This Row],[BIP (mrd.)]]*1000000000)/Tabelle2[[#This Row],[Bevölkerung]]))</f>
        <v>9590281.8766330797</v>
      </c>
      <c r="U140" s="53" t="str">
        <f t="shared" si="79"/>
        <v/>
      </c>
      <c r="V140" s="53" t="str">
        <f t="shared" si="80"/>
        <v/>
      </c>
      <c r="W140" s="54"/>
      <c r="X140" s="54"/>
      <c r="Y140" s="54" t="str">
        <f t="shared" si="84"/>
        <v/>
      </c>
      <c r="Z140" s="54" t="str">
        <f t="shared" si="85"/>
        <v/>
      </c>
      <c r="AA140" s="54"/>
      <c r="AB140" s="54"/>
      <c r="AC140" s="54"/>
      <c r="AD140" s="54"/>
      <c r="AE140" s="54"/>
      <c r="AF140" s="54"/>
      <c r="AG140" s="54"/>
      <c r="AH140" s="54"/>
      <c r="AI140" s="54">
        <v>0</v>
      </c>
      <c r="AJ140" s="54"/>
      <c r="AK140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359756.58127711894</v>
      </c>
      <c r="AL140" s="54" t="str">
        <f t="shared" si="81"/>
        <v/>
      </c>
      <c r="AM140" s="89" t="str">
        <f t="shared" si="82"/>
        <v/>
      </c>
      <c r="AN140" s="91"/>
      <c r="AO140" s="54"/>
      <c r="AP140" s="53"/>
      <c r="AQ140" s="53"/>
      <c r="AR140" s="53"/>
      <c r="AS140" s="53"/>
      <c r="AT140" s="54"/>
      <c r="AU140" s="54"/>
      <c r="AV140" s="54"/>
      <c r="AW140" s="54"/>
      <c r="AX140" s="54"/>
      <c r="AY140" s="54"/>
      <c r="AZ140" s="53"/>
      <c r="BA140" s="53"/>
      <c r="BB140" s="54"/>
      <c r="BC140" s="54"/>
      <c r="BD140" s="54"/>
      <c r="BE140" s="54"/>
      <c r="BF140" s="54"/>
      <c r="BG140" s="54"/>
      <c r="BH140" s="54"/>
      <c r="BI140" s="54"/>
      <c r="BJ140" s="54"/>
      <c r="BK140" s="54"/>
      <c r="BL140" s="54"/>
      <c r="BM140" s="54"/>
      <c r="BN140" s="54"/>
      <c r="BO140" s="54"/>
      <c r="BP140" s="54"/>
      <c r="BQ140" s="53"/>
      <c r="BR140" s="53"/>
      <c r="BS140" s="54"/>
      <c r="BT140" s="54"/>
      <c r="BU140" s="68"/>
    </row>
    <row r="141" spans="1:73" x14ac:dyDescent="0.3">
      <c r="B141" s="13" t="s">
        <v>277</v>
      </c>
      <c r="C141" s="14" t="s">
        <v>278</v>
      </c>
      <c r="D141" s="63">
        <v>403.39500000000004</v>
      </c>
      <c r="E141" s="63">
        <f>Tabelle2[[#This Row],[BIP (mrd.)]]*1000000000/Tabelle2[[#This Row],[Bevölkerung]]</f>
        <v>21154.114405637534</v>
      </c>
      <c r="F141" s="63">
        <v>0.54</v>
      </c>
      <c r="G141" s="53">
        <v>238400</v>
      </c>
      <c r="H141" s="63">
        <v>19069340</v>
      </c>
      <c r="I141" s="88">
        <v>48.73</v>
      </c>
      <c r="J141" s="88">
        <f>Tabelle2[[#This Row],[Strom (mrd.)]]*1000000000/Tabelle2[[#This Row],[Bevölkerung]]</f>
        <v>2555.4109371378349</v>
      </c>
      <c r="K141" s="53">
        <v>4790000</v>
      </c>
      <c r="L141" s="53">
        <f>1000000*Tabelle2[[#This Row],[Bevölkerung]]*EXP(-15.4183+0.052*LN((Tabelle2[[#This Row],[BIP (mrd.)]]*1000000000)/Tabelle2[[#This Row],[Bevölkerung]]))</f>
        <v>6444267.8616019068</v>
      </c>
      <c r="M141" s="53">
        <f>IF(AND(ISNUMBER(K141), ISNUMBER(L141)), K141-L141, "")</f>
        <v>-1654267.8616019068</v>
      </c>
      <c r="N141" s="65">
        <f t="shared" si="76"/>
        <v>0.34535863498995967</v>
      </c>
      <c r="O141" s="53"/>
      <c r="P141" s="53">
        <v>7396059</v>
      </c>
      <c r="Q141" s="53">
        <f>1000000*Tabelle2[[#This Row],[Bevölkerung]]*EXP(-17.8941+0.2965*LN((Tabelle2[[#This Row],[BIP (mrd.)]]*1000000000)/Tabelle2[[#This Row],[Bevölkerung]]))</f>
        <v>6187373.6886040615</v>
      </c>
      <c r="R141" s="53">
        <f t="shared" si="77"/>
        <v>1208685.3113959385</v>
      </c>
      <c r="S141" s="65">
        <f t="shared" si="78"/>
        <v>-0.16342288662055543</v>
      </c>
      <c r="T141" s="53">
        <f>1000000*Tabelle2[[#This Row],[Wohneinheiten Anzahl]]*EXP(-14.22+0.02263*LN((Tabelle2[[#This Row],[BIP (mrd.)]]*1000000000)/Tabelle2[[#This Row],[Bevölkerung]]))</f>
        <v>8283737.8319090465</v>
      </c>
      <c r="U141" s="65">
        <f t="shared" si="79"/>
        <v>-887678.83190904651</v>
      </c>
      <c r="V141" s="65">
        <f t="shared" si="80"/>
        <v>0.12002051794192643</v>
      </c>
      <c r="W141" s="54"/>
      <c r="X141" s="53">
        <f>1000000*Tabelle2[[#This Row],[Bevölkerung]]*EXP(-17.9119+0.2965*LN((Tabelle2[[#This Row],[BIP (mrd.)]]*1000000000)/Tabelle2[[#This Row],[Bevölkerung]]))</f>
        <v>6078212.8505999343</v>
      </c>
      <c r="Y141" s="53" t="str">
        <f t="shared" si="84"/>
        <v/>
      </c>
      <c r="Z141" s="65" t="str">
        <f t="shared" si="85"/>
        <v/>
      </c>
      <c r="AA141" s="54"/>
      <c r="AB141" s="54"/>
      <c r="AC141" s="54"/>
      <c r="AD141" s="54"/>
      <c r="AE141" s="54"/>
      <c r="AF141" s="54"/>
      <c r="AG141" s="54"/>
      <c r="AH141" s="54">
        <v>0</v>
      </c>
      <c r="AI141" s="54" t="s">
        <v>989</v>
      </c>
      <c r="AJ141" s="54">
        <v>9908552</v>
      </c>
      <c r="AK141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7155639.3291434878</v>
      </c>
      <c r="AL141" s="54">
        <f t="shared" si="81"/>
        <v>2752912.6708565122</v>
      </c>
      <c r="AM141" s="89">
        <f t="shared" si="82"/>
        <v>-0.27783198502228301</v>
      </c>
      <c r="AN141" s="91">
        <f t="shared" si="60"/>
        <v>0.27783198502228301</v>
      </c>
      <c r="AO141" s="54"/>
      <c r="AP141" s="53"/>
      <c r="AQ141" s="53"/>
      <c r="AR141" s="53"/>
      <c r="AS141" s="53"/>
      <c r="AT141" s="54"/>
      <c r="AU141" s="54"/>
      <c r="AV141" s="54"/>
      <c r="AW141" s="54"/>
      <c r="AX141" s="54"/>
      <c r="AY141" s="54"/>
      <c r="AZ141" s="53"/>
      <c r="BA141" s="53"/>
      <c r="BB141" s="54"/>
      <c r="BC141" s="54"/>
      <c r="BD141" s="54"/>
      <c r="BE141" s="54"/>
      <c r="BF141" s="54"/>
      <c r="BG141" s="54"/>
      <c r="BH141" s="54"/>
      <c r="BI141" s="54"/>
      <c r="BJ141" s="54"/>
      <c r="BK141" s="54"/>
      <c r="BL141" s="54"/>
      <c r="BM141" s="54"/>
      <c r="BN141" s="54"/>
      <c r="BO141" s="54"/>
      <c r="BP141" s="54"/>
      <c r="BQ141" s="53"/>
      <c r="BR141" s="53"/>
      <c r="BS141" s="54"/>
      <c r="BT141" s="54"/>
      <c r="BU141" s="68"/>
    </row>
    <row r="142" spans="1:73" x14ac:dyDescent="0.3">
      <c r="B142" s="2" t="s">
        <v>279</v>
      </c>
      <c r="C142" s="3" t="s">
        <v>280</v>
      </c>
      <c r="D142" s="63">
        <v>2.0763959999999999</v>
      </c>
      <c r="E142" s="63">
        <f>Tabelle2[[#This Row],[BIP (mrd.)]]*1000000000/Tabelle2[[#This Row],[Bevölkerung]]</f>
        <v>14.466246115463356</v>
      </c>
      <c r="F142" s="63">
        <v>0.74399999999999999</v>
      </c>
      <c r="G142" s="53">
        <v>17125190</v>
      </c>
      <c r="H142" s="63">
        <v>143533850</v>
      </c>
      <c r="I142" s="88"/>
      <c r="J142" s="88">
        <f>Tabelle2[[#This Row],[Strom (mrd.)]]*1000000000/Tabelle2[[#This Row],[Bevölkerung]]</f>
        <v>0</v>
      </c>
      <c r="K142" s="53"/>
      <c r="L142" s="53">
        <f>Tabelle2[[#This Row],[Wohnimmobilien Anzahl]]/Tabelle2[[#This Row],[Bevölkerung]]</f>
        <v>0</v>
      </c>
      <c r="M142" s="53">
        <f t="shared" si="83"/>
        <v>0</v>
      </c>
      <c r="N142" s="53" t="str">
        <f t="shared" si="76"/>
        <v/>
      </c>
      <c r="O142" s="53"/>
      <c r="P142" s="53"/>
      <c r="Q142" s="53">
        <f>1000000*Tabelle2[[#This Row],[Bevölkerung]]*EXP(-17.8941+0.2965*LN((Tabelle2[[#This Row],[BIP (mrd.)]]*1000000000)/Tabelle2[[#This Row],[Bevölkerung]]))</f>
        <v>5366497.7896461142</v>
      </c>
      <c r="R142" s="53" t="str">
        <f t="shared" si="77"/>
        <v/>
      </c>
      <c r="S142" s="53" t="str">
        <f t="shared" si="78"/>
        <v/>
      </c>
      <c r="T142" s="53">
        <f>1000000*Tabelle2[[#This Row],[Bevölkerung]]*EXP(-14.22+0.2263*LN((Tabelle2[[#This Row],[BIP (mrd.)]]*1000000000)/Tabelle2[[#This Row],[Bevölkerung]]))</f>
        <v>175337709.99857783</v>
      </c>
      <c r="U142" s="53" t="str">
        <f t="shared" si="79"/>
        <v/>
      </c>
      <c r="V142" s="53" t="str">
        <f t="shared" si="80"/>
        <v/>
      </c>
      <c r="W142" s="54"/>
      <c r="X142" s="54"/>
      <c r="Y142" s="54" t="str">
        <f t="shared" si="84"/>
        <v/>
      </c>
      <c r="Z142" s="54" t="str">
        <f t="shared" si="85"/>
        <v/>
      </c>
      <c r="AA142" s="54"/>
      <c r="AB142" s="54"/>
      <c r="AC142" s="54"/>
      <c r="AD142" s="54"/>
      <c r="AE142" s="54"/>
      <c r="AF142" s="54"/>
      <c r="AG142" s="54"/>
      <c r="AH142" s="54"/>
      <c r="AI142" s="54">
        <v>0</v>
      </c>
      <c r="AJ142" s="54"/>
      <c r="AK142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7419532.7689270228</v>
      </c>
      <c r="AL142" s="54" t="str">
        <f t="shared" si="81"/>
        <v/>
      </c>
      <c r="AM142" s="89" t="str">
        <f t="shared" si="82"/>
        <v/>
      </c>
      <c r="AN142" s="91"/>
      <c r="AO142" s="54"/>
      <c r="AP142" s="53"/>
      <c r="AQ142" s="53"/>
      <c r="AR142" s="53"/>
      <c r="AS142" s="53"/>
      <c r="AT142" s="54"/>
      <c r="AU142" s="54"/>
      <c r="AV142" s="54"/>
      <c r="AW142" s="54"/>
      <c r="AX142" s="54"/>
      <c r="AY142" s="54"/>
      <c r="AZ142" s="53"/>
      <c r="BA142" s="53"/>
      <c r="BB142" s="54"/>
      <c r="BC142" s="54"/>
      <c r="BD142" s="54"/>
      <c r="BE142" s="54"/>
      <c r="BF142" s="54"/>
      <c r="BG142" s="54"/>
      <c r="BH142" s="54"/>
      <c r="BI142" s="54"/>
      <c r="BJ142" s="54"/>
      <c r="BK142" s="54"/>
      <c r="BL142" s="54"/>
      <c r="BM142" s="54"/>
      <c r="BN142" s="54"/>
      <c r="BO142" s="54"/>
      <c r="BP142" s="54"/>
      <c r="BQ142" s="53"/>
      <c r="BR142" s="53"/>
      <c r="BS142" s="54"/>
      <c r="BT142" s="54"/>
      <c r="BU142" s="68"/>
    </row>
    <row r="143" spans="1:73" x14ac:dyDescent="0.3">
      <c r="B143" s="2" t="s">
        <v>281</v>
      </c>
      <c r="C143" s="3" t="s">
        <v>282</v>
      </c>
      <c r="D143" s="63">
        <v>1.8979999999999999E-3</v>
      </c>
      <c r="E143" s="63">
        <f>Tabelle2[[#This Row],[BIP (mrd.)]]*1000000000/Tabelle2[[#This Row],[Bevölkerung]]</f>
        <v>2.31689453125</v>
      </c>
      <c r="F143" s="63">
        <v>0.23699999999999999</v>
      </c>
      <c r="G143" s="53">
        <v>28900</v>
      </c>
      <c r="H143" s="63">
        <v>819200</v>
      </c>
      <c r="I143" s="88"/>
      <c r="J143" s="88">
        <f>Tabelle2[[#This Row],[Strom (mrd.)]]*1000000000/Tabelle2[[#This Row],[Bevölkerung]]</f>
        <v>0</v>
      </c>
      <c r="K143" s="53"/>
      <c r="L143" s="53">
        <f>Tabelle2[[#This Row],[Wohnimmobilien Anzahl]]/Tabelle2[[#This Row],[Bevölkerung]]</f>
        <v>0</v>
      </c>
      <c r="M143" s="53">
        <f t="shared" si="83"/>
        <v>0</v>
      </c>
      <c r="N143" s="53" t="str">
        <f t="shared" si="76"/>
        <v/>
      </c>
      <c r="O143" s="53"/>
      <c r="P143" s="53"/>
      <c r="Q143" s="53">
        <f>1000000*Tabelle2[[#This Row],[Bevölkerung]]*EXP(-17.8941+0.2965*LN((Tabelle2[[#This Row],[BIP (mrd.)]]*1000000000)/Tabelle2[[#This Row],[Bevölkerung]]))</f>
        <v>17794.089163381395</v>
      </c>
      <c r="R143" s="53" t="str">
        <f t="shared" si="77"/>
        <v/>
      </c>
      <c r="S143" s="53" t="str">
        <f t="shared" si="78"/>
        <v/>
      </c>
      <c r="T143" s="53">
        <f>1000000*Tabelle2[[#This Row],[Bevölkerung]]*EXP(-14.22+0.2263*LN((Tabelle2[[#This Row],[BIP (mrd.)]]*1000000000)/Tabelle2[[#This Row],[Bevölkerung]]))</f>
        <v>661151.06008087657</v>
      </c>
      <c r="U143" s="53" t="str">
        <f t="shared" si="79"/>
        <v/>
      </c>
      <c r="V143" s="53" t="str">
        <f t="shared" si="80"/>
        <v/>
      </c>
      <c r="W143" s="54"/>
      <c r="X143" s="54"/>
      <c r="Y143" s="54" t="str">
        <f t="shared" si="84"/>
        <v/>
      </c>
      <c r="Z143" s="54" t="str">
        <f t="shared" si="85"/>
        <v/>
      </c>
      <c r="AA143" s="54"/>
      <c r="AB143" s="54"/>
      <c r="AC143" s="54"/>
      <c r="AD143" s="54"/>
      <c r="AE143" s="54"/>
      <c r="AF143" s="54"/>
      <c r="AG143" s="54"/>
      <c r="AH143" s="54"/>
      <c r="AI143" s="54">
        <v>0</v>
      </c>
      <c r="AJ143" s="54"/>
      <c r="AK143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25731.363456053605</v>
      </c>
      <c r="AL143" s="54" t="str">
        <f t="shared" si="81"/>
        <v/>
      </c>
      <c r="AM143" s="89" t="str">
        <f t="shared" si="82"/>
        <v/>
      </c>
      <c r="AN143" s="91"/>
      <c r="AO143" s="54"/>
      <c r="AP143" s="53"/>
      <c r="AQ143" s="53"/>
      <c r="AR143" s="53"/>
      <c r="AS143" s="53"/>
      <c r="AT143" s="54"/>
      <c r="AU143" s="54"/>
      <c r="AV143" s="54"/>
      <c r="AW143" s="54"/>
      <c r="AX143" s="54"/>
      <c r="AY143" s="54"/>
      <c r="AZ143" s="53"/>
      <c r="BA143" s="53"/>
      <c r="BB143" s="54"/>
      <c r="BC143" s="54"/>
      <c r="BD143" s="54"/>
      <c r="BE143" s="54"/>
      <c r="BF143" s="54"/>
      <c r="BG143" s="54"/>
      <c r="BH143" s="54"/>
      <c r="BI143" s="54"/>
      <c r="BJ143" s="54"/>
      <c r="BK143" s="54"/>
      <c r="BL143" s="54"/>
      <c r="BM143" s="54"/>
      <c r="BN143" s="54"/>
      <c r="BO143" s="54"/>
      <c r="BP143" s="54"/>
      <c r="BQ143" s="53"/>
      <c r="BR143" s="53"/>
      <c r="BS143" s="54"/>
      <c r="BT143" s="54"/>
      <c r="BU143" s="68"/>
    </row>
    <row r="144" spans="1:73" x14ac:dyDescent="0.3">
      <c r="B144" s="22" t="s">
        <v>283</v>
      </c>
      <c r="C144" s="23" t="s">
        <v>284</v>
      </c>
      <c r="D144" s="63">
        <v>2.8910000000000002E-2</v>
      </c>
      <c r="E144" s="63">
        <f>Tabelle2[[#This Row],[BIP (mrd.)]]*1000000000/Tabelle2[[#This Row],[Bevölkerung]]</f>
        <v>1.356324384376044</v>
      </c>
      <c r="F144" s="63">
        <v>0.435</v>
      </c>
      <c r="G144" s="53">
        <v>752610</v>
      </c>
      <c r="H144" s="63">
        <v>21314960</v>
      </c>
      <c r="I144" s="88"/>
      <c r="J144" s="88">
        <f>Tabelle2[[#This Row],[Strom (mrd.)]]*1000000000/Tabelle2[[#This Row],[Bevölkerung]]</f>
        <v>0</v>
      </c>
      <c r="K144" s="53"/>
      <c r="L144" s="53">
        <f>Tabelle2[[#This Row],[Wohnimmobilien Anzahl]]/Tabelle2[[#This Row],[Bevölkerung]]</f>
        <v>0</v>
      </c>
      <c r="M144" s="53">
        <f t="shared" si="83"/>
        <v>0</v>
      </c>
      <c r="N144" s="53" t="str">
        <f t="shared" si="76"/>
        <v/>
      </c>
      <c r="O144" s="53"/>
      <c r="P144" s="53"/>
      <c r="Q144" s="53">
        <f>1000000*Tabelle2[[#This Row],[Bevölkerung]]*EXP(-17.8941+0.2965*LN((Tabelle2[[#This Row],[BIP (mrd.)]]*1000000000)/Tabelle2[[#This Row],[Bevölkerung]]))</f>
        <v>395022.13485484803</v>
      </c>
      <c r="R144" s="53" t="str">
        <f t="shared" si="77"/>
        <v/>
      </c>
      <c r="S144" s="53" t="str">
        <f t="shared" si="78"/>
        <v/>
      </c>
      <c r="T144" s="53">
        <f>1000000*Tabelle2[[#This Row],[Wohneinheiten Anzahl]]*EXP(-14.22+0.02263*LN((Tabelle2[[#This Row],[BIP (mrd.)]]*1000000000)/Tabelle2[[#This Row],[Bevölkerung]]))</f>
        <v>0</v>
      </c>
      <c r="U144" s="53" t="str">
        <f t="shared" si="79"/>
        <v/>
      </c>
      <c r="V144" s="53" t="str">
        <f t="shared" si="80"/>
        <v/>
      </c>
      <c r="W144" s="54"/>
      <c r="X144" s="54"/>
      <c r="Y144" s="54" t="str">
        <f t="shared" si="84"/>
        <v/>
      </c>
      <c r="Z144" s="54" t="str">
        <f t="shared" si="85"/>
        <v/>
      </c>
      <c r="AA144" s="54"/>
      <c r="AB144" s="54"/>
      <c r="AC144" s="54"/>
      <c r="AD144" s="54"/>
      <c r="AE144" s="54"/>
      <c r="AF144" s="54"/>
      <c r="AG144" s="54"/>
      <c r="AH144" s="54"/>
      <c r="AI144" s="54">
        <v>0</v>
      </c>
      <c r="AJ144" s="54"/>
      <c r="AK144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578753.1860492049</v>
      </c>
      <c r="AL144" s="54" t="str">
        <f t="shared" si="81"/>
        <v/>
      </c>
      <c r="AM144" s="89" t="str">
        <f t="shared" si="82"/>
        <v/>
      </c>
      <c r="AN144" s="91"/>
      <c r="AO144" s="54"/>
      <c r="AP144" s="53"/>
      <c r="AQ144" s="53"/>
      <c r="AR144" s="53"/>
      <c r="AS144" s="53"/>
      <c r="AT144" s="54"/>
      <c r="AU144" s="54"/>
      <c r="AV144" s="54"/>
      <c r="AW144" s="54"/>
      <c r="AX144" s="54"/>
      <c r="AY144" s="54"/>
      <c r="AZ144" s="53"/>
      <c r="BA144" s="53"/>
      <c r="BB144" s="54"/>
      <c r="BC144" s="54"/>
      <c r="BD144" s="54"/>
      <c r="BE144" s="54"/>
      <c r="BF144" s="54"/>
      <c r="BG144" s="54"/>
      <c r="BH144" s="54"/>
      <c r="BI144" s="54"/>
      <c r="BJ144" s="54"/>
      <c r="BK144" s="54"/>
      <c r="BL144" s="54"/>
      <c r="BM144" s="54"/>
      <c r="BN144" s="54"/>
      <c r="BO144" s="54"/>
      <c r="BP144" s="54"/>
      <c r="BQ144" s="53"/>
      <c r="BR144" s="53"/>
      <c r="BS144" s="54"/>
      <c r="BT144" s="54"/>
      <c r="BU144" s="68"/>
    </row>
    <row r="145" spans="2:73" x14ac:dyDescent="0.3">
      <c r="B145" s="2" t="s">
        <v>285</v>
      </c>
      <c r="C145" s="3" t="s">
        <v>286</v>
      </c>
      <c r="D145" s="63">
        <v>1.16E-3</v>
      </c>
      <c r="E145" s="63">
        <f>Tabelle2[[#This Row],[BIP (mrd.)]]*1000000000/Tabelle2[[#This Row],[Bevölkerung]]</f>
        <v>5.3206127878176313</v>
      </c>
      <c r="F145" s="63">
        <v>0.182</v>
      </c>
      <c r="G145" s="53">
        <v>2840</v>
      </c>
      <c r="H145" s="63">
        <v>218020</v>
      </c>
      <c r="I145" s="88"/>
      <c r="J145" s="88">
        <f>Tabelle2[[#This Row],[Strom (mrd.)]]*1000000000/Tabelle2[[#This Row],[Bevölkerung]]</f>
        <v>0</v>
      </c>
      <c r="K145" s="53"/>
      <c r="L145" s="53">
        <f>Tabelle2[[#This Row],[Wohnimmobilien Anzahl]]/Tabelle2[[#This Row],[Bevölkerung]]</f>
        <v>0</v>
      </c>
      <c r="M145" s="53">
        <f t="shared" si="83"/>
        <v>0</v>
      </c>
      <c r="N145" s="53" t="str">
        <f t="shared" si="76"/>
        <v/>
      </c>
      <c r="O145" s="53"/>
      <c r="P145" s="53"/>
      <c r="Q145" s="53">
        <f>1000000*Tabelle2[[#This Row],[Bevölkerung]]*EXP(-17.8941+0.2965*LN((Tabelle2[[#This Row],[BIP (mrd.)]]*1000000000)/Tabelle2[[#This Row],[Bevölkerung]]))</f>
        <v>6059.4761030136015</v>
      </c>
      <c r="R145" s="53" t="str">
        <f t="shared" si="77"/>
        <v/>
      </c>
      <c r="S145" s="53" t="str">
        <f t="shared" si="78"/>
        <v/>
      </c>
      <c r="T145" s="53">
        <f>1000000*Tabelle2[[#This Row],[Bevölkerung]]*EXP(-14.22+0.2263*LN((Tabelle2[[#This Row],[BIP (mrd.)]]*1000000000)/Tabelle2[[#This Row],[Bevölkerung]]))</f>
        <v>212380.15084421239</v>
      </c>
      <c r="U145" s="53" t="str">
        <f t="shared" si="79"/>
        <v/>
      </c>
      <c r="V145" s="53" t="str">
        <f t="shared" si="80"/>
        <v/>
      </c>
      <c r="W145" s="54"/>
      <c r="X145" s="54"/>
      <c r="Y145" s="54" t="str">
        <f t="shared" si="84"/>
        <v/>
      </c>
      <c r="Z145" s="54" t="str">
        <f t="shared" si="85"/>
        <v/>
      </c>
      <c r="AA145" s="54"/>
      <c r="AB145" s="54"/>
      <c r="AC145" s="54"/>
      <c r="AD145" s="54"/>
      <c r="AE145" s="54"/>
      <c r="AF145" s="54"/>
      <c r="AG145" s="54"/>
      <c r="AH145" s="54"/>
      <c r="AI145" s="54">
        <v>0</v>
      </c>
      <c r="AJ145" s="54"/>
      <c r="AK145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8586.2144330387782</v>
      </c>
      <c r="AL145" s="54" t="str">
        <f t="shared" si="81"/>
        <v/>
      </c>
      <c r="AM145" s="89" t="str">
        <f t="shared" si="82"/>
        <v/>
      </c>
      <c r="AN145" s="91"/>
      <c r="AO145" s="54"/>
      <c r="AP145" s="53"/>
      <c r="AQ145" s="53"/>
      <c r="AR145" s="53"/>
      <c r="AS145" s="53"/>
      <c r="AT145" s="54"/>
      <c r="AU145" s="54"/>
      <c r="AV145" s="54"/>
      <c r="AW145" s="54"/>
      <c r="AX145" s="54"/>
      <c r="AY145" s="54"/>
      <c r="AZ145" s="53"/>
      <c r="BA145" s="53"/>
      <c r="BB145" s="54"/>
      <c r="BC145" s="54"/>
      <c r="BD145" s="54"/>
      <c r="BE145" s="54"/>
      <c r="BF145" s="54"/>
      <c r="BG145" s="54"/>
      <c r="BH145" s="54"/>
      <c r="BI145" s="54"/>
      <c r="BJ145" s="54"/>
      <c r="BK145" s="54"/>
      <c r="BL145" s="54"/>
      <c r="BM145" s="54"/>
      <c r="BN145" s="54"/>
      <c r="BO145" s="54"/>
      <c r="BP145" s="54"/>
      <c r="BQ145" s="53"/>
      <c r="BR145" s="53"/>
      <c r="BS145" s="54"/>
      <c r="BT145" s="54"/>
      <c r="BU145" s="68"/>
    </row>
    <row r="146" spans="2:73" x14ac:dyDescent="0.3">
      <c r="B146" s="2" t="s">
        <v>287</v>
      </c>
      <c r="C146" s="3" t="s">
        <v>288</v>
      </c>
      <c r="D146" s="63">
        <v>2.0470000000000002E-3</v>
      </c>
      <c r="E146" s="63">
        <f>Tabelle2[[#This Row],[BIP (mrd.)]]*1000000000/Tabelle2[[#This Row],[Bevölkerung]]</f>
        <v>60.241318422601537</v>
      </c>
      <c r="F146" s="63">
        <v>0.97199999999999998</v>
      </c>
      <c r="G146" s="53">
        <v>60</v>
      </c>
      <c r="H146" s="63">
        <v>33980</v>
      </c>
      <c r="I146" s="88"/>
      <c r="J146" s="88">
        <f>Tabelle2[[#This Row],[Strom (mrd.)]]*1000000000/Tabelle2[[#This Row],[Bevölkerung]]</f>
        <v>0</v>
      </c>
      <c r="K146" s="53"/>
      <c r="L146" s="53">
        <f>Tabelle2[[#This Row],[Wohnimmobilien Anzahl]]/Tabelle2[[#This Row],[Bevölkerung]]</f>
        <v>0</v>
      </c>
      <c r="M146" s="53">
        <f t="shared" si="83"/>
        <v>0</v>
      </c>
      <c r="N146" s="53" t="str">
        <f t="shared" si="76"/>
        <v/>
      </c>
      <c r="O146" s="53"/>
      <c r="P146" s="53"/>
      <c r="Q146" s="53">
        <f>1000000*Tabelle2[[#This Row],[Bevölkerung]]*EXP(-17.8941+0.2965*LN((Tabelle2[[#This Row],[BIP (mrd.)]]*1000000000)/Tabelle2[[#This Row],[Bevölkerung]]))</f>
        <v>1939.3366088418766</v>
      </c>
      <c r="R146" s="53" t="str">
        <f t="shared" si="77"/>
        <v/>
      </c>
      <c r="S146" s="53" t="str">
        <f t="shared" si="78"/>
        <v/>
      </c>
      <c r="T146" s="53">
        <f>1000000*Tabelle2[[#This Row],[Bevölkerung]]*EXP(-14.22+0.2263*LN((Tabelle2[[#This Row],[BIP (mrd.)]]*1000000000)/Tabelle2[[#This Row],[Bevölkerung]]))</f>
        <v>57325.250344168438</v>
      </c>
      <c r="U146" s="53" t="str">
        <f t="shared" si="79"/>
        <v/>
      </c>
      <c r="V146" s="53" t="str">
        <f t="shared" si="80"/>
        <v/>
      </c>
      <c r="W146" s="54"/>
      <c r="X146" s="54"/>
      <c r="Y146" s="54" t="str">
        <f t="shared" si="84"/>
        <v/>
      </c>
      <c r="Z146" s="54" t="str">
        <f t="shared" si="85"/>
        <v/>
      </c>
      <c r="AA146" s="54"/>
      <c r="AB146" s="54"/>
      <c r="AC146" s="54"/>
      <c r="AD146" s="54"/>
      <c r="AE146" s="54"/>
      <c r="AF146" s="54"/>
      <c r="AG146" s="54"/>
      <c r="AH146" s="54"/>
      <c r="AI146" s="54">
        <v>0</v>
      </c>
      <c r="AJ146" s="54"/>
      <c r="AK146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2590.0474859055671</v>
      </c>
      <c r="AL146" s="54" t="str">
        <f t="shared" si="81"/>
        <v/>
      </c>
      <c r="AM146" s="89" t="str">
        <f t="shared" si="82"/>
        <v/>
      </c>
      <c r="AN146" s="91"/>
      <c r="AO146" s="54"/>
      <c r="AP146" s="53"/>
      <c r="AQ146" s="53"/>
      <c r="AR146" s="53"/>
      <c r="AS146" s="53"/>
      <c r="AT146" s="54"/>
      <c r="AU146" s="54"/>
      <c r="AV146" s="54"/>
      <c r="AW146" s="54"/>
      <c r="AX146" s="54"/>
      <c r="AY146" s="54"/>
      <c r="AZ146" s="53"/>
      <c r="BA146" s="53"/>
      <c r="BB146" s="54"/>
      <c r="BC146" s="54"/>
      <c r="BD146" s="54"/>
      <c r="BE146" s="54"/>
      <c r="BF146" s="54"/>
      <c r="BG146" s="54"/>
      <c r="BH146" s="54"/>
      <c r="BI146" s="54"/>
      <c r="BJ146" s="54"/>
      <c r="BK146" s="54"/>
      <c r="BL146" s="54"/>
      <c r="BM146" s="54"/>
      <c r="BN146" s="54"/>
      <c r="BO146" s="54"/>
      <c r="BP146" s="54"/>
      <c r="BQ146" s="53"/>
      <c r="BR146" s="53"/>
      <c r="BS146" s="54"/>
      <c r="BT146" s="54"/>
      <c r="BU146" s="68"/>
    </row>
    <row r="147" spans="2:73" x14ac:dyDescent="0.3">
      <c r="B147" s="2" t="s">
        <v>289</v>
      </c>
      <c r="C147" s="3" t="s">
        <v>290</v>
      </c>
      <c r="D147" s="63">
        <v>8.6400000000000001E-7</v>
      </c>
      <c r="E147" s="63">
        <f>Tabelle2[[#This Row],[BIP (mrd.)]]*1000000000/Tabelle2[[#This Row],[Bevölkerung]]</f>
        <v>3.6681667657298125E-3</v>
      </c>
      <c r="F147" s="63">
        <v>0.72799999999999998</v>
      </c>
      <c r="G147" s="53">
        <v>960</v>
      </c>
      <c r="H147" s="63">
        <v>235540</v>
      </c>
      <c r="I147" s="88"/>
      <c r="J147" s="88">
        <f>Tabelle2[[#This Row],[Strom (mrd.)]]*1000000000/Tabelle2[[#This Row],[Bevölkerung]]</f>
        <v>0</v>
      </c>
      <c r="K147" s="53"/>
      <c r="L147" s="53">
        <f>Tabelle2[[#This Row],[Wohnimmobilien Anzahl]]/Tabelle2[[#This Row],[Bevölkerung]]</f>
        <v>0</v>
      </c>
      <c r="M147" s="53">
        <f t="shared" si="83"/>
        <v>0</v>
      </c>
      <c r="N147" s="53" t="str">
        <f t="shared" si="76"/>
        <v/>
      </c>
      <c r="O147" s="53"/>
      <c r="P147" s="53"/>
      <c r="Q147" s="53">
        <f>1000000*Tabelle2[[#This Row],[Bevölkerung]]*EXP(-17.8941+0.2965*LN((Tabelle2[[#This Row],[BIP (mrd.)]]*1000000000)/Tabelle2[[#This Row],[Bevölkerung]]))</f>
        <v>756.16214492339327</v>
      </c>
      <c r="R147" s="53" t="str">
        <f t="shared" si="77"/>
        <v/>
      </c>
      <c r="S147" s="53" t="str">
        <f t="shared" si="78"/>
        <v/>
      </c>
      <c r="T147" s="53">
        <f>1000000*Tabelle2[[#This Row],[Bevölkerung]]*EXP(-14.22+0.2263*LN((Tabelle2[[#This Row],[BIP (mrd.)]]*1000000000)/Tabelle2[[#This Row],[Bevölkerung]]))</f>
        <v>44180.63595419909</v>
      </c>
      <c r="U147" s="53" t="str">
        <f t="shared" si="79"/>
        <v/>
      </c>
      <c r="V147" s="53" t="str">
        <f t="shared" si="80"/>
        <v/>
      </c>
      <c r="W147" s="54"/>
      <c r="X147" s="54"/>
      <c r="Y147" s="54" t="str">
        <f t="shared" si="84"/>
        <v/>
      </c>
      <c r="Z147" s="54" t="str">
        <f t="shared" si="85"/>
        <v/>
      </c>
      <c r="AA147" s="54"/>
      <c r="AB147" s="54"/>
      <c r="AC147" s="54"/>
      <c r="AD147" s="54"/>
      <c r="AE147" s="54"/>
      <c r="AF147" s="54"/>
      <c r="AG147" s="54"/>
      <c r="AH147" s="54"/>
      <c r="AI147" s="54">
        <v>0</v>
      </c>
      <c r="AJ147" s="54"/>
      <c r="AK147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1281.4041078344151</v>
      </c>
      <c r="AL147" s="54" t="str">
        <f t="shared" si="81"/>
        <v/>
      </c>
      <c r="AM147" s="89" t="str">
        <f t="shared" si="82"/>
        <v/>
      </c>
      <c r="AN147" s="91"/>
      <c r="AO147" s="54"/>
      <c r="AP147" s="53"/>
      <c r="AQ147" s="53"/>
      <c r="AR147" s="53"/>
      <c r="AS147" s="53"/>
      <c r="AT147" s="54"/>
      <c r="AU147" s="54"/>
      <c r="AV147" s="54"/>
      <c r="AW147" s="54"/>
      <c r="AX147" s="54"/>
      <c r="AY147" s="54"/>
      <c r="AZ147" s="53"/>
      <c r="BA147" s="53"/>
      <c r="BB147" s="54"/>
      <c r="BC147" s="54"/>
      <c r="BD147" s="54"/>
      <c r="BE147" s="54"/>
      <c r="BF147" s="54"/>
      <c r="BG147" s="54"/>
      <c r="BH147" s="54"/>
      <c r="BI147" s="54"/>
      <c r="BJ147" s="54"/>
      <c r="BK147" s="54"/>
      <c r="BL147" s="54"/>
      <c r="BM147" s="54"/>
      <c r="BN147" s="54"/>
      <c r="BO147" s="54"/>
      <c r="BP147" s="54"/>
      <c r="BQ147" s="53"/>
      <c r="BR147" s="53"/>
      <c r="BS147" s="54"/>
      <c r="BT147" s="54"/>
      <c r="BU147" s="68"/>
    </row>
    <row r="148" spans="2:73" x14ac:dyDescent="0.3">
      <c r="B148" s="17" t="s">
        <v>291</v>
      </c>
      <c r="C148" s="18" t="s">
        <v>292</v>
      </c>
      <c r="D148" s="63">
        <v>1083.749</v>
      </c>
      <c r="E148" s="63">
        <f>Tabelle2[[#This Row],[BIP (mrd.)]]*1000000000/Tabelle2[[#This Row],[Bevölkerung]]</f>
        <v>30700.861296284336</v>
      </c>
      <c r="F148" s="63">
        <v>0.83799999999999997</v>
      </c>
      <c r="G148" s="53">
        <v>2149690</v>
      </c>
      <c r="H148" s="63">
        <v>35300280</v>
      </c>
      <c r="I148" s="88">
        <v>383.512</v>
      </c>
      <c r="J148" s="88">
        <f>Tabelle2[[#This Row],[Strom (mrd.)]]*1000000000/Tabelle2[[#This Row],[Bevölkerung]]</f>
        <v>10864.276430668539</v>
      </c>
      <c r="K148" s="53"/>
      <c r="L148" s="53">
        <f>1000000*Tabelle2[[#This Row],[Bevölkerung]]*EXP(-15.4183+0.052*LN((Tabelle2[[#This Row],[BIP (mrd.)]]*1000000000)/Tabelle2[[#This Row],[Bevölkerung]]))</f>
        <v>12162626.463534016</v>
      </c>
      <c r="M148" s="53" t="str">
        <f t="shared" ref="M148:M150" si="88">IF(AND(ISNUMBER(K148), ISNUMBER(L148)), K148-L148, "")</f>
        <v/>
      </c>
      <c r="N148" s="65" t="str">
        <f t="shared" si="76"/>
        <v/>
      </c>
      <c r="O148" s="53"/>
      <c r="P148" s="53"/>
      <c r="Q148" s="53">
        <f>1000000*Tabelle2[[#This Row],[Bevölkerung]]*EXP(-17.8941+0.2965*LN((Tabelle2[[#This Row],[BIP (mrd.)]]*1000000000)/Tabelle2[[#This Row],[Bevölkerung]]))</f>
        <v>12791144.421914084</v>
      </c>
      <c r="R148" s="53" t="str">
        <f t="shared" si="77"/>
        <v/>
      </c>
      <c r="S148" s="53" t="str">
        <f t="shared" si="78"/>
        <v/>
      </c>
      <c r="T148" s="53">
        <f>1000000*Tabelle2[[#This Row],[Bevölkerung]]*EXP(-14.22+0.2263*LN((Tabelle2[[#This Row],[BIP (mrd.)]]*1000000000)/Tabelle2[[#This Row],[Bevölkerung]]))</f>
        <v>244091574.708617</v>
      </c>
      <c r="U148" s="53" t="str">
        <f t="shared" si="79"/>
        <v/>
      </c>
      <c r="V148" s="53" t="str">
        <f t="shared" si="80"/>
        <v/>
      </c>
      <c r="W148" s="54"/>
      <c r="X148" s="53">
        <f>1000000*Tabelle2[[#This Row],[Bevölkerung]]*EXP(-17.9119+0.2965*LN((Tabelle2[[#This Row],[BIP (mrd.)]]*1000000000)/Tabelle2[[#This Row],[Bevölkerung]]))</f>
        <v>12565476.454469403</v>
      </c>
      <c r="Y148" s="53" t="str">
        <f t="shared" si="84"/>
        <v/>
      </c>
      <c r="Z148" s="65" t="str">
        <f t="shared" si="85"/>
        <v/>
      </c>
      <c r="AA148" s="54"/>
      <c r="AB148" s="54"/>
      <c r="AC148" s="54"/>
      <c r="AD148" s="54"/>
      <c r="AE148" s="54"/>
      <c r="AF148" s="54"/>
      <c r="AG148" s="54"/>
      <c r="AH148" s="54">
        <v>0</v>
      </c>
      <c r="AI148" s="54" t="s">
        <v>989</v>
      </c>
      <c r="AJ148" s="54">
        <v>8174674</v>
      </c>
      <c r="AK148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14658464.654276051</v>
      </c>
      <c r="AL148" s="54">
        <f t="shared" si="81"/>
        <v>-6483790.6542760506</v>
      </c>
      <c r="AM148" s="89">
        <f t="shared" si="82"/>
        <v>0.79315586826778051</v>
      </c>
      <c r="AN148" s="91">
        <f t="shared" ref="AN148:AN198" si="89">ABS(AM148)</f>
        <v>0.79315586826778051</v>
      </c>
      <c r="AO148" s="54"/>
      <c r="AP148" s="53"/>
      <c r="AQ148" s="53"/>
      <c r="AR148" s="53"/>
      <c r="AS148" s="53"/>
      <c r="AT148" s="54"/>
      <c r="AU148" s="54"/>
      <c r="AV148" s="54"/>
      <c r="AW148" s="54"/>
      <c r="AX148" s="54"/>
      <c r="AY148" s="54"/>
      <c r="AZ148" s="53"/>
      <c r="BA148" s="53"/>
      <c r="BB148" s="54"/>
      <c r="BC148" s="54"/>
      <c r="BD148" s="54"/>
      <c r="BE148" s="54"/>
      <c r="BF148" s="54"/>
      <c r="BG148" s="54"/>
      <c r="BH148" s="54"/>
      <c r="BI148" s="54"/>
      <c r="BJ148" s="54"/>
      <c r="BK148" s="54"/>
      <c r="BL148" s="54"/>
      <c r="BM148" s="54"/>
      <c r="BN148" s="54"/>
      <c r="BO148" s="54"/>
      <c r="BP148" s="54"/>
      <c r="BQ148" s="53"/>
      <c r="BR148" s="53"/>
      <c r="BS148" s="54"/>
      <c r="BT148" s="54"/>
      <c r="BU148" s="68"/>
    </row>
    <row r="149" spans="2:73" x14ac:dyDescent="0.3">
      <c r="B149" s="9" t="s">
        <v>293</v>
      </c>
      <c r="C149" s="10" t="s">
        <v>294</v>
      </c>
      <c r="D149" s="63">
        <v>620.29700000000003</v>
      </c>
      <c r="E149" s="63">
        <f>Tabelle2[[#This Row],[BIP (mrd.)]]*1000000000/Tabelle2[[#This Row],[Bevölkerung]]</f>
        <v>58686.283729638752</v>
      </c>
      <c r="F149" s="63">
        <v>0.874</v>
      </c>
      <c r="G149" s="53">
        <v>528660</v>
      </c>
      <c r="H149" s="63">
        <v>10569710</v>
      </c>
      <c r="I149" s="88">
        <v>125.273</v>
      </c>
      <c r="J149" s="88">
        <f>Tabelle2[[#This Row],[Strom (mrd.)]]*1000000000/Tabelle2[[#This Row],[Bevölkerung]]</f>
        <v>11852.075411718959</v>
      </c>
      <c r="K149" s="53">
        <v>2540000</v>
      </c>
      <c r="L149" s="53">
        <f>1000000*Tabelle2[[#This Row],[Bevölkerung]]*EXP(-15.4183+0.052*LN((Tabelle2[[#This Row],[BIP (mrd.)]]*1000000000)/Tabelle2[[#This Row],[Bevölkerung]]))</f>
        <v>3766555.4479192425</v>
      </c>
      <c r="M149" s="53">
        <f t="shared" si="88"/>
        <v>-1226555.4479192425</v>
      </c>
      <c r="N149" s="65">
        <f t="shared" si="76"/>
        <v>0.48289584563749705</v>
      </c>
      <c r="O149" s="53"/>
      <c r="P149" s="53"/>
      <c r="Q149" s="53">
        <f>1000000*Tabelle2[[#This Row],[Bevölkerung]]*EXP(-17.8941+0.2965*LN((Tabelle2[[#This Row],[BIP (mrd.)]]*1000000000)/Tabelle2[[#This Row],[Bevölkerung]]))</f>
        <v>4641146.6107910397</v>
      </c>
      <c r="R149" s="53" t="str">
        <f t="shared" si="77"/>
        <v/>
      </c>
      <c r="S149" s="53" t="str">
        <f t="shared" si="78"/>
        <v/>
      </c>
      <c r="T149" s="53">
        <f>1000000*Tabelle2[[#This Row],[Bevölkerung]]*EXP(-14.22+0.2263*LN((Tabelle2[[#This Row],[BIP (mrd.)]]*1000000000)/Tabelle2[[#This Row],[Bevölkerung]]))</f>
        <v>84628252.60960342</v>
      </c>
      <c r="U149" s="53" t="str">
        <f t="shared" si="79"/>
        <v/>
      </c>
      <c r="V149" s="53" t="str">
        <f t="shared" si="80"/>
        <v/>
      </c>
      <c r="W149" s="54"/>
      <c r="X149" s="53">
        <f>1000000*Tabelle2[[#This Row],[Bevölkerung]]*EXP(-17.9119+0.2965*LN((Tabelle2[[#This Row],[BIP (mrd.)]]*1000000000)/Tabelle2[[#This Row],[Bevölkerung]]))</f>
        <v>4559265.1084232284</v>
      </c>
      <c r="Y149" s="53" t="str">
        <f t="shared" si="84"/>
        <v/>
      </c>
      <c r="Z149" s="65" t="str">
        <f t="shared" si="85"/>
        <v/>
      </c>
      <c r="AA149" s="54"/>
      <c r="AB149" s="54"/>
      <c r="AC149" s="54"/>
      <c r="AD149" s="54"/>
      <c r="AE149" s="54"/>
      <c r="AF149" s="54">
        <v>2756647</v>
      </c>
      <c r="AG149" s="54"/>
      <c r="AH149" s="54">
        <v>1</v>
      </c>
      <c r="AI149" s="54" t="s">
        <v>989</v>
      </c>
      <c r="AJ149" s="54">
        <v>5260876</v>
      </c>
      <c r="AK149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5234924.3793091374</v>
      </c>
      <c r="AL149" s="54">
        <f t="shared" si="81"/>
        <v>25951.620690862648</v>
      </c>
      <c r="AM149" s="89">
        <f t="shared" si="82"/>
        <v>-4.9329466596176466E-3</v>
      </c>
      <c r="AN149" s="91">
        <f t="shared" si="89"/>
        <v>4.9329466596176466E-3</v>
      </c>
      <c r="AO149" s="54"/>
      <c r="AP149" s="53"/>
      <c r="AQ149" s="53"/>
      <c r="AR149" s="53"/>
      <c r="AS149" s="53"/>
      <c r="AT149" s="54"/>
      <c r="AU149" s="54"/>
      <c r="AV149" s="54"/>
      <c r="AW149" s="54"/>
      <c r="AX149" s="54"/>
      <c r="AY149" s="54"/>
      <c r="AZ149" s="53"/>
      <c r="BA149" s="53"/>
      <c r="BB149" s="54"/>
      <c r="BC149" s="54"/>
      <c r="BD149" s="54"/>
      <c r="BE149" s="54"/>
      <c r="BF149" s="54"/>
      <c r="BG149" s="54"/>
      <c r="BH149" s="54"/>
      <c r="BI149" s="54"/>
      <c r="BJ149" s="54"/>
      <c r="BK149" s="54"/>
      <c r="BL149" s="54"/>
      <c r="BM149" s="54"/>
      <c r="BN149" s="54"/>
      <c r="BO149" s="54"/>
      <c r="BP149" s="54"/>
      <c r="BQ149" s="53"/>
      <c r="BR149" s="53"/>
      <c r="BS149" s="54"/>
      <c r="BT149" s="54"/>
      <c r="BU149" s="68"/>
    </row>
    <row r="150" spans="2:73" x14ac:dyDescent="0.3">
      <c r="B150" s="13" t="s">
        <v>295</v>
      </c>
      <c r="C150" s="14" t="s">
        <v>296</v>
      </c>
      <c r="D150" s="63">
        <v>947.125</v>
      </c>
      <c r="E150" s="63">
        <f>Tabelle2[[#This Row],[BIP (mrd.)]]*1000000000/Tabelle2[[#This Row],[Bevölkerung]]</f>
        <v>104838.88821243953</v>
      </c>
      <c r="F150" s="63">
        <v>0.73799999999999999</v>
      </c>
      <c r="G150" s="53">
        <v>41291</v>
      </c>
      <c r="H150" s="63">
        <v>9034100</v>
      </c>
      <c r="I150" s="88">
        <v>55.643000000000001</v>
      </c>
      <c r="J150" s="88">
        <f>Tabelle2[[#This Row],[Strom (mrd.)]]*1000000000/Tabelle2[[#This Row],[Bevölkerung]]</f>
        <v>6159.2189592765189</v>
      </c>
      <c r="K150" s="87">
        <v>1790000</v>
      </c>
      <c r="L150" s="87">
        <f>1000000*Tabelle2[[#This Row],[Bevölkerung]]*EXP(-15.4183+0.052*LN((Tabelle2[[#This Row],[BIP (mrd.)]]*1000000000)/Tabelle2[[#This Row],[Bevölkerung]]))</f>
        <v>3317947.0298963613</v>
      </c>
      <c r="M150" s="87">
        <f t="shared" si="88"/>
        <v>-1527947.0298963613</v>
      </c>
      <c r="N150" s="92">
        <f t="shared" si="76"/>
        <v>0.85360169267953145</v>
      </c>
      <c r="O150" s="53"/>
      <c r="P150" s="53"/>
      <c r="Q150" s="53">
        <f>1000000*Tabelle2[[#This Row],[Bevölkerung]]*EXP(-17.8941+0.2965*LN((Tabelle2[[#This Row],[BIP (mrd.)]]*1000000000)/Tabelle2[[#This Row],[Bevölkerung]]))</f>
        <v>4711518.4757616017</v>
      </c>
      <c r="R150" s="53" t="str">
        <f t="shared" si="77"/>
        <v/>
      </c>
      <c r="S150" s="53" t="str">
        <f t="shared" si="78"/>
        <v/>
      </c>
      <c r="T150" s="53">
        <f>1000000*Tabelle2[[#This Row],[Bevölkerung]]*EXP(-14.22+0.2263*LN((Tabelle2[[#This Row],[BIP (mrd.)]]*1000000000)/Tabelle2[[#This Row],[Bevölkerung]]))</f>
        <v>82482455.520758003</v>
      </c>
      <c r="U150" s="53" t="str">
        <f t="shared" si="79"/>
        <v/>
      </c>
      <c r="V150" s="53" t="str">
        <f t="shared" si="80"/>
        <v/>
      </c>
      <c r="W150" s="87">
        <v>1145600</v>
      </c>
      <c r="X150" s="87">
        <f>1000000*Tabelle2[[#This Row],[Bevölkerung]]*EXP(-15.6892+0.034*LN((Tabelle2[[#This Row],[BIP (mrd.)]]*1000000000)/Tabelle2[[#This Row],[Bevölkerung]]))</f>
        <v>2055179.0769575308</v>
      </c>
      <c r="Y150" s="87">
        <f t="shared" si="84"/>
        <v>-909579.07695753081</v>
      </c>
      <c r="Z150" s="92">
        <f t="shared" si="85"/>
        <v>0.79397614957885021</v>
      </c>
      <c r="AA150" s="54"/>
      <c r="AB150" s="54">
        <v>227330</v>
      </c>
      <c r="AC150" s="54"/>
      <c r="AD150" s="54"/>
      <c r="AE150" s="54"/>
      <c r="AF150" s="54">
        <v>417070</v>
      </c>
      <c r="AG150" s="54"/>
      <c r="AH150" s="54">
        <v>1</v>
      </c>
      <c r="AI150" s="54" t="s">
        <v>989</v>
      </c>
      <c r="AJ150" s="54">
        <v>4790000</v>
      </c>
      <c r="AK150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5239289.1982860817</v>
      </c>
      <c r="AL150" s="54">
        <f t="shared" si="81"/>
        <v>-449289.19828608166</v>
      </c>
      <c r="AM150" s="89">
        <f t="shared" si="82"/>
        <v>9.3797327408367784E-2</v>
      </c>
      <c r="AN150" s="91">
        <f t="shared" si="89"/>
        <v>9.3797327408367784E-2</v>
      </c>
      <c r="AO150" s="54"/>
      <c r="AP150" s="53"/>
      <c r="AQ150" s="53"/>
      <c r="AR150" s="53"/>
      <c r="AS150" s="53"/>
      <c r="AT150" s="54"/>
      <c r="AU150" s="54"/>
      <c r="AV150" s="54"/>
      <c r="AW150" s="54"/>
      <c r="AX150" s="54"/>
      <c r="AY150" s="54"/>
      <c r="AZ150" s="53"/>
      <c r="BA150" s="53"/>
      <c r="BB150" s="54"/>
      <c r="BC150" s="54"/>
      <c r="BD150" s="54"/>
      <c r="BE150" s="54"/>
      <c r="BF150" s="54"/>
      <c r="BG150" s="54"/>
      <c r="BH150" s="54"/>
      <c r="BI150" s="54"/>
      <c r="BJ150" s="54"/>
      <c r="BK150" s="54"/>
      <c r="BL150" s="54"/>
      <c r="BM150" s="54"/>
      <c r="BN150" s="54"/>
      <c r="BO150" s="54"/>
      <c r="BP150" s="54"/>
      <c r="BQ150" s="53"/>
      <c r="BR150" s="53"/>
      <c r="BS150" s="54"/>
      <c r="BT150" s="54"/>
      <c r="BU150" s="68"/>
    </row>
    <row r="151" spans="2:73" x14ac:dyDescent="0.3">
      <c r="B151" s="24" t="s">
        <v>297</v>
      </c>
      <c r="C151" s="25" t="s">
        <v>298</v>
      </c>
      <c r="D151" s="63">
        <v>3.4728000000000002E-2</v>
      </c>
      <c r="E151" s="63">
        <f>Tabelle2[[#This Row],[BIP (mrd.)]]*1000000000/Tabelle2[[#This Row],[Bevölkerung]]</f>
        <v>1.8769883007115995</v>
      </c>
      <c r="F151" s="63">
        <v>0.47199999999999998</v>
      </c>
      <c r="G151" s="53">
        <v>196710</v>
      </c>
      <c r="H151" s="63">
        <v>18501980</v>
      </c>
      <c r="I151" s="88"/>
      <c r="J151" s="88">
        <f>Tabelle2[[#This Row],[Strom (mrd.)]]*1000000000/Tabelle2[[#This Row],[Bevölkerung]]</f>
        <v>0</v>
      </c>
      <c r="K151" s="53"/>
      <c r="L151" s="53">
        <f>Tabelle2[[#This Row],[Wohnimmobilien Anzahl]]/Tabelle2[[#This Row],[Bevölkerung]]</f>
        <v>0</v>
      </c>
      <c r="M151" s="53">
        <f t="shared" si="83"/>
        <v>0</v>
      </c>
      <c r="N151" s="53" t="str">
        <f t="shared" si="76"/>
        <v/>
      </c>
      <c r="O151" s="53"/>
      <c r="P151" s="53"/>
      <c r="Q151" s="53">
        <f>1000000*Tabelle2[[#This Row],[Bevölkerung]]*EXP(-17.8941+0.2965*LN((Tabelle2[[#This Row],[BIP (mrd.)]]*1000000000)/Tabelle2[[#This Row],[Bevölkerung]]))</f>
        <v>377564.08198245638</v>
      </c>
      <c r="R151" s="53" t="str">
        <f t="shared" si="77"/>
        <v/>
      </c>
      <c r="S151" s="53" t="str">
        <f t="shared" si="78"/>
        <v/>
      </c>
      <c r="T151" s="53">
        <f>1000000*Tabelle2[[#This Row],[Wohneinheiten Anzahl]]*EXP(-14.22+0.02263*LN((Tabelle2[[#This Row],[BIP (mrd.)]]*1000000000)/Tabelle2[[#This Row],[Bevölkerung]]))</f>
        <v>0</v>
      </c>
      <c r="U151" s="53" t="str">
        <f t="shared" si="79"/>
        <v/>
      </c>
      <c r="V151" s="53" t="str">
        <f t="shared" si="80"/>
        <v/>
      </c>
      <c r="W151" s="54"/>
      <c r="X151" s="54"/>
      <c r="Y151" s="54" t="str">
        <f t="shared" si="84"/>
        <v/>
      </c>
      <c r="Z151" s="54" t="str">
        <f t="shared" si="85"/>
        <v/>
      </c>
      <c r="AA151" s="54"/>
      <c r="AB151" s="54"/>
      <c r="AC151" s="54"/>
      <c r="AD151" s="54"/>
      <c r="AE151" s="54"/>
      <c r="AF151" s="54"/>
      <c r="AG151" s="54"/>
      <c r="AH151" s="54"/>
      <c r="AI151" s="54">
        <v>0</v>
      </c>
      <c r="AJ151" s="54"/>
      <c r="AK151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548789.4730806849</v>
      </c>
      <c r="AL151" s="54" t="str">
        <f t="shared" si="81"/>
        <v/>
      </c>
      <c r="AM151" s="89" t="str">
        <f t="shared" si="82"/>
        <v/>
      </c>
      <c r="AN151" s="91"/>
      <c r="AO151" s="54"/>
      <c r="AP151" s="53"/>
      <c r="AQ151" s="53"/>
      <c r="AR151" s="53"/>
      <c r="AS151" s="53"/>
      <c r="AT151" s="54"/>
      <c r="AU151" s="54"/>
      <c r="AV151" s="54"/>
      <c r="AW151" s="54"/>
      <c r="AX151" s="54"/>
      <c r="AY151" s="54"/>
      <c r="AZ151" s="53"/>
      <c r="BA151" s="53"/>
      <c r="BB151" s="54"/>
      <c r="BC151" s="54"/>
      <c r="BD151" s="54"/>
      <c r="BE151" s="54"/>
      <c r="BF151" s="54"/>
      <c r="BG151" s="54"/>
      <c r="BH151" s="54"/>
      <c r="BI151" s="54"/>
      <c r="BJ151" s="54"/>
      <c r="BK151" s="54"/>
      <c r="BL151" s="54"/>
      <c r="BM151" s="54"/>
      <c r="BN151" s="54"/>
      <c r="BO151" s="54"/>
      <c r="BP151" s="54"/>
      <c r="BQ151" s="53"/>
      <c r="BR151" s="53"/>
      <c r="BS151" s="54"/>
      <c r="BT151" s="54"/>
      <c r="BU151" s="68"/>
    </row>
    <row r="152" spans="2:73" x14ac:dyDescent="0.3">
      <c r="B152" s="19" t="s">
        <v>299</v>
      </c>
      <c r="C152" s="20" t="s">
        <v>300</v>
      </c>
      <c r="D152" s="63">
        <v>92.549000000000007</v>
      </c>
      <c r="E152" s="63">
        <f>Tabelle2[[#This Row],[BIP (mrd.)]]*1000000000/Tabelle2[[#This Row],[Bevölkerung]]</f>
        <v>14049.823900898713</v>
      </c>
      <c r="F152" s="63">
        <v>0.56100000000000005</v>
      </c>
      <c r="G152" s="53">
        <v>84990</v>
      </c>
      <c r="H152" s="63">
        <v>6587200</v>
      </c>
      <c r="I152" s="88">
        <v>34.412999999999997</v>
      </c>
      <c r="J152" s="88">
        <f>Tabelle2[[#This Row],[Strom (mrd.)]]*1000000000/Tabelle2[[#This Row],[Bevölkerung]]</f>
        <v>5224.2227350012145</v>
      </c>
      <c r="K152" s="53"/>
      <c r="L152" s="53">
        <f>1000000*Tabelle2[[#This Row],[Bevölkerung]]*EXP(-15.4183+0.052*LN((Tabelle2[[#This Row],[BIP (mrd.)]]*1000000000)/Tabelle2[[#This Row],[Bevölkerung]]))</f>
        <v>2179200.1751065152</v>
      </c>
      <c r="M152" s="53" t="str">
        <f>IF(AND(ISNUMBER(K152), ISNUMBER(L152)), K152-L152, "")</f>
        <v/>
      </c>
      <c r="N152" s="65" t="str">
        <f t="shared" si="76"/>
        <v/>
      </c>
      <c r="O152" s="53"/>
      <c r="P152" s="53">
        <v>2625711</v>
      </c>
      <c r="Q152" s="53">
        <f>1000000*Tabelle2[[#This Row],[Bevölkerung]]*EXP(-17.8941+0.2965*LN((Tabelle2[[#This Row],[BIP (mrd.)]]*1000000000)/Tabelle2[[#This Row],[Bevölkerung]]))</f>
        <v>1893112.2999888621</v>
      </c>
      <c r="R152" s="53">
        <f t="shared" si="77"/>
        <v>732598.70001113787</v>
      </c>
      <c r="S152" s="65">
        <f t="shared" si="78"/>
        <v>-0.27900964729596589</v>
      </c>
      <c r="T152" s="53">
        <f>1000000*Tabelle2[[#This Row],[Wohneinheiten Anzahl]]*EXP(-14.22+0.02263*LN((Tabelle2[[#This Row],[BIP (mrd.)]]*1000000000)/Tabelle2[[#This Row],[Bevölkerung]]))</f>
        <v>2992984.9321232596</v>
      </c>
      <c r="U152" s="65">
        <f t="shared" si="79"/>
        <v>-367273.93212325964</v>
      </c>
      <c r="V152" s="65">
        <f t="shared" si="80"/>
        <v>0.13987599249241811</v>
      </c>
      <c r="W152" s="54"/>
      <c r="X152" s="53">
        <f>1000000*Tabelle2[[#This Row],[Bevölkerung]]*EXP(-17.9119+0.2965*LN((Tabelle2[[#This Row],[BIP (mrd.)]]*1000000000)/Tabelle2[[#This Row],[Bevölkerung]]))</f>
        <v>1859713.0363427498</v>
      </c>
      <c r="Y152" s="53" t="str">
        <f t="shared" si="84"/>
        <v/>
      </c>
      <c r="Z152" s="65" t="str">
        <f t="shared" si="85"/>
        <v/>
      </c>
      <c r="AA152" s="54"/>
      <c r="AB152" s="54"/>
      <c r="AC152" s="54"/>
      <c r="AD152" s="54"/>
      <c r="AE152" s="54"/>
      <c r="AF152" s="54"/>
      <c r="AG152" s="54"/>
      <c r="AH152" s="54">
        <v>0</v>
      </c>
      <c r="AI152" s="54" t="s">
        <v>988</v>
      </c>
      <c r="AJ152" s="54">
        <v>3613352</v>
      </c>
      <c r="AK152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2211427.5221881517</v>
      </c>
      <c r="AL152" s="54">
        <f t="shared" si="81"/>
        <v>1401924.4778118483</v>
      </c>
      <c r="AM152" s="89">
        <f t="shared" si="82"/>
        <v>-0.38798447475137998</v>
      </c>
      <c r="AN152" s="91">
        <f t="shared" si="89"/>
        <v>0.38798447475137998</v>
      </c>
      <c r="AO152" s="54">
        <v>269747120</v>
      </c>
      <c r="AP152" s="53"/>
      <c r="AQ152" s="53"/>
      <c r="AR152" s="53"/>
      <c r="AS152" s="53"/>
      <c r="AT152" s="54"/>
      <c r="AU152" s="54"/>
      <c r="AV152" s="54"/>
      <c r="AW152" s="54"/>
      <c r="AX152" s="54"/>
      <c r="AY152" s="54"/>
      <c r="AZ152" s="53"/>
      <c r="BA152" s="53"/>
      <c r="BB152" s="54"/>
      <c r="BC152" s="54"/>
      <c r="BD152" s="54"/>
      <c r="BE152" s="54"/>
      <c r="BF152" s="54"/>
      <c r="BG152" s="54"/>
      <c r="BH152" s="54"/>
      <c r="BI152" s="54"/>
      <c r="BJ152" s="54"/>
      <c r="BK152" s="54"/>
      <c r="BL152" s="54"/>
      <c r="BM152" s="54"/>
      <c r="BN152" s="54"/>
      <c r="BO152" s="54"/>
      <c r="BP152" s="54"/>
      <c r="BQ152" s="53"/>
      <c r="BR152" s="53"/>
      <c r="BS152" s="54"/>
      <c r="BT152" s="54"/>
      <c r="BU152" s="68"/>
    </row>
    <row r="153" spans="2:73" x14ac:dyDescent="0.3">
      <c r="B153" s="2" t="s">
        <v>301</v>
      </c>
      <c r="C153" s="3" t="s">
        <v>302</v>
      </c>
      <c r="D153" s="63">
        <v>2.1979999999999999E-3</v>
      </c>
      <c r="E153" s="63">
        <f>Tabelle2[[#This Row],[BIP (mrd.)]]*1000000000/Tabelle2[[#This Row],[Bevölkerung]]</f>
        <v>18.112896580140092</v>
      </c>
      <c r="F153" s="63">
        <v>0.56699999999999995</v>
      </c>
      <c r="G153" s="53">
        <v>460</v>
      </c>
      <c r="H153" s="63">
        <v>121350</v>
      </c>
      <c r="I153" s="88"/>
      <c r="J153" s="88">
        <f>Tabelle2[[#This Row],[Strom (mrd.)]]*1000000000/Tabelle2[[#This Row],[Bevölkerung]]</f>
        <v>0</v>
      </c>
      <c r="K153" s="53"/>
      <c r="L153" s="53">
        <f>Tabelle2[[#This Row],[Wohnimmobilien Anzahl]]/Tabelle2[[#This Row],[Bevölkerung]]</f>
        <v>0</v>
      </c>
      <c r="M153" s="53">
        <f t="shared" si="83"/>
        <v>0</v>
      </c>
      <c r="N153" s="53" t="str">
        <f t="shared" si="76"/>
        <v/>
      </c>
      <c r="O153" s="53"/>
      <c r="P153" s="53"/>
      <c r="Q153" s="53">
        <f>1000000*Tabelle2[[#This Row],[Bevölkerung]]*EXP(-17.8941+0.2965*LN((Tabelle2[[#This Row],[BIP (mrd.)]]*1000000000)/Tabelle2[[#This Row],[Bevölkerung]]))</f>
        <v>4849.8053312847005</v>
      </c>
      <c r="R153" s="53" t="str">
        <f t="shared" si="77"/>
        <v/>
      </c>
      <c r="S153" s="53" t="str">
        <f t="shared" si="78"/>
        <v/>
      </c>
      <c r="T153" s="53">
        <f>1000000*Tabelle2[[#This Row],[Bevölkerung]]*EXP(-14.22+0.2263*LN((Tabelle2[[#This Row],[BIP (mrd.)]]*1000000000)/Tabelle2[[#This Row],[Bevölkerung]]))</f>
        <v>155974.97024490577</v>
      </c>
      <c r="U153" s="53" t="str">
        <f t="shared" si="79"/>
        <v/>
      </c>
      <c r="V153" s="53" t="str">
        <f t="shared" si="80"/>
        <v/>
      </c>
      <c r="W153" s="54"/>
      <c r="X153" s="54"/>
      <c r="Y153" s="54" t="str">
        <f t="shared" si="84"/>
        <v/>
      </c>
      <c r="Z153" s="54" t="str">
        <f t="shared" si="85"/>
        <v/>
      </c>
      <c r="AA153" s="54"/>
      <c r="AB153" s="54"/>
      <c r="AC153" s="54"/>
      <c r="AD153" s="54"/>
      <c r="AE153" s="54"/>
      <c r="AF153" s="54"/>
      <c r="AG153" s="54"/>
      <c r="AH153" s="54"/>
      <c r="AI153" s="54">
        <v>0</v>
      </c>
      <c r="AJ153" s="54"/>
      <c r="AK153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6669.1608794977101</v>
      </c>
      <c r="AL153" s="54" t="str">
        <f t="shared" si="81"/>
        <v/>
      </c>
      <c r="AM153" s="89" t="str">
        <f t="shared" si="82"/>
        <v/>
      </c>
      <c r="AN153" s="91"/>
      <c r="AO153" s="54"/>
      <c r="AP153" s="53"/>
      <c r="AQ153" s="53"/>
      <c r="AR153" s="53"/>
      <c r="AS153" s="53"/>
      <c r="AT153" s="54"/>
      <c r="AU153" s="54"/>
      <c r="AV153" s="54"/>
      <c r="AW153" s="54"/>
      <c r="AX153" s="54"/>
      <c r="AY153" s="54"/>
      <c r="AZ153" s="53"/>
      <c r="BA153" s="53"/>
      <c r="BB153" s="54"/>
      <c r="BC153" s="54"/>
      <c r="BD153" s="54"/>
      <c r="BE153" s="54"/>
      <c r="BF153" s="54"/>
      <c r="BG153" s="54"/>
      <c r="BH153" s="54"/>
      <c r="BI153" s="54"/>
      <c r="BJ153" s="54"/>
      <c r="BK153" s="54"/>
      <c r="BL153" s="54"/>
      <c r="BM153" s="54"/>
      <c r="BN153" s="54"/>
      <c r="BO153" s="54"/>
      <c r="BP153" s="54"/>
      <c r="BQ153" s="53"/>
      <c r="BR153" s="53"/>
      <c r="BS153" s="54"/>
      <c r="BT153" s="54"/>
      <c r="BU153" s="68"/>
    </row>
    <row r="154" spans="2:73" x14ac:dyDescent="0.3">
      <c r="B154" s="4" t="s">
        <v>303</v>
      </c>
      <c r="C154" s="5" t="s">
        <v>304</v>
      </c>
      <c r="D154" s="63">
        <v>8.3859999999999994E-3</v>
      </c>
      <c r="E154" s="63">
        <f>Tabelle2[[#This Row],[BIP (mrd.)]]*1000000000/Tabelle2[[#This Row],[Bevölkerung]]</f>
        <v>0.97037498177509418</v>
      </c>
      <c r="F154" s="63">
        <v>0.42099999999999999</v>
      </c>
      <c r="G154" s="53">
        <v>72300</v>
      </c>
      <c r="H154" s="63">
        <v>8642020</v>
      </c>
      <c r="I154" s="88"/>
      <c r="J154" s="88">
        <f>Tabelle2[[#This Row],[Strom (mrd.)]]*1000000000/Tabelle2[[#This Row],[Bevölkerung]]</f>
        <v>0</v>
      </c>
      <c r="K154" s="53"/>
      <c r="L154" s="53">
        <f>Tabelle2[[#This Row],[Wohnimmobilien Anzahl]]/Tabelle2[[#This Row],[Bevölkerung]]</f>
        <v>0</v>
      </c>
      <c r="M154" s="53">
        <f t="shared" si="83"/>
        <v>0</v>
      </c>
      <c r="N154" s="53" t="str">
        <f t="shared" si="76"/>
        <v/>
      </c>
      <c r="O154" s="53"/>
      <c r="P154" s="53"/>
      <c r="Q154" s="53">
        <f>1000000*Tabelle2[[#This Row],[Bevölkerung]]*EXP(-17.8941+0.2965*LN((Tabelle2[[#This Row],[BIP (mrd.)]]*1000000000)/Tabelle2[[#This Row],[Bevölkerung]]))</f>
        <v>145022.02570259446</v>
      </c>
      <c r="R154" s="53" t="str">
        <f t="shared" si="77"/>
        <v/>
      </c>
      <c r="S154" s="53" t="str">
        <f t="shared" si="78"/>
        <v/>
      </c>
      <c r="T154" s="53">
        <f>1000000*Tabelle2[[#This Row],[Bevölkerung]]*EXP(-14.22+0.2263*LN((Tabelle2[[#This Row],[BIP (mrd.)]]*1000000000)/Tabelle2[[#This Row],[Bevölkerung]]))</f>
        <v>5727856.9587028269</v>
      </c>
      <c r="U154" s="53" t="str">
        <f t="shared" si="79"/>
        <v/>
      </c>
      <c r="V154" s="53" t="str">
        <f t="shared" si="80"/>
        <v/>
      </c>
      <c r="W154" s="54"/>
      <c r="X154" s="54"/>
      <c r="Y154" s="54" t="str">
        <f t="shared" si="84"/>
        <v/>
      </c>
      <c r="Z154" s="54" t="str">
        <f t="shared" si="85"/>
        <v/>
      </c>
      <c r="AA154" s="54"/>
      <c r="AB154" s="54"/>
      <c r="AC154" s="54"/>
      <c r="AD154" s="54"/>
      <c r="AE154" s="54"/>
      <c r="AF154" s="54"/>
      <c r="AG154" s="54"/>
      <c r="AH154" s="54"/>
      <c r="AI154" s="54">
        <v>0</v>
      </c>
      <c r="AJ154" s="54"/>
      <c r="AK154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214224.84294284601</v>
      </c>
      <c r="AL154" s="54" t="str">
        <f t="shared" si="81"/>
        <v/>
      </c>
      <c r="AM154" s="89" t="str">
        <f t="shared" si="82"/>
        <v/>
      </c>
      <c r="AN154" s="91"/>
      <c r="AO154" s="54"/>
      <c r="AP154" s="53"/>
      <c r="AQ154" s="53"/>
      <c r="AR154" s="53"/>
      <c r="AS154" s="53"/>
      <c r="AT154" s="54"/>
      <c r="AU154" s="54"/>
      <c r="AV154" s="54"/>
      <c r="AW154" s="54"/>
      <c r="AX154" s="54"/>
      <c r="AY154" s="54"/>
      <c r="AZ154" s="53"/>
      <c r="BA154" s="53"/>
      <c r="BB154" s="54"/>
      <c r="BC154" s="54"/>
      <c r="BD154" s="54"/>
      <c r="BE154" s="54"/>
      <c r="BF154" s="54"/>
      <c r="BG154" s="54"/>
      <c r="BH154" s="54"/>
      <c r="BI154" s="54"/>
      <c r="BJ154" s="54"/>
      <c r="BK154" s="54"/>
      <c r="BL154" s="54"/>
      <c r="BM154" s="54"/>
      <c r="BN154" s="54"/>
      <c r="BO154" s="54"/>
      <c r="BP154" s="54"/>
      <c r="BQ154" s="53"/>
      <c r="BR154" s="53"/>
      <c r="BS154" s="54"/>
      <c r="BT154" s="54"/>
      <c r="BU154" s="68"/>
    </row>
    <row r="155" spans="2:73" x14ac:dyDescent="0.3">
      <c r="B155" s="2" t="s">
        <v>305</v>
      </c>
      <c r="C155" s="3" t="s">
        <v>306</v>
      </c>
      <c r="D155" s="63">
        <v>3.8171999999999998E-2</v>
      </c>
      <c r="E155" s="63">
        <f>Tabelle2[[#This Row],[BIP (mrd.)]]*1000000000/Tabelle2[[#This Row],[Bevölkerung]]</f>
        <v>2.2947667991033027</v>
      </c>
      <c r="F155" s="63">
        <v>0.32200000000000001</v>
      </c>
      <c r="G155" s="53">
        <v>390760</v>
      </c>
      <c r="H155" s="63">
        <v>16634369.999999998</v>
      </c>
      <c r="I155" s="88"/>
      <c r="J155" s="88">
        <f>Tabelle2[[#This Row],[Strom (mrd.)]]*1000000000/Tabelle2[[#This Row],[Bevölkerung]]</f>
        <v>0</v>
      </c>
      <c r="K155" s="53"/>
      <c r="L155" s="53">
        <f>Tabelle2[[#This Row],[Wohnimmobilien Anzahl]]/Tabelle2[[#This Row],[Bevölkerung]]</f>
        <v>0</v>
      </c>
      <c r="M155" s="53">
        <f t="shared" si="83"/>
        <v>0</v>
      </c>
      <c r="N155" s="53" t="str">
        <f t="shared" si="76"/>
        <v/>
      </c>
      <c r="O155" s="53"/>
      <c r="P155" s="53"/>
      <c r="Q155" s="53">
        <f>1000000*Tabelle2[[#This Row],[Bevölkerung]]*EXP(-17.8941+0.2965*LN((Tabelle2[[#This Row],[BIP (mrd.)]]*1000000000)/Tabelle2[[#This Row],[Bevölkerung]]))</f>
        <v>360293.5198560711</v>
      </c>
      <c r="R155" s="53" t="str">
        <f t="shared" si="77"/>
        <v/>
      </c>
      <c r="S155" s="53" t="str">
        <f t="shared" si="78"/>
        <v/>
      </c>
      <c r="T155" s="53">
        <f>1000000*Tabelle2[[#This Row],[Bevölkerung]]*EXP(-14.22+0.2263*LN((Tabelle2[[#This Row],[BIP (mrd.)]]*1000000000)/Tabelle2[[#This Row],[Bevölkerung]]))</f>
        <v>13395963.646225825</v>
      </c>
      <c r="U155" s="53" t="str">
        <f t="shared" si="79"/>
        <v/>
      </c>
      <c r="V155" s="53" t="str">
        <f t="shared" si="80"/>
        <v/>
      </c>
      <c r="W155" s="54"/>
      <c r="X155" s="54"/>
      <c r="Y155" s="54" t="str">
        <f t="shared" si="84"/>
        <v/>
      </c>
      <c r="Z155" s="54" t="str">
        <f t="shared" si="85"/>
        <v/>
      </c>
      <c r="AA155" s="54"/>
      <c r="AB155" s="54"/>
      <c r="AC155" s="54"/>
      <c r="AD155" s="54"/>
      <c r="AE155" s="54"/>
      <c r="AF155" s="54"/>
      <c r="AG155" s="54"/>
      <c r="AH155" s="54"/>
      <c r="AI155" s="54">
        <v>0</v>
      </c>
      <c r="AJ155" s="54"/>
      <c r="AK155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521114.64553117944</v>
      </c>
      <c r="AL155" s="54" t="str">
        <f t="shared" si="81"/>
        <v/>
      </c>
      <c r="AM155" s="89" t="str">
        <f t="shared" si="82"/>
        <v/>
      </c>
      <c r="AN155" s="91"/>
      <c r="AO155" s="54"/>
      <c r="AP155" s="53"/>
      <c r="AQ155" s="53"/>
      <c r="AR155" s="53"/>
      <c r="AS155" s="53"/>
      <c r="AT155" s="54"/>
      <c r="AU155" s="54"/>
      <c r="AV155" s="54"/>
      <c r="AW155" s="54"/>
      <c r="AX155" s="54"/>
      <c r="AY155" s="54"/>
      <c r="AZ155" s="53"/>
      <c r="BA155" s="53"/>
      <c r="BB155" s="54"/>
      <c r="BC155" s="54"/>
      <c r="BD155" s="54"/>
      <c r="BE155" s="54"/>
      <c r="BF155" s="54"/>
      <c r="BG155" s="54"/>
      <c r="BH155" s="54"/>
      <c r="BI155" s="54"/>
      <c r="BJ155" s="54"/>
      <c r="BK155" s="54"/>
      <c r="BL155" s="54"/>
      <c r="BM155" s="54"/>
      <c r="BN155" s="54"/>
      <c r="BO155" s="54"/>
      <c r="BP155" s="54"/>
      <c r="BQ155" s="53"/>
      <c r="BR155" s="53"/>
      <c r="BS155" s="54"/>
      <c r="BT155" s="54"/>
      <c r="BU155" s="68"/>
    </row>
    <row r="156" spans="2:73" x14ac:dyDescent="0.3">
      <c r="B156" s="9" t="s">
        <v>307</v>
      </c>
      <c r="C156" s="10" t="s">
        <v>308</v>
      </c>
      <c r="D156" s="63">
        <v>564.774</v>
      </c>
      <c r="E156" s="63">
        <f>Tabelle2[[#This Row],[BIP (mrd.)]]*1000000000/Tabelle2[[#This Row],[Bevölkerung]]</f>
        <v>93554.264965561568</v>
      </c>
      <c r="F156" s="63">
        <v>1</v>
      </c>
      <c r="G156" s="53">
        <v>728</v>
      </c>
      <c r="H156" s="63">
        <v>6036860</v>
      </c>
      <c r="I156" s="88">
        <v>56.671999999999997</v>
      </c>
      <c r="J156" s="88">
        <f>Tabelle2[[#This Row],[Strom (mrd.)]]*1000000000/Tabelle2[[#This Row],[Bevölkerung]]</f>
        <v>9387.6617976895268</v>
      </c>
      <c r="K156" s="53"/>
      <c r="L156" s="53">
        <f>1000000*Tabelle2[[#This Row],[Bevölkerung]]*EXP(-15.4183+0.052*LN((Tabelle2[[#This Row],[BIP (mrd.)]]*1000000000)/Tabelle2[[#This Row],[Bevölkerung]]))</f>
        <v>2204061.9680477404</v>
      </c>
      <c r="M156" s="53" t="str">
        <f t="shared" ref="M156:M158" si="90">IF(AND(ISNUMBER(K156), ISNUMBER(L156)), K156-L156, "")</f>
        <v/>
      </c>
      <c r="N156" s="65" t="str">
        <f t="shared" si="76"/>
        <v/>
      </c>
      <c r="O156" s="53"/>
      <c r="P156" s="53"/>
      <c r="Q156" s="53">
        <f>1000000*Tabelle2[[#This Row],[Bevölkerung]]*EXP(-17.8941+0.2965*LN((Tabelle2[[#This Row],[BIP (mrd.)]]*1000000000)/Tabelle2[[#This Row],[Bevölkerung]]))</f>
        <v>3043845.2598409317</v>
      </c>
      <c r="R156" s="53" t="str">
        <f t="shared" si="77"/>
        <v/>
      </c>
      <c r="S156" s="53" t="str">
        <f t="shared" si="78"/>
        <v/>
      </c>
      <c r="T156" s="53">
        <f>1000000*Tabelle2[[#This Row],[Bevölkerung]]*EXP(-14.22+0.2263*LN((Tabelle2[[#This Row],[BIP (mrd.)]]*1000000000)/Tabelle2[[#This Row],[Bevölkerung]]))</f>
        <v>53714960.694698453</v>
      </c>
      <c r="U156" s="53" t="str">
        <f t="shared" si="79"/>
        <v/>
      </c>
      <c r="V156" s="53" t="str">
        <f t="shared" si="80"/>
        <v/>
      </c>
      <c r="W156" s="54"/>
      <c r="X156" s="53">
        <f>1000000*Tabelle2[[#This Row],[Bevölkerung]]*EXP(-17.9119+0.2965*LN((Tabelle2[[#This Row],[BIP (mrd.)]]*1000000000)/Tabelle2[[#This Row],[Bevölkerung]]))</f>
        <v>2990144.1717797555</v>
      </c>
      <c r="Y156" s="53" t="str">
        <f t="shared" si="84"/>
        <v/>
      </c>
      <c r="Z156" s="65" t="str">
        <f t="shared" si="85"/>
        <v/>
      </c>
      <c r="AA156" s="54"/>
      <c r="AB156" s="54"/>
      <c r="AC156" s="54"/>
      <c r="AD156" s="54"/>
      <c r="AE156" s="54"/>
      <c r="AF156" s="54"/>
      <c r="AG156" s="54"/>
      <c r="AH156" s="54">
        <v>0</v>
      </c>
      <c r="AI156" s="54" t="s">
        <v>989</v>
      </c>
      <c r="AJ156" s="54">
        <v>1596629</v>
      </c>
      <c r="AK156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3394265.340702761</v>
      </c>
      <c r="AL156" s="54">
        <f t="shared" si="81"/>
        <v>-1797636.340702761</v>
      </c>
      <c r="AM156" s="89">
        <f t="shared" si="82"/>
        <v>1.1258948326146907</v>
      </c>
      <c r="AN156" s="91">
        <f t="shared" si="89"/>
        <v>1.1258948326146907</v>
      </c>
      <c r="AO156" s="54"/>
      <c r="AP156" s="53"/>
      <c r="AQ156" s="53"/>
      <c r="AR156" s="53"/>
      <c r="AS156" s="53"/>
      <c r="AT156" s="1"/>
      <c r="AU156" s="1"/>
      <c r="AV156" s="54"/>
      <c r="AW156" s="54"/>
      <c r="AX156" s="54"/>
      <c r="AY156" s="54">
        <v>53500000</v>
      </c>
      <c r="AZ156" s="53"/>
      <c r="BA156" s="53"/>
      <c r="BB156" s="54"/>
      <c r="BC156" s="54"/>
      <c r="BD156" s="54"/>
      <c r="BE156" s="54"/>
      <c r="BF156" s="54"/>
      <c r="BG156" s="54"/>
      <c r="BH156" s="54"/>
      <c r="BI156" s="54"/>
      <c r="BJ156" s="54"/>
      <c r="BK156" s="54"/>
      <c r="BL156" s="54"/>
      <c r="BM156" s="54"/>
      <c r="BN156" s="54"/>
      <c r="BO156" s="54"/>
      <c r="BP156" s="54"/>
      <c r="BQ156" s="53"/>
      <c r="BR156" s="53"/>
      <c r="BS156" s="54"/>
      <c r="BT156" s="54"/>
      <c r="BU156" s="68"/>
    </row>
    <row r="157" spans="2:73" x14ac:dyDescent="0.3">
      <c r="B157" s="15" t="s">
        <v>309</v>
      </c>
      <c r="C157" s="16" t="s">
        <v>310</v>
      </c>
      <c r="D157" s="63">
        <v>147.03100000000001</v>
      </c>
      <c r="E157" s="63">
        <f>Tabelle2[[#This Row],[BIP (mrd.)]]*1000000000/Tabelle2[[#This Row],[Bevölkerung]]</f>
        <v>27117.134231022468</v>
      </c>
      <c r="F157" s="63">
        <v>0.53700000000000003</v>
      </c>
      <c r="G157" s="53">
        <v>49030</v>
      </c>
      <c r="H157" s="63">
        <v>5422070</v>
      </c>
      <c r="I157" s="88">
        <v>24.18</v>
      </c>
      <c r="J157" s="88">
        <f>Tabelle2[[#This Row],[Strom (mrd.)]]*1000000000/Tabelle2[[#This Row],[Bevölkerung]]</f>
        <v>4459.551425931425</v>
      </c>
      <c r="K157" s="53">
        <v>1234592</v>
      </c>
      <c r="L157" s="53">
        <f>1000000*Tabelle2[[#This Row],[Bevölkerung]]*EXP(-15.4183+0.052*LN((Tabelle2[[#This Row],[BIP (mrd.)]]*1000000000)/Tabelle2[[#This Row],[Bevölkerung]]))</f>
        <v>1856141.9530836684</v>
      </c>
      <c r="M157" s="53">
        <f t="shared" si="90"/>
        <v>-621549.95308366837</v>
      </c>
      <c r="N157" s="65">
        <f t="shared" si="76"/>
        <v>0.5034456347389813</v>
      </c>
      <c r="O157" s="53"/>
      <c r="P157" s="53"/>
      <c r="Q157" s="53">
        <f>1000000*Tabelle2[[#This Row],[Bevölkerung]]*EXP(-17.8941+0.2965*LN((Tabelle2[[#This Row],[BIP (mrd.)]]*1000000000)/Tabelle2[[#This Row],[Bevölkerung]]))</f>
        <v>1893708.0070729461</v>
      </c>
      <c r="R157" s="53" t="str">
        <f t="shared" si="77"/>
        <v/>
      </c>
      <c r="S157" s="53" t="str">
        <f t="shared" si="78"/>
        <v/>
      </c>
      <c r="T157" s="53">
        <f>1000000*Tabelle2[[#This Row],[Bevölkerung]]*EXP(-14.22+0.2263*LN((Tabelle2[[#This Row],[BIP (mrd.)]]*1000000000)/Tabelle2[[#This Row],[Bevölkerung]]))</f>
        <v>36453619.599904254</v>
      </c>
      <c r="U157" s="53" t="str">
        <f t="shared" si="79"/>
        <v/>
      </c>
      <c r="V157" s="53" t="str">
        <f t="shared" si="80"/>
        <v/>
      </c>
      <c r="W157" s="54"/>
      <c r="X157" s="53">
        <f>1000000*Tabelle2[[#This Row],[Bevölkerung]]*EXP(-17.9119+0.2965*LN((Tabelle2[[#This Row],[BIP (mrd.)]]*1000000000)/Tabelle2[[#This Row],[Bevölkerung]]))</f>
        <v>1860298.2336551961</v>
      </c>
      <c r="Y157" s="53" t="str">
        <f t="shared" si="84"/>
        <v/>
      </c>
      <c r="Z157" s="65" t="str">
        <f t="shared" si="85"/>
        <v/>
      </c>
      <c r="AA157" s="54"/>
      <c r="AB157" s="54"/>
      <c r="AC157" s="54"/>
      <c r="AD157" s="54"/>
      <c r="AE157" s="54"/>
      <c r="AF157" s="54"/>
      <c r="AG157" s="54"/>
      <c r="AH157" s="54">
        <v>1</v>
      </c>
      <c r="AI157" s="54" t="s">
        <v>989</v>
      </c>
      <c r="AJ157" s="54">
        <v>2235586</v>
      </c>
      <c r="AK157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2176771.3530547307</v>
      </c>
      <c r="AL157" s="54">
        <f t="shared" si="81"/>
        <v>58814.646945269313</v>
      </c>
      <c r="AM157" s="89">
        <f t="shared" si="82"/>
        <v>-2.6308380418051155E-2</v>
      </c>
      <c r="AN157" s="91">
        <f t="shared" si="89"/>
        <v>2.6308380418051155E-2</v>
      </c>
      <c r="AO157" s="54"/>
      <c r="AP157" s="53"/>
      <c r="AQ157" s="53"/>
      <c r="AR157" s="53"/>
      <c r="AS157" s="53"/>
      <c r="AT157" s="54"/>
      <c r="AU157" s="54"/>
      <c r="AV157" s="54"/>
      <c r="AW157" s="54"/>
      <c r="AX157" s="54"/>
      <c r="AY157" s="54"/>
      <c r="AZ157" s="53"/>
      <c r="BA157" s="53"/>
      <c r="BB157" s="54"/>
      <c r="BC157" s="54"/>
      <c r="BD157" s="54"/>
      <c r="BE157" s="54"/>
      <c r="BF157" s="54"/>
      <c r="BG157" s="54"/>
      <c r="BH157" s="54"/>
      <c r="BI157" s="54"/>
      <c r="BJ157" s="54"/>
      <c r="BK157" s="54"/>
      <c r="BL157" s="54"/>
      <c r="BM157" s="54"/>
      <c r="BN157" s="54"/>
      <c r="BO157" s="54"/>
      <c r="BP157" s="54"/>
      <c r="BQ157" s="53"/>
      <c r="BR157" s="53"/>
      <c r="BS157" s="54"/>
      <c r="BT157" s="54"/>
      <c r="BU157" s="68"/>
    </row>
    <row r="158" spans="2:73" x14ac:dyDescent="0.3">
      <c r="B158" s="17" t="s">
        <v>311</v>
      </c>
      <c r="C158" s="18" t="s">
        <v>312</v>
      </c>
      <c r="D158" s="63">
        <v>75.224000000000004</v>
      </c>
      <c r="E158" s="63">
        <f>Tabelle2[[#This Row],[BIP (mrd.)]]*1000000000/Tabelle2[[#This Row],[Bevölkerung]]</f>
        <v>35377.553707814441</v>
      </c>
      <c r="F158" s="63">
        <v>0.54500000000000004</v>
      </c>
      <c r="G158" s="53">
        <v>20480</v>
      </c>
      <c r="H158" s="63">
        <v>2126320</v>
      </c>
      <c r="I158" s="88">
        <v>12.952999999999999</v>
      </c>
      <c r="J158" s="88">
        <f>Tabelle2[[#This Row],[Strom (mrd.)]]*1000000000/Tabelle2[[#This Row],[Bevölkerung]]</f>
        <v>6091.7453628804697</v>
      </c>
      <c r="K158" s="53">
        <v>590000</v>
      </c>
      <c r="L158" s="53">
        <f>1000000*Tabelle2[[#This Row],[Bevölkerung]]*EXP(-15.4183+0.052*LN((Tabelle2[[#This Row],[BIP (mrd.)]]*1000000000)/Tabelle2[[#This Row],[Bevölkerung]]))</f>
        <v>738039.93063264363</v>
      </c>
      <c r="M158" s="53">
        <f t="shared" si="90"/>
        <v>-148039.93063264363</v>
      </c>
      <c r="N158" s="65">
        <f t="shared" si="76"/>
        <v>0.2509151366654977</v>
      </c>
      <c r="O158" s="53"/>
      <c r="P158" s="53">
        <v>698700</v>
      </c>
      <c r="Q158" s="53">
        <f>1000000*Tabelle2[[#This Row],[Bevölkerung]]*EXP(-17.8941+0.2965*LN((Tabelle2[[#This Row],[BIP (mrd.)]]*1000000000)/Tabelle2[[#This Row],[Bevölkerung]]))</f>
        <v>803558.55275790731</v>
      </c>
      <c r="R158" s="53">
        <f t="shared" si="77"/>
        <v>-104858.55275790731</v>
      </c>
      <c r="S158" s="65">
        <f t="shared" si="78"/>
        <v>0.15007664628296452</v>
      </c>
      <c r="T158" s="53">
        <f>1000000*Tabelle2[[#This Row],[Wohneinheiten Anzahl]]*EXP(-14.22+0.02263*LN((Tabelle2[[#This Row],[BIP (mrd.)]]*1000000000)/Tabelle2[[#This Row],[Bevölkerung]]))</f>
        <v>731029.14243247616</v>
      </c>
      <c r="U158" s="65">
        <f t="shared" si="79"/>
        <v>-32329.142432476161</v>
      </c>
      <c r="V158" s="65">
        <f t="shared" si="80"/>
        <v>4.6270419969194447E-2</v>
      </c>
      <c r="W158" s="54"/>
      <c r="X158" s="53">
        <f>1000000*Tabelle2[[#This Row],[Bevölkerung]]*EXP(-17.9119+0.2965*LN((Tabelle2[[#This Row],[BIP (mrd.)]]*1000000000)/Tabelle2[[#This Row],[Bevölkerung]]))</f>
        <v>789381.75830212794</v>
      </c>
      <c r="Y158" s="53" t="str">
        <f t="shared" si="84"/>
        <v/>
      </c>
      <c r="Z158" s="65" t="str">
        <f t="shared" si="85"/>
        <v/>
      </c>
      <c r="AA158" s="54"/>
      <c r="AB158" s="54"/>
      <c r="AC158" s="54"/>
      <c r="AD158" s="54"/>
      <c r="AE158" s="54"/>
      <c r="AF158" s="54"/>
      <c r="AG158" s="54"/>
      <c r="AH158" s="54">
        <v>1</v>
      </c>
      <c r="AI158" s="54" t="s">
        <v>989</v>
      </c>
      <c r="AJ158" s="54">
        <v>864300</v>
      </c>
      <c r="AK158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917673.04511958489</v>
      </c>
      <c r="AL158" s="54">
        <f t="shared" si="81"/>
        <v>-53373.045119584887</v>
      </c>
      <c r="AM158" s="89">
        <f t="shared" si="82"/>
        <v>6.1752915792647099E-2</v>
      </c>
      <c r="AN158" s="91">
        <f t="shared" si="89"/>
        <v>6.1752915792647099E-2</v>
      </c>
      <c r="AO158" s="54"/>
      <c r="AP158" s="53"/>
      <c r="AQ158" s="53"/>
      <c r="AR158" s="53"/>
      <c r="AS158" s="53"/>
      <c r="AT158" s="56"/>
      <c r="AU158" s="56"/>
      <c r="AV158" s="54"/>
      <c r="AW158" s="54"/>
      <c r="AX158" s="54"/>
      <c r="AY158" s="54"/>
      <c r="AZ158" s="53"/>
      <c r="BA158" s="53"/>
      <c r="BB158" s="54"/>
      <c r="BC158" s="54"/>
      <c r="BD158" s="54"/>
      <c r="BE158" s="54"/>
      <c r="BF158" s="54"/>
      <c r="BG158" s="54"/>
      <c r="BH158" s="54"/>
      <c r="BI158" s="54"/>
      <c r="BJ158" s="54"/>
      <c r="BK158" s="54"/>
      <c r="BL158" s="54"/>
      <c r="BM158" s="54"/>
      <c r="BN158" s="54"/>
      <c r="BO158" s="54"/>
      <c r="BP158" s="54"/>
      <c r="BQ158" s="53"/>
      <c r="BR158" s="53"/>
      <c r="BS158" s="54"/>
      <c r="BT158" s="54"/>
      <c r="BU158" s="68"/>
    </row>
    <row r="159" spans="2:73" x14ac:dyDescent="0.3">
      <c r="B159" s="2" t="s">
        <v>313</v>
      </c>
      <c r="C159" s="3" t="s">
        <v>314</v>
      </c>
      <c r="D159" s="63">
        <v>1.2994E-2</v>
      </c>
      <c r="E159" s="63">
        <f>Tabelle2[[#This Row],[BIP (mrd.)]]*1000000000/Tabelle2[[#This Row],[Bevölkerung]]</f>
        <v>0.68356554606597353</v>
      </c>
      <c r="F159" s="63">
        <v>0.45</v>
      </c>
      <c r="G159" s="53">
        <v>637660</v>
      </c>
      <c r="H159" s="63">
        <v>19009150</v>
      </c>
      <c r="I159" s="88"/>
      <c r="J159" s="88">
        <f>Tabelle2[[#This Row],[Strom (mrd.)]]*1000000000/Tabelle2[[#This Row],[Bevölkerung]]</f>
        <v>0</v>
      </c>
      <c r="K159" s="53"/>
      <c r="L159" s="53">
        <f>Tabelle2[[#This Row],[Wohnimmobilien Anzahl]]/Tabelle2[[#This Row],[Bevölkerung]]</f>
        <v>0</v>
      </c>
      <c r="M159" s="53">
        <f t="shared" si="83"/>
        <v>0</v>
      </c>
      <c r="N159" s="53" t="str">
        <f t="shared" si="76"/>
        <v/>
      </c>
      <c r="O159" s="53"/>
      <c r="P159" s="53"/>
      <c r="Q159" s="53">
        <f>1000000*Tabelle2[[#This Row],[Bevölkerung]]*EXP(-17.8941+0.2965*LN((Tabelle2[[#This Row],[BIP (mrd.)]]*1000000000)/Tabelle2[[#This Row],[Bevölkerung]]))</f>
        <v>287518.72103828075</v>
      </c>
      <c r="R159" s="53" t="str">
        <f t="shared" si="77"/>
        <v/>
      </c>
      <c r="S159" s="53" t="str">
        <f t="shared" si="78"/>
        <v/>
      </c>
      <c r="T159" s="53">
        <f>1000000*Tabelle2[[#This Row],[Bevölkerung]]*EXP(-14.22+0.2263*LN((Tabelle2[[#This Row],[BIP (mrd.)]]*1000000000)/Tabelle2[[#This Row],[Bevölkerung]]))</f>
        <v>11638738.654515399</v>
      </c>
      <c r="U159" s="53" t="str">
        <f t="shared" si="79"/>
        <v/>
      </c>
      <c r="V159" s="53" t="str">
        <f t="shared" si="80"/>
        <v/>
      </c>
      <c r="W159" s="54"/>
      <c r="X159" s="54"/>
      <c r="Y159" s="54" t="str">
        <f t="shared" si="84"/>
        <v/>
      </c>
      <c r="Z159" s="54" t="str">
        <f t="shared" si="85"/>
        <v/>
      </c>
      <c r="AA159" s="54"/>
      <c r="AB159" s="54"/>
      <c r="AC159" s="54"/>
      <c r="AD159" s="54"/>
      <c r="AE159" s="54"/>
      <c r="AF159" s="54"/>
      <c r="AG159" s="54"/>
      <c r="AH159" s="54"/>
      <c r="AI159" s="54">
        <v>0</v>
      </c>
      <c r="AJ159" s="54"/>
      <c r="AK159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428379.9117936226</v>
      </c>
      <c r="AL159" s="54" t="str">
        <f t="shared" si="81"/>
        <v/>
      </c>
      <c r="AM159" s="89" t="str">
        <f t="shared" si="82"/>
        <v/>
      </c>
      <c r="AN159" s="91"/>
      <c r="AO159" s="54"/>
      <c r="AP159" s="53"/>
      <c r="AQ159" s="53"/>
      <c r="AR159" s="53"/>
      <c r="AS159" s="53"/>
      <c r="AT159" s="54"/>
      <c r="AU159" s="54"/>
      <c r="AV159" s="54"/>
      <c r="AW159" s="54"/>
      <c r="AX159" s="54"/>
      <c r="AY159" s="54"/>
      <c r="AZ159" s="53"/>
      <c r="BA159" s="53"/>
      <c r="BB159" s="54"/>
      <c r="BC159" s="54"/>
      <c r="BD159" s="54"/>
      <c r="BE159" s="54"/>
      <c r="BF159" s="54"/>
      <c r="BG159" s="54"/>
      <c r="BH159" s="54"/>
      <c r="BI159" s="54"/>
      <c r="BJ159" s="54"/>
      <c r="BK159" s="54"/>
      <c r="BL159" s="54"/>
      <c r="BM159" s="54"/>
      <c r="BN159" s="54"/>
      <c r="BO159" s="54"/>
      <c r="BP159" s="54"/>
      <c r="BQ159" s="53"/>
      <c r="BR159" s="53"/>
      <c r="BS159" s="54"/>
      <c r="BT159" s="54"/>
      <c r="BU159" s="68"/>
    </row>
    <row r="160" spans="2:73" x14ac:dyDescent="0.3">
      <c r="B160" s="13" t="s">
        <v>315</v>
      </c>
      <c r="C160" s="14" t="s">
        <v>316</v>
      </c>
      <c r="D160" s="63">
        <v>1799.511</v>
      </c>
      <c r="E160" s="63">
        <f>Tabelle2[[#This Row],[BIP (mrd.)]]*1000000000/Tabelle2[[#This Row],[Bevölkerung]]</f>
        <v>36869.83093047452</v>
      </c>
      <c r="F160" s="63">
        <v>0.80300000000000005</v>
      </c>
      <c r="G160" s="53">
        <v>505976</v>
      </c>
      <c r="H160" s="63">
        <v>48807140</v>
      </c>
      <c r="I160" s="88">
        <v>227.18700000000001</v>
      </c>
      <c r="J160" s="88">
        <f>Tabelle2[[#This Row],[Strom (mrd.)]]*1000000000/Tabelle2[[#This Row],[Bevölkerung]]</f>
        <v>4654.7902622444171</v>
      </c>
      <c r="K160" s="53">
        <v>8820000</v>
      </c>
      <c r="L160" s="53">
        <f>1000000*Tabelle2[[#This Row],[Bevölkerung]]*EXP(-15.4183+0.052*LN((Tabelle2[[#This Row],[BIP (mrd.)]]*1000000000)/Tabelle2[[#This Row],[Bevölkerung]]))</f>
        <v>16977261.920835469</v>
      </c>
      <c r="M160" s="53">
        <f>IF(AND(ISNUMBER(K160), ISNUMBER(L160)), K160-L160, "")</f>
        <v>-8157261.9208354689</v>
      </c>
      <c r="N160" s="65">
        <f t="shared" si="76"/>
        <v>0.92485962821263823</v>
      </c>
      <c r="O160" s="53"/>
      <c r="P160" s="53"/>
      <c r="Q160" s="53">
        <f>1000000*Tabelle2[[#This Row],[Bevölkerung]]*EXP(-17.8941+0.2965*LN((Tabelle2[[#This Row],[BIP (mrd.)]]*1000000000)/Tabelle2[[#This Row],[Bevölkerung]]))</f>
        <v>18672069.956276201</v>
      </c>
      <c r="R160" s="53" t="str">
        <f t="shared" si="77"/>
        <v/>
      </c>
      <c r="S160" s="53" t="str">
        <f t="shared" si="78"/>
        <v/>
      </c>
      <c r="T160" s="53">
        <f>1000000*Tabelle2[[#This Row],[Bevölkerung]]*EXP(-14.22+0.2263*LN((Tabelle2[[#This Row],[BIP (mrd.)]]*1000000000)/Tabelle2[[#This Row],[Bevölkerung]]))</f>
        <v>351765714.06206381</v>
      </c>
      <c r="U160" s="53" t="str">
        <f t="shared" si="79"/>
        <v/>
      </c>
      <c r="V160" s="53" t="str">
        <f t="shared" si="80"/>
        <v/>
      </c>
      <c r="W160" s="54"/>
      <c r="X160" s="53">
        <f>1000000*Tabelle2[[#This Row],[Bevölkerung]]*EXP(-17.9119+0.2965*LN((Tabelle2[[#This Row],[BIP (mrd.)]]*1000000000)/Tabelle2[[#This Row],[Bevölkerung]]))</f>
        <v>18342647.667227637</v>
      </c>
      <c r="Y160" s="53" t="str">
        <f t="shared" si="84"/>
        <v/>
      </c>
      <c r="Z160" s="65" t="str">
        <f t="shared" si="85"/>
        <v/>
      </c>
      <c r="AA160" s="54"/>
      <c r="AB160" s="54"/>
      <c r="AC160" s="54"/>
      <c r="AD160" s="54"/>
      <c r="AE160" s="54"/>
      <c r="AF160" s="54"/>
      <c r="AG160" s="54"/>
      <c r="AH160" s="54">
        <v>1</v>
      </c>
      <c r="AI160" s="54" t="s">
        <v>989</v>
      </c>
      <c r="AJ160" s="54">
        <v>18539223</v>
      </c>
      <c r="AK160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21302142.892536171</v>
      </c>
      <c r="AL160" s="54">
        <f t="shared" si="81"/>
        <v>-2762919.8925361708</v>
      </c>
      <c r="AM160" s="89">
        <f t="shared" si="82"/>
        <v>0.14903105122238244</v>
      </c>
      <c r="AN160" s="91">
        <f t="shared" si="89"/>
        <v>0.14903105122238244</v>
      </c>
      <c r="AO160" s="54"/>
      <c r="AP160" s="53"/>
      <c r="AQ160" s="53"/>
      <c r="AR160" s="53"/>
      <c r="AS160" s="53"/>
      <c r="AT160" s="54"/>
      <c r="AU160" s="54"/>
      <c r="AV160" s="54"/>
      <c r="AW160" s="54"/>
      <c r="AX160" s="54"/>
      <c r="AY160" s="54"/>
      <c r="AZ160" s="53"/>
      <c r="BA160" s="53"/>
      <c r="BB160" s="54"/>
      <c r="BC160" s="54"/>
      <c r="BD160" s="54"/>
      <c r="BE160" s="54"/>
      <c r="BF160" s="54"/>
      <c r="BG160" s="54"/>
      <c r="BH160" s="54"/>
      <c r="BI160" s="54"/>
      <c r="BJ160" s="54"/>
      <c r="BK160" s="54"/>
      <c r="BL160" s="54"/>
      <c r="BM160" s="54"/>
      <c r="BN160" s="54"/>
      <c r="BO160" s="54"/>
      <c r="BP160" s="54"/>
      <c r="BQ160" s="53"/>
      <c r="BR160" s="53"/>
      <c r="BS160" s="54"/>
      <c r="BT160" s="54"/>
      <c r="BU160" s="68"/>
    </row>
    <row r="161" spans="1:73" x14ac:dyDescent="0.3">
      <c r="B161" s="24" t="s">
        <v>317</v>
      </c>
      <c r="C161" s="25" t="s">
        <v>318</v>
      </c>
      <c r="D161" s="63" t="s">
        <v>592</v>
      </c>
      <c r="E161" s="63" t="e">
        <f>Tabelle2[[#This Row],[BIP (mrd.)]]*1000000000/Tabelle2[[#This Row],[Bevölkerung]]</f>
        <v>#VALUE!</v>
      </c>
      <c r="F161" s="63">
        <v>0.185</v>
      </c>
      <c r="G161" s="53">
        <v>65610</v>
      </c>
      <c r="H161" s="63">
        <v>21916000</v>
      </c>
      <c r="I161" s="88"/>
      <c r="J161" s="88">
        <f>Tabelle2[[#This Row],[Strom (mrd.)]]*1000000000/Tabelle2[[#This Row],[Bevölkerung]]</f>
        <v>0</v>
      </c>
      <c r="K161" s="53"/>
      <c r="L161" s="53">
        <f>Tabelle2[[#This Row],[Wohnimmobilien Anzahl]]/Tabelle2[[#This Row],[Bevölkerung]]</f>
        <v>0</v>
      </c>
      <c r="M161" s="53">
        <f t="shared" si="83"/>
        <v>0</v>
      </c>
      <c r="N161" s="53" t="str">
        <f t="shared" si="76"/>
        <v/>
      </c>
      <c r="O161" s="53"/>
      <c r="P161" s="53"/>
      <c r="Q161" s="53" t="e">
        <f>1000000*Tabelle2[[#This Row],[Bevölkerung]]*EXP(-17.8941+0.2965*LN((Tabelle2[[#This Row],[BIP (mrd.)]]*1000000000)/Tabelle2[[#This Row],[Bevölkerung]]))</f>
        <v>#VALUE!</v>
      </c>
      <c r="R161" s="53" t="str">
        <f t="shared" si="77"/>
        <v/>
      </c>
      <c r="S161" s="53" t="str">
        <f t="shared" si="78"/>
        <v/>
      </c>
      <c r="T161" s="53" t="e">
        <f>1000000*Tabelle2[[#This Row],[Wohneinheiten Anzahl]]*EXP(-14.22+0.02263*LN((Tabelle2[[#This Row],[BIP (mrd.)]]*1000000000)/Tabelle2[[#This Row],[Bevölkerung]]))</f>
        <v>#VALUE!</v>
      </c>
      <c r="U161" s="53" t="str">
        <f t="shared" si="79"/>
        <v/>
      </c>
      <c r="V161" s="53" t="str">
        <f t="shared" si="80"/>
        <v/>
      </c>
      <c r="W161" s="54"/>
      <c r="X161" s="54"/>
      <c r="Y161" s="54" t="str">
        <f t="shared" si="84"/>
        <v/>
      </c>
      <c r="Z161" s="54" t="str">
        <f t="shared" si="85"/>
        <v/>
      </c>
      <c r="AA161" s="54"/>
      <c r="AB161" s="54"/>
      <c r="AC161" s="54"/>
      <c r="AD161" s="54"/>
      <c r="AE161" s="54"/>
      <c r="AF161" s="54"/>
      <c r="AG161" s="54"/>
      <c r="AH161" s="54"/>
      <c r="AI161" s="54">
        <v>0</v>
      </c>
      <c r="AJ161" s="54"/>
      <c r="AK161" s="80" t="e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#VALUE!</v>
      </c>
      <c r="AL161" s="54" t="str">
        <f t="shared" si="81"/>
        <v/>
      </c>
      <c r="AM161" s="89" t="str">
        <f t="shared" si="82"/>
        <v/>
      </c>
      <c r="AN161" s="91"/>
      <c r="AO161" s="54"/>
      <c r="AP161" s="53"/>
      <c r="AQ161" s="53"/>
      <c r="AR161" s="53"/>
      <c r="AS161" s="53"/>
      <c r="AT161" s="54"/>
      <c r="AU161" s="54"/>
      <c r="AV161" s="54"/>
      <c r="AW161" s="54"/>
      <c r="AX161" s="54"/>
      <c r="AY161" s="54"/>
      <c r="AZ161" s="53"/>
      <c r="BA161" s="53"/>
      <c r="BB161" s="54"/>
      <c r="BC161" s="54"/>
      <c r="BD161" s="54"/>
      <c r="BE161" s="54"/>
      <c r="BF161" s="54"/>
      <c r="BG161" s="54"/>
      <c r="BH161" s="54"/>
      <c r="BI161" s="54"/>
      <c r="BJ161" s="54"/>
      <c r="BK161" s="54"/>
      <c r="BL161" s="54"/>
      <c r="BM161" s="54"/>
      <c r="BN161" s="54"/>
      <c r="BO161" s="54"/>
      <c r="BP161" s="54"/>
      <c r="BQ161" s="53"/>
      <c r="BR161" s="53"/>
      <c r="BS161" s="54"/>
      <c r="BT161" s="54"/>
      <c r="BU161" s="68"/>
    </row>
    <row r="162" spans="1:73" x14ac:dyDescent="0.3">
      <c r="B162" s="2" t="s">
        <v>319</v>
      </c>
      <c r="C162" s="3" t="s">
        <v>320</v>
      </c>
      <c r="D162" s="63">
        <v>1.129E-3</v>
      </c>
      <c r="E162" s="63">
        <f>Tabelle2[[#This Row],[BIP (mrd.)]]*1000000000/Tabelle2[[#This Row],[Bevölkerung]]</f>
        <v>24.103330486763451</v>
      </c>
      <c r="F162" s="63">
        <v>0.308</v>
      </c>
      <c r="G162" s="53">
        <v>260</v>
      </c>
      <c r="H162" s="63">
        <v>46840</v>
      </c>
      <c r="I162" s="88"/>
      <c r="J162" s="88">
        <f>Tabelle2[[#This Row],[Strom (mrd.)]]*1000000000/Tabelle2[[#This Row],[Bevölkerung]]</f>
        <v>0</v>
      </c>
      <c r="K162" s="53"/>
      <c r="L162" s="53">
        <f>Tabelle2[[#This Row],[Wohnimmobilien Anzahl]]/Tabelle2[[#This Row],[Bevölkerung]]</f>
        <v>0</v>
      </c>
      <c r="M162" s="53">
        <f t="shared" ref="M162:M191" si="91">L162-K162</f>
        <v>0</v>
      </c>
      <c r="N162" s="53" t="str">
        <f t="shared" ref="N162:N198" si="92">IF(OR(K162=0,K162=""),"",(L162 - K162)/K162)</f>
        <v/>
      </c>
      <c r="O162" s="53"/>
      <c r="P162" s="53"/>
      <c r="Q162" s="53">
        <f>1000000*Tabelle2[[#This Row],[Bevölkerung]]*EXP(-17.8941+0.2965*LN((Tabelle2[[#This Row],[BIP (mrd.)]]*1000000000)/Tabelle2[[#This Row],[Bevölkerung]]))</f>
        <v>2037.482300514012</v>
      </c>
      <c r="R162" s="53" t="str">
        <f t="shared" ref="R162:R193" si="93">IF(AND(ISNUMBER(P162), ISNUMBER(Q162)), P162-Q162, "")</f>
        <v/>
      </c>
      <c r="S162" s="53" t="str">
        <f t="shared" ref="S162:S198" si="94">IF(OR(P162=0,P162=""),"",(Q162 - P162)/P162)</f>
        <v/>
      </c>
      <c r="T162" s="53">
        <f>1000000*Tabelle2[[#This Row],[Bevölkerung]]*EXP(-14.22+0.2263*LN((Tabelle2[[#This Row],[BIP (mrd.)]]*1000000000)/Tabelle2[[#This Row],[Bevölkerung]]))</f>
        <v>64226.372146485897</v>
      </c>
      <c r="U162" s="53" t="str">
        <f t="shared" ref="U162:U193" si="95">IF(AND(ISNUMBER(P162), ISNUMBER(T162)), P162-T162, "")</f>
        <v/>
      </c>
      <c r="V162" s="53" t="str">
        <f t="shared" ref="V162:V198" si="96">IF(OR(P162=0,P162=""),"",(T162 - P162)/P162)</f>
        <v/>
      </c>
      <c r="W162" s="54"/>
      <c r="X162" s="54"/>
      <c r="Y162" s="54" t="str">
        <f t="shared" ref="Y162:Y193" si="97">IF(AND(ISNUMBER(W162), ISNUMBER(X162)), W162-X162, "")</f>
        <v/>
      </c>
      <c r="Z162" s="54" t="str">
        <f t="shared" ref="Z162:Z198" si="98">IF(OR(W162=0,W162=""),"",(X162 - W162)/W162)</f>
        <v/>
      </c>
      <c r="AA162" s="54"/>
      <c r="AB162" s="54"/>
      <c r="AC162" s="54"/>
      <c r="AD162" s="54"/>
      <c r="AE162" s="54"/>
      <c r="AF162" s="54"/>
      <c r="AG162" s="54"/>
      <c r="AH162" s="54"/>
      <c r="AI162" s="54">
        <v>0</v>
      </c>
      <c r="AJ162" s="54"/>
      <c r="AK162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2782.7158220991932</v>
      </c>
      <c r="AL162" s="54" t="str">
        <f t="shared" ref="AL162:AL193" si="99">IF(AND(ISNUMBER(AJ162), ISNUMBER(AK162)), AJ162-AK162, "")</f>
        <v/>
      </c>
      <c r="AM162" s="89" t="str">
        <f t="shared" ref="AM162:AM198" si="100">IF(OR(AJ162=0,AJ162=""),"",(AK162 - AJ162)/AJ162)</f>
        <v/>
      </c>
      <c r="AN162" s="91"/>
      <c r="AO162" s="54"/>
      <c r="AP162" s="53"/>
      <c r="AQ162" s="53"/>
      <c r="AR162" s="53"/>
      <c r="AS162" s="53"/>
      <c r="AT162" s="54"/>
      <c r="AU162" s="54"/>
      <c r="AV162" s="54"/>
      <c r="AW162" s="54"/>
      <c r="AX162" s="54"/>
      <c r="AY162" s="54"/>
      <c r="AZ162" s="53"/>
      <c r="BA162" s="53"/>
      <c r="BB162" s="54"/>
      <c r="BC162" s="54"/>
      <c r="BD162" s="54"/>
      <c r="BE162" s="54"/>
      <c r="BF162" s="54"/>
      <c r="BG162" s="54"/>
      <c r="BH162" s="54"/>
      <c r="BI162" s="54"/>
      <c r="BJ162" s="54"/>
      <c r="BK162" s="54"/>
      <c r="BL162" s="54"/>
      <c r="BM162" s="54"/>
      <c r="BN162" s="54"/>
      <c r="BO162" s="54"/>
      <c r="BP162" s="54"/>
      <c r="BQ162" s="53"/>
      <c r="BR162" s="53"/>
      <c r="BS162" s="54"/>
      <c r="BT162" s="54"/>
      <c r="BU162" s="68"/>
    </row>
    <row r="163" spans="1:73" x14ac:dyDescent="0.3">
      <c r="B163" s="2" t="s">
        <v>321</v>
      </c>
      <c r="C163" s="3" t="s">
        <v>322</v>
      </c>
      <c r="D163" s="63">
        <v>2.6320000000000001</v>
      </c>
      <c r="E163" s="63">
        <f>Tabelle2[[#This Row],[BIP (mrd.)]]*1000000000/Tabelle2[[#This Row],[Bevölkerung]]</f>
        <v>14643.373762100813</v>
      </c>
      <c r="F163" s="63">
        <v>0.187</v>
      </c>
      <c r="G163" s="53">
        <v>620</v>
      </c>
      <c r="H163" s="63">
        <v>179740</v>
      </c>
      <c r="I163" s="88">
        <v>0.365178</v>
      </c>
      <c r="J163" s="88">
        <f>Tabelle2[[#This Row],[Strom (mrd.)]]*1000000000/Tabelle2[[#This Row],[Bevölkerung]]</f>
        <v>2031.7013463892288</v>
      </c>
      <c r="K163" s="87"/>
      <c r="L163" s="87">
        <f>1000000*Tabelle2[[#This Row],[Bevölkerung]]*EXP(-15.4183+0.052*LN((Tabelle2[[#This Row],[BIP (mrd.)]]*1000000000)/Tabelle2[[#This Row],[Bevölkerung]]))</f>
        <v>59590.285574667469</v>
      </c>
      <c r="M163" s="87" t="str">
        <f>IF(AND(ISNUMBER(K163), ISNUMBER(L163)), K163-L163, "")</f>
        <v/>
      </c>
      <c r="N163" s="92" t="str">
        <f t="shared" si="92"/>
        <v/>
      </c>
      <c r="O163" s="53"/>
      <c r="P163" s="53"/>
      <c r="Q163" s="53">
        <f>1000000*Tabelle2[[#This Row],[Bevölkerung]]*EXP(-17.8941+0.2965*LN((Tabelle2[[#This Row],[BIP (mrd.)]]*1000000000)/Tabelle2[[#This Row],[Bevölkerung]]))</f>
        <v>52293.588969994693</v>
      </c>
      <c r="R163" s="53" t="str">
        <f t="shared" si="93"/>
        <v/>
      </c>
      <c r="S163" s="53" t="str">
        <f t="shared" si="94"/>
        <v/>
      </c>
      <c r="T163" s="53">
        <f>1000000*Tabelle2[[#This Row],[Bevölkerung]]*EXP(-14.22+0.2263*LN((Tabelle2[[#This Row],[BIP (mrd.)]]*1000000000)/Tabelle2[[#This Row],[Bevölkerung]]))</f>
        <v>1051142.9851998177</v>
      </c>
      <c r="U163" s="53" t="str">
        <f t="shared" si="95"/>
        <v/>
      </c>
      <c r="V163" s="53" t="str">
        <f t="shared" si="96"/>
        <v/>
      </c>
      <c r="W163" s="87">
        <v>50889</v>
      </c>
      <c r="X163" s="87">
        <f>1000000*Tabelle2[[#This Row],[Bevölkerung]]*EXP(-15.6892+0.034*LN((Tabelle2[[#This Row],[BIP (mrd.)]]*1000000000)/Tabelle2[[#This Row],[Bevölkerung]]))</f>
        <v>38242.26009376828</v>
      </c>
      <c r="Y163" s="87">
        <f t="shared" si="97"/>
        <v>12646.73990623172</v>
      </c>
      <c r="Z163" s="92">
        <f t="shared" si="98"/>
        <v>-0.24851618043647389</v>
      </c>
      <c r="AA163" s="54"/>
      <c r="AB163" s="54"/>
      <c r="AC163" s="54"/>
      <c r="AD163" s="54"/>
      <c r="AE163" s="54"/>
      <c r="AF163" s="54"/>
      <c r="AG163" s="54"/>
      <c r="AH163" s="54">
        <v>0</v>
      </c>
      <c r="AI163" s="54" t="s">
        <v>988</v>
      </c>
      <c r="AJ163" s="54">
        <v>65951</v>
      </c>
      <c r="AK163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61024.594910514163</v>
      </c>
      <c r="AL163" s="54">
        <f t="shared" si="99"/>
        <v>4926.4050894858374</v>
      </c>
      <c r="AM163" s="89">
        <f t="shared" si="100"/>
        <v>-7.4697958931416314E-2</v>
      </c>
      <c r="AN163" s="91">
        <f t="shared" si="89"/>
        <v>7.4697958931416314E-2</v>
      </c>
      <c r="AO163" s="54"/>
      <c r="AP163" s="53"/>
      <c r="AQ163" s="53"/>
      <c r="AR163" s="53"/>
      <c r="AS163" s="53"/>
      <c r="AT163" s="54"/>
      <c r="AU163" s="54"/>
      <c r="AV163" s="54"/>
      <c r="AW163" s="54"/>
      <c r="AX163" s="54"/>
      <c r="AY163" s="54"/>
      <c r="AZ163" s="53"/>
      <c r="BA163" s="53"/>
      <c r="BB163" s="54"/>
      <c r="BC163" s="54"/>
      <c r="BD163" s="54"/>
      <c r="BE163" s="54"/>
      <c r="BF163" s="54"/>
      <c r="BG163" s="54"/>
      <c r="BH163" s="54"/>
      <c r="BI163" s="54"/>
      <c r="BJ163" s="54"/>
      <c r="BK163" s="54"/>
      <c r="BL163" s="54"/>
      <c r="BM163" s="54"/>
      <c r="BN163" s="54"/>
      <c r="BO163" s="54"/>
      <c r="BP163" s="54"/>
      <c r="BQ163" s="53"/>
      <c r="BR163" s="53"/>
      <c r="BS163" s="54"/>
      <c r="BT163" s="54"/>
      <c r="BU163" s="68"/>
    </row>
    <row r="164" spans="1:73" x14ac:dyDescent="0.3">
      <c r="B164" s="2" t="s">
        <v>323</v>
      </c>
      <c r="C164" s="3" t="s">
        <v>324</v>
      </c>
      <c r="D164" s="63">
        <v>1.242E-3</v>
      </c>
      <c r="E164" s="63">
        <f>Tabelle2[[#This Row],[BIP (mrd.)]]*1000000000/Tabelle2[[#This Row],[Bevölkerung]]</f>
        <v>12.343470483005367</v>
      </c>
      <c r="F164" s="63">
        <v>0.52200000000000002</v>
      </c>
      <c r="G164" s="53">
        <v>390</v>
      </c>
      <c r="H164" s="63">
        <v>100620</v>
      </c>
      <c r="I164" s="88"/>
      <c r="J164" s="88">
        <f>Tabelle2[[#This Row],[Strom (mrd.)]]*1000000000/Tabelle2[[#This Row],[Bevölkerung]]</f>
        <v>0</v>
      </c>
      <c r="K164" s="53"/>
      <c r="L164" s="53">
        <f>Tabelle2[[#This Row],[Wohnimmobilien Anzahl]]/Tabelle2[[#This Row],[Bevölkerung]]</f>
        <v>0</v>
      </c>
      <c r="M164" s="53">
        <f t="shared" si="91"/>
        <v>0</v>
      </c>
      <c r="N164" s="53" t="str">
        <f t="shared" si="92"/>
        <v/>
      </c>
      <c r="O164" s="53"/>
      <c r="P164" s="53"/>
      <c r="Q164" s="53">
        <f>1000000*Tabelle2[[#This Row],[Bevölkerung]]*EXP(-17.8941+0.2965*LN((Tabelle2[[#This Row],[BIP (mrd.)]]*1000000000)/Tabelle2[[#This Row],[Bevölkerung]]))</f>
        <v>3589.1084283068767</v>
      </c>
      <c r="R164" s="53" t="str">
        <f t="shared" si="93"/>
        <v/>
      </c>
      <c r="S164" s="53" t="str">
        <f t="shared" si="94"/>
        <v/>
      </c>
      <c r="T164" s="53">
        <f>1000000*Tabelle2[[#This Row],[Bevölkerung]]*EXP(-14.22+0.2263*LN((Tabelle2[[#This Row],[BIP (mrd.)]]*1000000000)/Tabelle2[[#This Row],[Bevölkerung]]))</f>
        <v>118579.34236339171</v>
      </c>
      <c r="U164" s="53" t="str">
        <f t="shared" si="95"/>
        <v/>
      </c>
      <c r="V164" s="53" t="str">
        <f t="shared" si="96"/>
        <v/>
      </c>
      <c r="W164" s="54"/>
      <c r="X164" s="54"/>
      <c r="Y164" s="54" t="str">
        <f t="shared" si="97"/>
        <v/>
      </c>
      <c r="Z164" s="54" t="str">
        <f t="shared" si="98"/>
        <v/>
      </c>
      <c r="AA164" s="54"/>
      <c r="AB164" s="54"/>
      <c r="AC164" s="54"/>
      <c r="AD164" s="54"/>
      <c r="AE164" s="54"/>
      <c r="AF164" s="54"/>
      <c r="AG164" s="54"/>
      <c r="AH164" s="54"/>
      <c r="AI164" s="54">
        <v>0</v>
      </c>
      <c r="AJ164" s="54"/>
      <c r="AK164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4982.3176362115892</v>
      </c>
      <c r="AL164" s="54" t="str">
        <f t="shared" si="99"/>
        <v/>
      </c>
      <c r="AM164" s="89" t="str">
        <f t="shared" si="100"/>
        <v/>
      </c>
      <c r="AN164" s="91"/>
      <c r="AO164" s="54"/>
      <c r="AP164" s="53"/>
      <c r="AQ164" s="53"/>
      <c r="AR164" s="53"/>
      <c r="AS164" s="53"/>
      <c r="AT164" s="54"/>
      <c r="AU164" s="54"/>
      <c r="AV164" s="54"/>
      <c r="AW164" s="54"/>
      <c r="AX164" s="54"/>
      <c r="AY164" s="54"/>
      <c r="AZ164" s="53"/>
      <c r="BA164" s="53"/>
      <c r="BB164" s="54"/>
      <c r="BC164" s="54"/>
      <c r="BD164" s="54"/>
      <c r="BE164" s="54"/>
      <c r="BF164" s="54"/>
      <c r="BG164" s="54"/>
      <c r="BH164" s="54"/>
      <c r="BI164" s="54"/>
      <c r="BJ164" s="54"/>
      <c r="BK164" s="54"/>
      <c r="BL164" s="54"/>
      <c r="BM164" s="54"/>
      <c r="BN164" s="54"/>
      <c r="BO164" s="54"/>
      <c r="BP164" s="54"/>
      <c r="BQ164" s="53"/>
      <c r="BR164" s="53"/>
      <c r="BS164" s="54"/>
      <c r="BT164" s="54"/>
      <c r="BU164" s="68"/>
    </row>
    <row r="165" spans="1:73" x14ac:dyDescent="0.3">
      <c r="B165" s="13" t="s">
        <v>325</v>
      </c>
      <c r="C165" s="14" t="s">
        <v>326</v>
      </c>
      <c r="D165" s="63">
        <v>410.33800000000002</v>
      </c>
      <c r="E165" s="63">
        <f>Tabelle2[[#This Row],[BIP (mrd.)]]*1000000000/Tabelle2[[#This Row],[Bevölkerung]]</f>
        <v>6410.8110354477367</v>
      </c>
      <c r="F165" s="63">
        <v>0.66400000000000003</v>
      </c>
      <c r="G165" s="53">
        <v>1219090</v>
      </c>
      <c r="H165" s="63">
        <v>64007190</v>
      </c>
      <c r="I165" s="88">
        <v>194.97800000000001</v>
      </c>
      <c r="J165" s="88">
        <f>Tabelle2[[#This Row],[Strom (mrd.)]]*1000000000/Tabelle2[[#This Row],[Bevölkerung]]</f>
        <v>3046.1890297011946</v>
      </c>
      <c r="K165" s="53"/>
      <c r="L165" s="53">
        <f>1000000*Tabelle2[[#This Row],[Bevölkerung]]*EXP(-15.4183+0.052*LN((Tabelle2[[#This Row],[BIP (mrd.)]]*1000000000)/Tabelle2[[#This Row],[Bevölkerung]]))</f>
        <v>20328513.660656516</v>
      </c>
      <c r="M165" s="53" t="str">
        <f>IF(AND(ISNUMBER(K165), ISNUMBER(L165)), K165-L165, "")</f>
        <v/>
      </c>
      <c r="N165" s="65" t="str">
        <f t="shared" si="92"/>
        <v/>
      </c>
      <c r="O165" s="53"/>
      <c r="P165" s="53"/>
      <c r="Q165" s="53">
        <f>1000000*Tabelle2[[#This Row],[Bevölkerung]]*EXP(-17.8941+0.2965*LN((Tabelle2[[#This Row],[BIP (mrd.)]]*1000000000)/Tabelle2[[#This Row],[Bevölkerung]]))</f>
        <v>14577047.542711867</v>
      </c>
      <c r="R165" s="53" t="str">
        <f t="shared" si="93"/>
        <v/>
      </c>
      <c r="S165" s="53" t="str">
        <f t="shared" si="94"/>
        <v/>
      </c>
      <c r="T165" s="53">
        <f>1000000*Tabelle2[[#This Row],[Bevölkerung]]*EXP(-14.22+0.2263*LN((Tabelle2[[#This Row],[BIP (mrd.)]]*1000000000)/Tabelle2[[#This Row],[Bevölkerung]]))</f>
        <v>310502881.82357794</v>
      </c>
      <c r="U165" s="53" t="str">
        <f t="shared" si="95"/>
        <v/>
      </c>
      <c r="V165" s="53" t="str">
        <f t="shared" si="96"/>
        <v/>
      </c>
      <c r="W165" s="54"/>
      <c r="X165" s="53">
        <f>1000000*Tabelle2[[#This Row],[Bevölkerung]]*EXP(-17.9119+0.2965*LN((Tabelle2[[#This Row],[BIP (mrd.)]]*1000000000)/Tabelle2[[#This Row],[Bevölkerung]]))</f>
        <v>14319871.751257863</v>
      </c>
      <c r="Y165" s="53" t="str">
        <f t="shared" si="97"/>
        <v/>
      </c>
      <c r="Z165" s="65" t="str">
        <f t="shared" si="98"/>
        <v/>
      </c>
      <c r="AA165" s="54"/>
      <c r="AB165" s="54"/>
      <c r="AC165" s="54"/>
      <c r="AD165" s="54"/>
      <c r="AE165" s="54"/>
      <c r="AF165" s="54"/>
      <c r="AG165" s="54"/>
      <c r="AH165" s="54">
        <v>0</v>
      </c>
      <c r="AI165" s="54">
        <v>0</v>
      </c>
      <c r="AJ165" s="54">
        <v>18562085</v>
      </c>
      <c r="AK165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17358591.084017448</v>
      </c>
      <c r="AL165" s="54">
        <f t="shared" si="99"/>
        <v>1203493.9159825519</v>
      </c>
      <c r="AM165" s="89">
        <f t="shared" si="100"/>
        <v>-6.4836138611721258E-2</v>
      </c>
      <c r="AN165" s="91">
        <f t="shared" si="89"/>
        <v>6.4836138611721258E-2</v>
      </c>
      <c r="AO165" s="54"/>
      <c r="AP165" s="53"/>
      <c r="AQ165" s="53"/>
      <c r="AR165" s="53"/>
      <c r="AS165" s="53"/>
      <c r="AT165" s="54"/>
      <c r="AU165" s="54"/>
      <c r="AV165" s="54"/>
      <c r="AW165" s="54"/>
      <c r="AX165" s="54"/>
      <c r="AY165" s="54"/>
      <c r="AZ165" s="53"/>
      <c r="BA165" s="53"/>
      <c r="BB165" s="54"/>
      <c r="BC165" s="54"/>
      <c r="BD165" s="54"/>
      <c r="BE165" s="54"/>
      <c r="BF165" s="54"/>
      <c r="BG165" s="54"/>
      <c r="BH165" s="54"/>
      <c r="BI165" s="54"/>
      <c r="BJ165" s="54"/>
      <c r="BK165" s="54"/>
      <c r="BL165" s="54"/>
      <c r="BM165" s="54"/>
      <c r="BN165" s="54"/>
      <c r="BO165" s="54"/>
      <c r="BP165" s="54"/>
      <c r="BQ165" s="53"/>
      <c r="BR165" s="53"/>
      <c r="BS165" s="54"/>
      <c r="BT165" s="54"/>
      <c r="BU165" s="68"/>
    </row>
    <row r="166" spans="1:73" x14ac:dyDescent="0.3">
      <c r="B166" s="2" t="s">
        <v>327</v>
      </c>
      <c r="C166" s="3" t="s">
        <v>328</v>
      </c>
      <c r="D166" s="63">
        <v>3.1505999999999999E-2</v>
      </c>
      <c r="E166" s="63">
        <f>Tabelle2[[#This Row],[BIP (mrd.)]]*1000000000/Tabelle2[[#This Row],[Bevölkerung]]</f>
        <v>0.62451237845140906</v>
      </c>
      <c r="F166" s="63">
        <v>0.34599999999999997</v>
      </c>
      <c r="G166" s="53">
        <v>1878000</v>
      </c>
      <c r="H166" s="63">
        <v>50448960</v>
      </c>
      <c r="I166" s="88"/>
      <c r="J166" s="88">
        <f>Tabelle2[[#This Row],[Strom (mrd.)]]*1000000000/Tabelle2[[#This Row],[Bevölkerung]]</f>
        <v>0</v>
      </c>
      <c r="K166" s="53"/>
      <c r="L166" s="53">
        <f>Tabelle2[[#This Row],[Wohnimmobilien Anzahl]]/Tabelle2[[#This Row],[Bevölkerung]]</f>
        <v>0</v>
      </c>
      <c r="M166" s="53">
        <f t="shared" si="91"/>
        <v>0</v>
      </c>
      <c r="N166" s="53" t="str">
        <f t="shared" si="92"/>
        <v/>
      </c>
      <c r="O166" s="53"/>
      <c r="P166" s="53"/>
      <c r="Q166" s="53">
        <f>1000000*Tabelle2[[#This Row],[Bevölkerung]]*EXP(-17.8941+0.2965*LN((Tabelle2[[#This Row],[BIP (mrd.)]]*1000000000)/Tabelle2[[#This Row],[Bevölkerung]]))</f>
        <v>742884.42072184151</v>
      </c>
      <c r="R166" s="53" t="str">
        <f t="shared" si="93"/>
        <v/>
      </c>
      <c r="S166" s="53" t="str">
        <f t="shared" si="94"/>
        <v/>
      </c>
      <c r="T166" s="53">
        <f>1000000*Tabelle2[[#This Row],[Bevölkerung]]*EXP(-14.22+0.2263*LN((Tabelle2[[#This Row],[BIP (mrd.)]]*1000000000)/Tabelle2[[#This Row],[Bevölkerung]]))</f>
        <v>30263254.138736911</v>
      </c>
      <c r="U166" s="53" t="str">
        <f t="shared" si="95"/>
        <v/>
      </c>
      <c r="V166" s="53" t="str">
        <f t="shared" si="96"/>
        <v/>
      </c>
      <c r="W166" s="54"/>
      <c r="X166" s="54"/>
      <c r="Y166" s="54" t="str">
        <f t="shared" si="97"/>
        <v/>
      </c>
      <c r="Z166" s="54" t="str">
        <f t="shared" si="98"/>
        <v/>
      </c>
      <c r="AA166" s="54"/>
      <c r="AB166" s="54"/>
      <c r="AC166" s="54"/>
      <c r="AD166" s="54"/>
      <c r="AE166" s="54"/>
      <c r="AF166" s="54"/>
      <c r="AG166" s="54"/>
      <c r="AH166" s="54"/>
      <c r="AI166" s="54">
        <v>0</v>
      </c>
      <c r="AJ166" s="54"/>
      <c r="AK166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1109289.9377176743</v>
      </c>
      <c r="AL166" s="54" t="str">
        <f t="shared" si="99"/>
        <v/>
      </c>
      <c r="AM166" s="89" t="str">
        <f t="shared" si="100"/>
        <v/>
      </c>
      <c r="AN166" s="91"/>
      <c r="AO166" s="54"/>
      <c r="AP166" s="53"/>
      <c r="AQ166" s="53"/>
      <c r="AR166" s="53"/>
      <c r="AS166" s="53"/>
      <c r="AT166" s="54"/>
      <c r="AU166" s="54"/>
      <c r="AV166" s="54"/>
      <c r="AW166" s="54"/>
      <c r="AX166" s="54"/>
      <c r="AY166" s="54"/>
      <c r="AZ166" s="53"/>
      <c r="BA166" s="53"/>
      <c r="BB166" s="54"/>
      <c r="BC166" s="54"/>
      <c r="BD166" s="54"/>
      <c r="BE166" s="54"/>
      <c r="BF166" s="54"/>
      <c r="BG166" s="54"/>
      <c r="BH166" s="54"/>
      <c r="BI166" s="54"/>
      <c r="BJ166" s="54"/>
      <c r="BK166" s="54"/>
      <c r="BL166" s="54"/>
      <c r="BM166" s="54"/>
      <c r="BN166" s="54"/>
      <c r="BO166" s="54"/>
      <c r="BP166" s="54"/>
      <c r="BQ166" s="53"/>
      <c r="BR166" s="53"/>
      <c r="BS166" s="54"/>
      <c r="BT166" s="54"/>
      <c r="BU166" s="68"/>
    </row>
    <row r="167" spans="1:73" x14ac:dyDescent="0.3">
      <c r="B167" s="2" t="s">
        <v>329</v>
      </c>
      <c r="C167" s="3" t="s">
        <v>330</v>
      </c>
      <c r="D167" s="63">
        <v>4.5060000000000005E-3</v>
      </c>
      <c r="E167" s="63">
        <f>Tabelle2[[#This Row],[BIP (mrd.)]]*1000000000/Tabelle2[[#This Row],[Bevölkerung]]</f>
        <v>7.1024384092807713</v>
      </c>
      <c r="F167" s="63">
        <v>0.66100000000000003</v>
      </c>
      <c r="G167" s="53">
        <v>163820</v>
      </c>
      <c r="H167" s="63">
        <v>634430</v>
      </c>
      <c r="I167" s="88"/>
      <c r="J167" s="88">
        <f>Tabelle2[[#This Row],[Strom (mrd.)]]*1000000000/Tabelle2[[#This Row],[Bevölkerung]]</f>
        <v>0</v>
      </c>
      <c r="K167" s="53"/>
      <c r="L167" s="53">
        <f>Tabelle2[[#This Row],[Wohnimmobilien Anzahl]]/Tabelle2[[#This Row],[Bevölkerung]]</f>
        <v>0</v>
      </c>
      <c r="M167" s="53">
        <f t="shared" si="91"/>
        <v>0</v>
      </c>
      <c r="N167" s="53" t="str">
        <f t="shared" si="92"/>
        <v/>
      </c>
      <c r="O167" s="53"/>
      <c r="P167" s="53"/>
      <c r="Q167" s="53">
        <f>1000000*Tabelle2[[#This Row],[Bevölkerung]]*EXP(-17.8941+0.2965*LN((Tabelle2[[#This Row],[BIP (mrd.)]]*1000000000)/Tabelle2[[#This Row],[Bevölkerung]]))</f>
        <v>19209.547696202037</v>
      </c>
      <c r="R167" s="53" t="str">
        <f t="shared" si="93"/>
        <v/>
      </c>
      <c r="S167" s="53" t="str">
        <f t="shared" si="94"/>
        <v/>
      </c>
      <c r="T167" s="53">
        <f>1000000*Tabelle2[[#This Row],[Bevölkerung]]*EXP(-14.22+0.2263*LN((Tabelle2[[#This Row],[BIP (mrd.)]]*1000000000)/Tabelle2[[#This Row],[Bevölkerung]]))</f>
        <v>659765.63418202777</v>
      </c>
      <c r="U167" s="53" t="str">
        <f t="shared" si="95"/>
        <v/>
      </c>
      <c r="V167" s="53" t="str">
        <f t="shared" si="96"/>
        <v/>
      </c>
      <c r="W167" s="54"/>
      <c r="X167" s="54"/>
      <c r="Y167" s="54" t="str">
        <f t="shared" si="97"/>
        <v/>
      </c>
      <c r="Z167" s="54" t="str">
        <f t="shared" si="98"/>
        <v/>
      </c>
      <c r="AA167" s="54"/>
      <c r="AB167" s="54"/>
      <c r="AC167" s="54"/>
      <c r="AD167" s="54"/>
      <c r="AE167" s="54"/>
      <c r="AF167" s="54"/>
      <c r="AG167" s="54"/>
      <c r="AH167" s="54"/>
      <c r="AI167" s="54">
        <v>0</v>
      </c>
      <c r="AJ167" s="54"/>
      <c r="AK167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27026.220436216263</v>
      </c>
      <c r="AL167" s="54" t="str">
        <f t="shared" si="99"/>
        <v/>
      </c>
      <c r="AM167" s="89" t="str">
        <f t="shared" si="100"/>
        <v/>
      </c>
      <c r="AN167" s="91"/>
      <c r="AO167" s="54"/>
      <c r="AP167" s="53"/>
      <c r="AQ167" s="53"/>
      <c r="AR167" s="53"/>
      <c r="AS167" s="53"/>
      <c r="AT167" s="54"/>
      <c r="AU167" s="54"/>
      <c r="AV167" s="54"/>
      <c r="AW167" s="54"/>
      <c r="AX167" s="54"/>
      <c r="AY167" s="54"/>
      <c r="AZ167" s="53"/>
      <c r="BA167" s="53"/>
      <c r="BB167" s="54"/>
      <c r="BC167" s="54"/>
      <c r="BD167" s="54"/>
      <c r="BE167" s="54"/>
      <c r="BF167" s="54"/>
      <c r="BG167" s="54"/>
      <c r="BH167" s="54"/>
      <c r="BI167" s="54"/>
      <c r="BJ167" s="54"/>
      <c r="BK167" s="54"/>
      <c r="BL167" s="54"/>
      <c r="BM167" s="54"/>
      <c r="BN167" s="54"/>
      <c r="BO167" s="54"/>
      <c r="BP167" s="54"/>
      <c r="BQ167" s="53"/>
      <c r="BR167" s="53"/>
      <c r="BS167" s="54"/>
      <c r="BT167" s="54"/>
      <c r="BU167" s="68"/>
    </row>
    <row r="168" spans="1:73" x14ac:dyDescent="0.3">
      <c r="B168" s="2" t="s">
        <v>331</v>
      </c>
      <c r="C168" s="3" t="s">
        <v>332</v>
      </c>
      <c r="D168" s="63">
        <v>5.483E-3</v>
      </c>
      <c r="E168" s="63">
        <f>Tabelle2[[#This Row],[BIP (mrd.)]]*1000000000/Tabelle2[[#This Row],[Bevölkerung]]</f>
        <v>4.4117410405368434</v>
      </c>
      <c r="F168" s="63">
        <v>0.23799999999999999</v>
      </c>
      <c r="G168" s="53">
        <v>17360</v>
      </c>
      <c r="H168" s="63">
        <v>1242820</v>
      </c>
      <c r="I168" s="88"/>
      <c r="J168" s="88">
        <f>Tabelle2[[#This Row],[Strom (mrd.)]]*1000000000/Tabelle2[[#This Row],[Bevölkerung]]</f>
        <v>0</v>
      </c>
      <c r="K168" s="53"/>
      <c r="L168" s="53">
        <f>Tabelle2[[#This Row],[Wohnimmobilien Anzahl]]/Tabelle2[[#This Row],[Bevölkerung]]</f>
        <v>0</v>
      </c>
      <c r="M168" s="53">
        <f t="shared" si="91"/>
        <v>0</v>
      </c>
      <c r="N168" s="53" t="str">
        <f t="shared" si="92"/>
        <v/>
      </c>
      <c r="O168" s="53"/>
      <c r="P168" s="53"/>
      <c r="Q168" s="53">
        <f>1000000*Tabelle2[[#This Row],[Bevölkerung]]*EXP(-17.8941+0.2965*LN((Tabelle2[[#This Row],[BIP (mrd.)]]*1000000000)/Tabelle2[[#This Row],[Bevölkerung]]))</f>
        <v>32675.798822511519</v>
      </c>
      <c r="R168" s="53" t="str">
        <f t="shared" si="93"/>
        <v/>
      </c>
      <c r="S168" s="53" t="str">
        <f t="shared" si="94"/>
        <v/>
      </c>
      <c r="T168" s="53">
        <f>1000000*Tabelle2[[#This Row],[Bevölkerung]]*EXP(-14.22+0.2263*LN((Tabelle2[[#This Row],[BIP (mrd.)]]*1000000000)/Tabelle2[[#This Row],[Bevölkerung]]))</f>
        <v>1160421.9807654084</v>
      </c>
      <c r="U168" s="53" t="str">
        <f t="shared" si="95"/>
        <v/>
      </c>
      <c r="V168" s="53" t="str">
        <f t="shared" si="96"/>
        <v/>
      </c>
      <c r="W168" s="54"/>
      <c r="X168" s="54"/>
      <c r="Y168" s="54" t="str">
        <f t="shared" si="97"/>
        <v/>
      </c>
      <c r="Z168" s="54" t="str">
        <f t="shared" si="98"/>
        <v/>
      </c>
      <c r="AA168" s="54"/>
      <c r="AB168" s="54"/>
      <c r="AC168" s="54"/>
      <c r="AD168" s="54"/>
      <c r="AE168" s="54"/>
      <c r="AF168" s="54"/>
      <c r="AG168" s="54"/>
      <c r="AH168" s="54"/>
      <c r="AI168" s="54">
        <v>0</v>
      </c>
      <c r="AJ168" s="54"/>
      <c r="AK168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46510.897050903201</v>
      </c>
      <c r="AL168" s="54" t="str">
        <f t="shared" si="99"/>
        <v/>
      </c>
      <c r="AM168" s="89" t="str">
        <f t="shared" si="100"/>
        <v/>
      </c>
      <c r="AN168" s="91"/>
      <c r="AO168" s="54"/>
      <c r="AP168" s="53"/>
      <c r="AQ168" s="53"/>
      <c r="AR168" s="53"/>
      <c r="AS168" s="53"/>
      <c r="AT168" s="54"/>
      <c r="AU168" s="54"/>
      <c r="AV168" s="54"/>
      <c r="AW168" s="54"/>
      <c r="AX168" s="54"/>
      <c r="AY168" s="54"/>
      <c r="AZ168" s="53"/>
      <c r="BA168" s="53"/>
      <c r="BB168" s="54"/>
      <c r="BC168" s="54"/>
      <c r="BD168" s="54"/>
      <c r="BE168" s="54"/>
      <c r="BF168" s="54"/>
      <c r="BG168" s="54"/>
      <c r="BH168" s="54"/>
      <c r="BI168" s="54"/>
      <c r="BJ168" s="54"/>
      <c r="BK168" s="54"/>
      <c r="BL168" s="54"/>
      <c r="BM168" s="54"/>
      <c r="BN168" s="54"/>
      <c r="BO168" s="54"/>
      <c r="BP168" s="54"/>
      <c r="BQ168" s="53"/>
      <c r="BR168" s="53"/>
      <c r="BS168" s="54"/>
      <c r="BT168" s="54"/>
      <c r="BU168" s="68"/>
    </row>
    <row r="169" spans="1:73" x14ac:dyDescent="0.3">
      <c r="B169" s="2" t="s">
        <v>333</v>
      </c>
      <c r="C169" s="3" t="s">
        <v>334</v>
      </c>
      <c r="D169" s="63" t="s">
        <v>592</v>
      </c>
      <c r="E169" s="63" t="e">
        <f>Tabelle2[[#This Row],[BIP (mrd.)]]*1000000000/Tabelle2[[#This Row],[Bevölkerung]]</f>
        <v>#VALUE!</v>
      </c>
      <c r="F169" s="63">
        <v>0.54200000000000004</v>
      </c>
      <c r="G169" s="53">
        <v>185180</v>
      </c>
      <c r="H169" s="63">
        <v>24672760</v>
      </c>
      <c r="I169" s="88"/>
      <c r="J169" s="88">
        <f>Tabelle2[[#This Row],[Strom (mrd.)]]*1000000000/Tabelle2[[#This Row],[Bevölkerung]]</f>
        <v>0</v>
      </c>
      <c r="K169" s="53"/>
      <c r="L169" s="53">
        <f>Tabelle2[[#This Row],[Wohnimmobilien Anzahl]]/Tabelle2[[#This Row],[Bevölkerung]]</f>
        <v>0</v>
      </c>
      <c r="M169" s="53">
        <f t="shared" si="91"/>
        <v>0</v>
      </c>
      <c r="N169" s="53" t="str">
        <f t="shared" si="92"/>
        <v/>
      </c>
      <c r="O169" s="53"/>
      <c r="P169" s="53"/>
      <c r="Q169" s="53" t="e">
        <f>1000000*Tabelle2[[#This Row],[Bevölkerung]]*EXP(-17.8941+0.2965*LN((Tabelle2[[#This Row],[BIP (mrd.)]]*1000000000)/Tabelle2[[#This Row],[Bevölkerung]]))</f>
        <v>#VALUE!</v>
      </c>
      <c r="R169" s="53" t="str">
        <f t="shared" si="93"/>
        <v/>
      </c>
      <c r="S169" s="53" t="str">
        <f t="shared" si="94"/>
        <v/>
      </c>
      <c r="T169" s="53" t="e">
        <f>1000000*Tabelle2[[#This Row],[Bevölkerung]]*EXP(-14.22+0.2263*LN((Tabelle2[[#This Row],[BIP (mrd.)]]*1000000000)/Tabelle2[[#This Row],[Bevölkerung]]))</f>
        <v>#VALUE!</v>
      </c>
      <c r="U169" s="53" t="str">
        <f t="shared" si="95"/>
        <v/>
      </c>
      <c r="V169" s="53" t="str">
        <f t="shared" si="96"/>
        <v/>
      </c>
      <c r="W169" s="54"/>
      <c r="X169" s="54"/>
      <c r="Y169" s="54" t="str">
        <f t="shared" si="97"/>
        <v/>
      </c>
      <c r="Z169" s="54" t="str">
        <f t="shared" si="98"/>
        <v/>
      </c>
      <c r="AA169" s="54"/>
      <c r="AB169" s="54"/>
      <c r="AC169" s="54"/>
      <c r="AD169" s="54"/>
      <c r="AE169" s="54"/>
      <c r="AF169" s="54"/>
      <c r="AG169" s="54"/>
      <c r="AH169" s="54"/>
      <c r="AI169" s="54">
        <v>0</v>
      </c>
      <c r="AJ169" s="54"/>
      <c r="AK169" s="80" t="e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#VALUE!</v>
      </c>
      <c r="AL169" s="54" t="str">
        <f t="shared" si="99"/>
        <v/>
      </c>
      <c r="AM169" s="89" t="str">
        <f t="shared" si="100"/>
        <v/>
      </c>
      <c r="AN169" s="91"/>
      <c r="AO169" s="54"/>
      <c r="AP169" s="53"/>
      <c r="AQ169" s="53"/>
      <c r="AR169" s="53"/>
      <c r="AS169" s="53"/>
      <c r="AT169" s="54"/>
      <c r="AU169" s="54"/>
      <c r="AV169" s="54"/>
      <c r="AW169" s="54"/>
      <c r="AX169" s="54"/>
      <c r="AY169" s="54"/>
      <c r="AZ169" s="53"/>
      <c r="BA169" s="53"/>
      <c r="BB169" s="54"/>
      <c r="BC169" s="54"/>
      <c r="BD169" s="54"/>
      <c r="BE169" s="54"/>
      <c r="BF169" s="54"/>
      <c r="BG169" s="54"/>
      <c r="BH169" s="54"/>
      <c r="BI169" s="54"/>
      <c r="BJ169" s="54"/>
      <c r="BK169" s="54"/>
      <c r="BL169" s="54"/>
      <c r="BM169" s="54"/>
      <c r="BN169" s="54"/>
      <c r="BO169" s="54"/>
      <c r="BP169" s="54"/>
      <c r="BQ169" s="53"/>
      <c r="BR169" s="53"/>
      <c r="BS169" s="54"/>
      <c r="BT169" s="54"/>
      <c r="BU169" s="68"/>
    </row>
    <row r="170" spans="1:73" x14ac:dyDescent="0.3">
      <c r="B170" s="4" t="s">
        <v>335</v>
      </c>
      <c r="C170" s="5" t="s">
        <v>336</v>
      </c>
      <c r="D170" s="63">
        <v>1.4835999999999998E-2</v>
      </c>
      <c r="E170" s="63">
        <f>Tabelle2[[#This Row],[BIP (mrd.)]]*1000000000/Tabelle2[[#This Row],[Bevölkerung]]</f>
        <v>1.4008212687648769</v>
      </c>
      <c r="F170" s="63">
        <v>0.27100000000000002</v>
      </c>
      <c r="G170" s="53">
        <v>141379</v>
      </c>
      <c r="H170" s="63">
        <v>10590930</v>
      </c>
      <c r="I170" s="88"/>
      <c r="J170" s="88">
        <f>Tabelle2[[#This Row],[Strom (mrd.)]]*1000000000/Tabelle2[[#This Row],[Bevölkerung]]</f>
        <v>0</v>
      </c>
      <c r="K170" s="53"/>
      <c r="L170" s="53">
        <f>Tabelle2[[#This Row],[Wohnimmobilien Anzahl]]/Tabelle2[[#This Row],[Bevölkerung]]</f>
        <v>0</v>
      </c>
      <c r="M170" s="53">
        <f t="shared" si="91"/>
        <v>0</v>
      </c>
      <c r="N170" s="53" t="str">
        <f t="shared" si="92"/>
        <v/>
      </c>
      <c r="O170" s="53"/>
      <c r="P170" s="53"/>
      <c r="Q170" s="53">
        <f>1000000*Tabelle2[[#This Row],[Bevölkerung]]*EXP(-17.8941+0.2965*LN((Tabelle2[[#This Row],[BIP (mrd.)]]*1000000000)/Tabelle2[[#This Row],[Bevölkerung]]))</f>
        <v>198165.33580200112</v>
      </c>
      <c r="R170" s="53" t="str">
        <f t="shared" si="93"/>
        <v/>
      </c>
      <c r="S170" s="53" t="str">
        <f t="shared" si="94"/>
        <v/>
      </c>
      <c r="T170" s="53">
        <f>1000000*Tabelle2[[#This Row],[Bevölkerung]]*EXP(-14.22+0.2263*LN((Tabelle2[[#This Row],[BIP (mrd.)]]*1000000000)/Tabelle2[[#This Row],[Bevölkerung]]))</f>
        <v>7627688.9756716443</v>
      </c>
      <c r="U170" s="53" t="str">
        <f t="shared" si="95"/>
        <v/>
      </c>
      <c r="V170" s="53" t="str">
        <f t="shared" si="96"/>
        <v/>
      </c>
      <c r="W170" s="54"/>
      <c r="X170" s="54"/>
      <c r="Y170" s="54" t="str">
        <f t="shared" si="97"/>
        <v/>
      </c>
      <c r="Z170" s="54" t="str">
        <f t="shared" si="98"/>
        <v/>
      </c>
      <c r="AA170" s="54"/>
      <c r="AB170" s="54"/>
      <c r="AC170" s="54"/>
      <c r="AD170" s="54"/>
      <c r="AE170" s="54"/>
      <c r="AF170" s="54"/>
      <c r="AG170" s="54"/>
      <c r="AH170" s="54"/>
      <c r="AI170" s="54">
        <v>0</v>
      </c>
      <c r="AJ170" s="54"/>
      <c r="AK170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290106.01939808752</v>
      </c>
      <c r="AL170" s="54" t="str">
        <f t="shared" si="99"/>
        <v/>
      </c>
      <c r="AM170" s="89" t="str">
        <f t="shared" si="100"/>
        <v/>
      </c>
      <c r="AN170" s="91"/>
      <c r="AO170" s="54"/>
      <c r="AP170" s="53"/>
      <c r="AQ170" s="53"/>
      <c r="AR170" s="53"/>
      <c r="AS170" s="53"/>
      <c r="AT170" s="54"/>
      <c r="AU170" s="54"/>
      <c r="AV170" s="54"/>
      <c r="AW170" s="54"/>
      <c r="AX170" s="54"/>
      <c r="AY170" s="54"/>
      <c r="AZ170" s="53"/>
      <c r="BA170" s="53"/>
      <c r="BB170" s="54"/>
      <c r="BC170" s="54"/>
      <c r="BD170" s="54"/>
      <c r="BE170" s="54"/>
      <c r="BF170" s="54"/>
      <c r="BG170" s="54"/>
      <c r="BH170" s="54"/>
      <c r="BI170" s="54"/>
      <c r="BJ170" s="54"/>
      <c r="BK170" s="54"/>
      <c r="BL170" s="54"/>
      <c r="BM170" s="54"/>
      <c r="BN170" s="54"/>
      <c r="BO170" s="54"/>
      <c r="BP170" s="54"/>
      <c r="BQ170" s="53"/>
      <c r="BR170" s="53"/>
      <c r="BS170" s="54"/>
      <c r="BT170" s="54"/>
      <c r="BU170" s="68"/>
    </row>
    <row r="171" spans="1:73" x14ac:dyDescent="0.3">
      <c r="A171" t="s">
        <v>588</v>
      </c>
      <c r="B171" s="22" t="s">
        <v>337</v>
      </c>
      <c r="C171" s="23" t="s">
        <v>338</v>
      </c>
      <c r="D171" s="63">
        <v>85.977000000000004</v>
      </c>
      <c r="E171" s="63">
        <f>Tabelle2[[#This Row],[BIP (mrd.)]]*1000000000/Tabelle2[[#This Row],[Bevölkerung]]</f>
        <v>1254.0373301345855</v>
      </c>
      <c r="F171" s="63">
        <v>0.33800000000000002</v>
      </c>
      <c r="G171" s="53">
        <v>947300</v>
      </c>
      <c r="H171" s="63">
        <v>68560160</v>
      </c>
      <c r="I171" s="88">
        <v>9.109</v>
      </c>
      <c r="J171" s="88">
        <f>Tabelle2[[#This Row],[Strom (mrd.)]]*1000000000/Tabelle2[[#This Row],[Bevölkerung]]</f>
        <v>132.86141689284273</v>
      </c>
      <c r="K171" s="53">
        <v>13112235</v>
      </c>
      <c r="L171" s="63">
        <f>Tabelle2[[#This Row],[Wohnimmobilien Anzahl]]/Tabelle2[[#This Row],[Bevölkerung]]</f>
        <v>0.19125152275023863</v>
      </c>
      <c r="M171" s="53">
        <f t="shared" si="91"/>
        <v>-13112234.808748478</v>
      </c>
      <c r="N171" s="53">
        <f t="shared" si="92"/>
        <v>-0.99999998541426982</v>
      </c>
      <c r="O171" s="53"/>
      <c r="P171" s="53"/>
      <c r="Q171" s="53">
        <f>1000000*Tabelle2[[#This Row],[Bevölkerung]]*EXP(-17.8941+0.2965*LN((Tabelle2[[#This Row],[BIP (mrd.)]]*1000000000)/Tabelle2[[#This Row],[Bevölkerung]]))</f>
        <v>9625249.2952046618</v>
      </c>
      <c r="R171" s="53" t="str">
        <f t="shared" si="93"/>
        <v/>
      </c>
      <c r="S171" s="53" t="str">
        <f t="shared" si="94"/>
        <v/>
      </c>
      <c r="T171" s="53">
        <f>1000000*Tabelle2[[#This Row],[Wohneinheiten Anzahl]]*EXP(-14.22+0.02263*LN((Tabelle2[[#This Row],[BIP (mrd.)]]*1000000000)/Tabelle2[[#This Row],[Bevölkerung]]))</f>
        <v>0</v>
      </c>
      <c r="U171" s="53" t="str">
        <f t="shared" si="95"/>
        <v/>
      </c>
      <c r="V171" s="53" t="str">
        <f t="shared" si="96"/>
        <v/>
      </c>
      <c r="W171" s="54"/>
      <c r="X171" s="54"/>
      <c r="Y171" s="54" t="str">
        <f t="shared" si="97"/>
        <v/>
      </c>
      <c r="Z171" s="54" t="str">
        <f t="shared" si="98"/>
        <v/>
      </c>
      <c r="AA171" s="54"/>
      <c r="AB171" s="54"/>
      <c r="AC171" s="54"/>
      <c r="AD171" s="54"/>
      <c r="AE171" s="54"/>
      <c r="AF171" s="54"/>
      <c r="AG171" s="54"/>
      <c r="AH171" s="54">
        <v>0</v>
      </c>
      <c r="AI171" s="54" t="s">
        <v>990</v>
      </c>
      <c r="AJ171" s="54"/>
      <c r="AK171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11929373.911537306</v>
      </c>
      <c r="AL171" s="54" t="str">
        <f t="shared" si="99"/>
        <v/>
      </c>
      <c r="AM171" s="89" t="str">
        <f t="shared" si="100"/>
        <v/>
      </c>
      <c r="AN171" s="91"/>
      <c r="AO171" s="54"/>
      <c r="AP171" s="53">
        <v>743044</v>
      </c>
      <c r="AQ171" s="53"/>
      <c r="AR171" s="53"/>
      <c r="AS171" s="53"/>
      <c r="AT171" s="54"/>
      <c r="AU171" s="54"/>
      <c r="AV171" s="54"/>
      <c r="AW171" s="54"/>
      <c r="AX171" s="54"/>
      <c r="AY171" s="54"/>
      <c r="AZ171" s="53"/>
      <c r="BA171" s="53"/>
      <c r="BB171" s="54"/>
      <c r="BC171" s="54"/>
      <c r="BD171" s="54"/>
      <c r="BE171" s="54"/>
      <c r="BF171" s="54"/>
      <c r="BG171" s="54"/>
      <c r="BH171" s="54"/>
      <c r="BI171" s="54"/>
      <c r="BJ171" s="54"/>
      <c r="BK171" s="54"/>
      <c r="BL171" s="54"/>
      <c r="BM171" s="54"/>
      <c r="BN171" s="54"/>
      <c r="BO171" s="54"/>
      <c r="BP171" s="54"/>
      <c r="BQ171" s="53">
        <v>14348372</v>
      </c>
      <c r="BR171" s="53"/>
      <c r="BS171" s="54"/>
      <c r="BT171" s="54"/>
      <c r="BU171" s="68"/>
    </row>
    <row r="172" spans="1:73" x14ac:dyDescent="0.3">
      <c r="B172" s="13" t="s">
        <v>339</v>
      </c>
      <c r="C172" s="14" t="s">
        <v>340</v>
      </c>
      <c r="D172" s="63">
        <v>0.54622400000000004</v>
      </c>
      <c r="E172" s="63">
        <f>Tabelle2[[#This Row],[BIP (mrd.)]]*1000000000/Tabelle2[[#This Row],[Bevölkerung]]</f>
        <v>7.6215873721064673</v>
      </c>
      <c r="F172" s="63">
        <v>0.499</v>
      </c>
      <c r="G172" s="53">
        <v>513115</v>
      </c>
      <c r="H172" s="63">
        <v>71668010</v>
      </c>
      <c r="I172" s="88"/>
      <c r="J172" s="88">
        <f>Tabelle2[[#This Row],[Strom (mrd.)]]*1000000000/Tabelle2[[#This Row],[Bevölkerung]]</f>
        <v>0</v>
      </c>
      <c r="K172" s="53"/>
      <c r="L172" s="53">
        <f>Tabelle2[[#This Row],[Wohnimmobilien Anzahl]]/Tabelle2[[#This Row],[Bevölkerung]]</f>
        <v>0</v>
      </c>
      <c r="M172" s="53">
        <f t="shared" si="91"/>
        <v>0</v>
      </c>
      <c r="N172" s="53" t="str">
        <f t="shared" si="92"/>
        <v/>
      </c>
      <c r="O172" s="53"/>
      <c r="P172" s="53"/>
      <c r="Q172" s="53">
        <f>1000000*Tabelle2[[#This Row],[Bevölkerung]]*EXP(-17.8941+0.2965*LN((Tabelle2[[#This Row],[BIP (mrd.)]]*1000000000)/Tabelle2[[#This Row],[Bevölkerung]]))</f>
        <v>2215863.112133693</v>
      </c>
      <c r="R172" s="53" t="str">
        <f t="shared" si="93"/>
        <v/>
      </c>
      <c r="S172" s="53" t="str">
        <f t="shared" si="94"/>
        <v/>
      </c>
      <c r="T172" s="53">
        <f>1000000*Tabelle2[[#This Row],[Bevölkerung]]*EXP(-14.22+0.2263*LN((Tabelle2[[#This Row],[BIP (mrd.)]]*1000000000)/Tabelle2[[#This Row],[Bevölkerung]]))</f>
        <v>75729431.110563949</v>
      </c>
      <c r="U172" s="53" t="str">
        <f t="shared" si="95"/>
        <v/>
      </c>
      <c r="V172" s="53" t="str">
        <f t="shared" si="96"/>
        <v/>
      </c>
      <c r="W172" s="54"/>
      <c r="X172" s="54"/>
      <c r="Y172" s="54" t="str">
        <f t="shared" si="97"/>
        <v/>
      </c>
      <c r="Z172" s="54" t="str">
        <f t="shared" si="98"/>
        <v/>
      </c>
      <c r="AA172" s="54"/>
      <c r="AB172" s="54"/>
      <c r="AC172" s="54"/>
      <c r="AD172" s="54"/>
      <c r="AE172" s="54"/>
      <c r="AF172" s="54"/>
      <c r="AG172" s="54"/>
      <c r="AH172" s="54"/>
      <c r="AI172" s="54">
        <v>0</v>
      </c>
      <c r="AJ172" s="54"/>
      <c r="AK172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3112054.5340168769</v>
      </c>
      <c r="AL172" s="54" t="str">
        <f t="shared" si="99"/>
        <v/>
      </c>
      <c r="AM172" s="89" t="str">
        <f t="shared" si="100"/>
        <v/>
      </c>
      <c r="AN172" s="91"/>
      <c r="AO172" s="54"/>
      <c r="AP172" s="53"/>
      <c r="AQ172" s="53"/>
      <c r="AR172" s="53"/>
      <c r="AS172" s="53"/>
      <c r="AT172" s="54"/>
      <c r="AU172" s="54"/>
      <c r="AV172" s="54"/>
      <c r="AW172" s="54"/>
      <c r="AX172" s="54"/>
      <c r="AY172" s="54"/>
      <c r="AZ172" s="53"/>
      <c r="BA172" s="53"/>
      <c r="BB172" s="54"/>
      <c r="BC172" s="54"/>
      <c r="BD172" s="54"/>
      <c r="BE172" s="54"/>
      <c r="BF172" s="54"/>
      <c r="BG172" s="54"/>
      <c r="BH172" s="54"/>
      <c r="BI172" s="54"/>
      <c r="BJ172" s="54"/>
      <c r="BK172" s="54"/>
      <c r="BL172" s="54"/>
      <c r="BM172" s="54"/>
      <c r="BN172" s="54"/>
      <c r="BO172" s="54"/>
      <c r="BP172" s="54"/>
      <c r="BQ172" s="53"/>
      <c r="BR172" s="53"/>
      <c r="BS172" s="54"/>
      <c r="BT172" s="54"/>
      <c r="BU172" s="68"/>
    </row>
    <row r="173" spans="1:73" x14ac:dyDescent="0.3">
      <c r="B173" s="2" t="s">
        <v>341</v>
      </c>
      <c r="C173" s="3" t="s">
        <v>342</v>
      </c>
      <c r="D173" s="63">
        <v>2.1150000000000001E-3</v>
      </c>
      <c r="E173" s="63">
        <f>Tabelle2[[#This Row],[BIP (mrd.)]]*1000000000/Tabelle2[[#This Row],[Bevölkerung]]</f>
        <v>1.5100239890335847</v>
      </c>
      <c r="F173" s="63">
        <v>0.30599999999999999</v>
      </c>
      <c r="G173" s="53">
        <v>14870</v>
      </c>
      <c r="H173" s="63">
        <v>1400640</v>
      </c>
      <c r="I173" s="88"/>
      <c r="J173" s="88">
        <f>Tabelle2[[#This Row],[Strom (mrd.)]]*1000000000/Tabelle2[[#This Row],[Bevölkerung]]</f>
        <v>0</v>
      </c>
      <c r="K173" s="53"/>
      <c r="L173" s="53">
        <f>Tabelle2[[#This Row],[Wohnimmobilien Anzahl]]/Tabelle2[[#This Row],[Bevölkerung]]</f>
        <v>0</v>
      </c>
      <c r="M173" s="53">
        <f t="shared" si="91"/>
        <v>0</v>
      </c>
      <c r="N173" s="53" t="str">
        <f t="shared" si="92"/>
        <v/>
      </c>
      <c r="O173" s="53"/>
      <c r="P173" s="53"/>
      <c r="Q173" s="53">
        <f>1000000*Tabelle2[[#This Row],[Bevölkerung]]*EXP(-17.8941+0.2965*LN((Tabelle2[[#This Row],[BIP (mrd.)]]*1000000000)/Tabelle2[[#This Row],[Bevölkerung]]))</f>
        <v>26797.010527912669</v>
      </c>
      <c r="R173" s="53" t="str">
        <f t="shared" si="93"/>
        <v/>
      </c>
      <c r="S173" s="53" t="str">
        <f t="shared" si="94"/>
        <v/>
      </c>
      <c r="T173" s="53">
        <f>1000000*Tabelle2[[#This Row],[Bevölkerung]]*EXP(-14.22+0.2263*LN((Tabelle2[[#This Row],[BIP (mrd.)]]*1000000000)/Tabelle2[[#This Row],[Bevölkerung]]))</f>
        <v>1026037.0345152604</v>
      </c>
      <c r="U173" s="53" t="str">
        <f t="shared" si="95"/>
        <v/>
      </c>
      <c r="V173" s="53" t="str">
        <f t="shared" si="96"/>
        <v/>
      </c>
      <c r="W173" s="54"/>
      <c r="X173" s="54"/>
      <c r="Y173" s="54" t="str">
        <f t="shared" si="97"/>
        <v/>
      </c>
      <c r="Z173" s="54" t="str">
        <f t="shared" si="98"/>
        <v/>
      </c>
      <c r="AA173" s="54"/>
      <c r="AB173" s="54"/>
      <c r="AC173" s="54"/>
      <c r="AD173" s="54"/>
      <c r="AE173" s="54"/>
      <c r="AF173" s="54"/>
      <c r="AG173" s="54"/>
      <c r="AH173" s="54"/>
      <c r="AI173" s="54">
        <v>0</v>
      </c>
      <c r="AJ173" s="54"/>
      <c r="AK173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39158.329164208175</v>
      </c>
      <c r="AL173" s="54" t="str">
        <f t="shared" si="99"/>
        <v/>
      </c>
      <c r="AM173" s="89" t="str">
        <f t="shared" si="100"/>
        <v/>
      </c>
      <c r="AN173" s="91"/>
      <c r="AO173" s="54"/>
      <c r="AP173" s="53"/>
      <c r="AQ173" s="53"/>
      <c r="AR173" s="53"/>
      <c r="AS173" s="53"/>
      <c r="AT173" s="54"/>
      <c r="AU173" s="54"/>
      <c r="AV173" s="54"/>
      <c r="AW173" s="54"/>
      <c r="AX173" s="54"/>
      <c r="AY173" s="54"/>
      <c r="AZ173" s="53"/>
      <c r="BA173" s="53"/>
      <c r="BB173" s="54"/>
      <c r="BC173" s="54"/>
      <c r="BD173" s="54"/>
      <c r="BE173" s="54"/>
      <c r="BF173" s="54"/>
      <c r="BG173" s="54"/>
      <c r="BH173" s="54"/>
      <c r="BI173" s="54"/>
      <c r="BJ173" s="54"/>
      <c r="BK173" s="54"/>
      <c r="BL173" s="54"/>
      <c r="BM173" s="54"/>
      <c r="BN173" s="54"/>
      <c r="BO173" s="54"/>
      <c r="BP173" s="54"/>
      <c r="BQ173" s="53"/>
      <c r="BR173" s="53"/>
      <c r="BS173" s="54"/>
      <c r="BT173" s="54"/>
      <c r="BU173" s="68"/>
    </row>
    <row r="174" spans="1:73" x14ac:dyDescent="0.3">
      <c r="B174" s="2" t="s">
        <v>343</v>
      </c>
      <c r="C174" s="3" t="s">
        <v>344</v>
      </c>
      <c r="D174" s="63">
        <v>1.0023000000000001E-2</v>
      </c>
      <c r="E174" s="63">
        <f>Tabelle2[[#This Row],[BIP (mrd.)]]*1000000000/Tabelle2[[#This Row],[Bevölkerung]]</f>
        <v>1.0533628158617123</v>
      </c>
      <c r="F174" s="63">
        <v>0.41699999999999998</v>
      </c>
      <c r="G174" s="53">
        <v>56790</v>
      </c>
      <c r="H174" s="63">
        <v>9515240</v>
      </c>
      <c r="I174" s="88"/>
      <c r="J174" s="88">
        <f>Tabelle2[[#This Row],[Strom (mrd.)]]*1000000000/Tabelle2[[#This Row],[Bevölkerung]]</f>
        <v>0</v>
      </c>
      <c r="K174" s="53"/>
      <c r="L174" s="53">
        <f>Tabelle2[[#This Row],[Wohnimmobilien Anzahl]]/Tabelle2[[#This Row],[Bevölkerung]]</f>
        <v>0</v>
      </c>
      <c r="M174" s="53">
        <f t="shared" si="91"/>
        <v>0</v>
      </c>
      <c r="N174" s="53" t="str">
        <f t="shared" si="92"/>
        <v/>
      </c>
      <c r="O174" s="53"/>
      <c r="P174" s="53"/>
      <c r="Q174" s="53">
        <f>1000000*Tabelle2[[#This Row],[Bevölkerung]]*EXP(-17.8941+0.2965*LN((Tabelle2[[#This Row],[BIP (mrd.)]]*1000000000)/Tabelle2[[#This Row],[Bevölkerung]]))</f>
        <v>163608.26167726016</v>
      </c>
      <c r="R174" s="53" t="str">
        <f t="shared" si="93"/>
        <v/>
      </c>
      <c r="S174" s="53" t="str">
        <f t="shared" si="94"/>
        <v/>
      </c>
      <c r="T174" s="53">
        <f>1000000*Tabelle2[[#This Row],[Bevölkerung]]*EXP(-14.22+0.2263*LN((Tabelle2[[#This Row],[BIP (mrd.)]]*1000000000)/Tabelle2[[#This Row],[Bevölkerung]]))</f>
        <v>6424829.571776242</v>
      </c>
      <c r="U174" s="53" t="str">
        <f t="shared" si="95"/>
        <v/>
      </c>
      <c r="V174" s="53" t="str">
        <f t="shared" si="96"/>
        <v/>
      </c>
      <c r="W174" s="54"/>
      <c r="X174" s="54"/>
      <c r="Y174" s="54" t="str">
        <f t="shared" si="97"/>
        <v/>
      </c>
      <c r="Z174" s="54" t="str">
        <f t="shared" si="98"/>
        <v/>
      </c>
      <c r="AA174" s="54"/>
      <c r="AB174" s="54"/>
      <c r="AC174" s="54"/>
      <c r="AD174" s="54"/>
      <c r="AE174" s="54"/>
      <c r="AF174" s="54"/>
      <c r="AG174" s="54"/>
      <c r="AH174" s="54"/>
      <c r="AI174" s="54">
        <v>0</v>
      </c>
      <c r="AJ174" s="54"/>
      <c r="AK174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241194.70755002354</v>
      </c>
      <c r="AL174" s="54" t="str">
        <f t="shared" si="99"/>
        <v/>
      </c>
      <c r="AM174" s="89" t="str">
        <f t="shared" si="100"/>
        <v/>
      </c>
      <c r="AN174" s="91"/>
      <c r="AO174" s="54"/>
      <c r="AP174" s="53"/>
      <c r="AQ174" s="53"/>
      <c r="AR174" s="53"/>
      <c r="AS174" s="53"/>
      <c r="AT174" s="54"/>
      <c r="AU174" s="54"/>
      <c r="AV174" s="54"/>
      <c r="AW174" s="54"/>
      <c r="AX174" s="54"/>
      <c r="AY174" s="54"/>
      <c r="AZ174" s="53"/>
      <c r="BA174" s="53"/>
      <c r="BB174" s="54"/>
      <c r="BC174" s="54"/>
      <c r="BD174" s="54"/>
      <c r="BE174" s="54"/>
      <c r="BF174" s="54"/>
      <c r="BG174" s="54"/>
      <c r="BH174" s="54"/>
      <c r="BI174" s="54"/>
      <c r="BJ174" s="54"/>
      <c r="BK174" s="54"/>
      <c r="BL174" s="54"/>
      <c r="BM174" s="54"/>
      <c r="BN174" s="54"/>
      <c r="BO174" s="54"/>
      <c r="BP174" s="54"/>
      <c r="BQ174" s="53"/>
      <c r="BR174" s="53"/>
      <c r="BS174" s="54"/>
      <c r="BT174" s="54"/>
      <c r="BU174" s="68"/>
    </row>
    <row r="175" spans="1:73" x14ac:dyDescent="0.3">
      <c r="B175" s="4" t="s">
        <v>345</v>
      </c>
      <c r="C175" s="5" t="s">
        <v>346</v>
      </c>
      <c r="D175" s="63">
        <v>5.679999999999999E-7</v>
      </c>
      <c r="E175" s="63">
        <f>Tabelle2[[#This Row],[BIP (mrd.)]]*1000000000/Tabelle2[[#This Row],[Bevölkerung]]</f>
        <v>5.4526255159834877E-3</v>
      </c>
      <c r="F175" s="63">
        <v>0.23100000000000001</v>
      </c>
      <c r="G175" s="53">
        <v>750</v>
      </c>
      <c r="H175" s="63">
        <v>104170</v>
      </c>
      <c r="I175" s="88"/>
      <c r="J175" s="88">
        <f>Tabelle2[[#This Row],[Strom (mrd.)]]*1000000000/Tabelle2[[#This Row],[Bevölkerung]]</f>
        <v>0</v>
      </c>
      <c r="K175" s="53"/>
      <c r="L175" s="53">
        <f>Tabelle2[[#This Row],[Wohnimmobilien Anzahl]]/Tabelle2[[#This Row],[Bevölkerung]]</f>
        <v>0</v>
      </c>
      <c r="M175" s="53">
        <f t="shared" si="91"/>
        <v>0</v>
      </c>
      <c r="N175" s="53" t="str">
        <f t="shared" si="92"/>
        <v/>
      </c>
      <c r="O175" s="53"/>
      <c r="P175" s="53"/>
      <c r="Q175" s="53">
        <f>1000000*Tabelle2[[#This Row],[Bevölkerung]]*EXP(-17.8941+0.2965*LN((Tabelle2[[#This Row],[BIP (mrd.)]]*1000000000)/Tabelle2[[#This Row],[Bevölkerung]]))</f>
        <v>376.12946577979517</v>
      </c>
      <c r="R175" s="53" t="str">
        <f t="shared" si="93"/>
        <v/>
      </c>
      <c r="S175" s="53" t="str">
        <f t="shared" si="94"/>
        <v/>
      </c>
      <c r="T175" s="53">
        <f>1000000*Tabelle2[[#This Row],[Bevölkerung]]*EXP(-14.22+0.2263*LN((Tabelle2[[#This Row],[BIP (mrd.)]]*1000000000)/Tabelle2[[#This Row],[Bevölkerung]]))</f>
        <v>21373.172700024632</v>
      </c>
      <c r="U175" s="53" t="str">
        <f t="shared" si="95"/>
        <v/>
      </c>
      <c r="V175" s="53" t="str">
        <f t="shared" si="96"/>
        <v/>
      </c>
      <c r="W175" s="54"/>
      <c r="X175" s="54"/>
      <c r="Y175" s="54" t="str">
        <f t="shared" si="97"/>
        <v/>
      </c>
      <c r="Z175" s="54" t="str">
        <f t="shared" si="98"/>
        <v/>
      </c>
      <c r="AA175" s="54"/>
      <c r="AB175" s="54"/>
      <c r="AC175" s="54"/>
      <c r="AD175" s="54"/>
      <c r="AE175" s="54"/>
      <c r="AF175" s="54"/>
      <c r="AG175" s="54"/>
      <c r="AH175" s="54"/>
      <c r="AI175" s="54">
        <v>0</v>
      </c>
      <c r="AJ175" s="54"/>
      <c r="AK175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631.58650727612758</v>
      </c>
      <c r="AL175" s="54" t="str">
        <f t="shared" si="99"/>
        <v/>
      </c>
      <c r="AM175" s="89" t="str">
        <f t="shared" si="100"/>
        <v/>
      </c>
      <c r="AN175" s="91"/>
      <c r="AO175" s="54"/>
      <c r="AP175" s="53"/>
      <c r="AQ175" s="53"/>
      <c r="AR175" s="53"/>
      <c r="AS175" s="53"/>
      <c r="AT175" s="54"/>
      <c r="AU175" s="54"/>
      <c r="AV175" s="54"/>
      <c r="AW175" s="54"/>
      <c r="AX175" s="54"/>
      <c r="AY175" s="54"/>
      <c r="AZ175" s="53"/>
      <c r="BA175" s="53"/>
      <c r="BB175" s="54"/>
      <c r="BC175" s="54"/>
      <c r="BD175" s="54"/>
      <c r="BE175" s="54"/>
      <c r="BF175" s="54"/>
      <c r="BG175" s="54"/>
      <c r="BH175" s="54"/>
      <c r="BI175" s="54"/>
      <c r="BJ175" s="54"/>
      <c r="BK175" s="54"/>
      <c r="BL175" s="54"/>
      <c r="BM175" s="54"/>
      <c r="BN175" s="54"/>
      <c r="BO175" s="54"/>
      <c r="BP175" s="54"/>
      <c r="BQ175" s="53"/>
      <c r="BR175" s="53"/>
      <c r="BS175" s="54"/>
      <c r="BT175" s="54"/>
      <c r="BU175" s="68"/>
    </row>
    <row r="176" spans="1:73" x14ac:dyDescent="0.3">
      <c r="B176" s="4" t="s">
        <v>347</v>
      </c>
      <c r="C176" s="5" t="s">
        <v>348</v>
      </c>
      <c r="D176" s="63">
        <v>2.6466999999999997E-2</v>
      </c>
      <c r="E176" s="63">
        <f>Tabelle2[[#This Row],[BIP (mrd.)]]*1000000000/Tabelle2[[#This Row],[Bevölkerung]]</f>
        <v>19.342556254704636</v>
      </c>
      <c r="F176" s="63">
        <v>0.53200000000000003</v>
      </c>
      <c r="G176" s="53">
        <v>5130</v>
      </c>
      <c r="H176" s="63">
        <v>1368330</v>
      </c>
      <c r="I176" s="88"/>
      <c r="J176" s="88">
        <f>Tabelle2[[#This Row],[Strom (mrd.)]]*1000000000/Tabelle2[[#This Row],[Bevölkerung]]</f>
        <v>0</v>
      </c>
      <c r="K176" s="53"/>
      <c r="L176" s="53">
        <f>Tabelle2[[#This Row],[Wohnimmobilien Anzahl]]/Tabelle2[[#This Row],[Bevölkerung]]</f>
        <v>0</v>
      </c>
      <c r="M176" s="53">
        <f t="shared" si="91"/>
        <v>0</v>
      </c>
      <c r="N176" s="53" t="str">
        <f t="shared" si="92"/>
        <v/>
      </c>
      <c r="O176" s="53"/>
      <c r="P176" s="53"/>
      <c r="Q176" s="53">
        <f>1000000*Tabelle2[[#This Row],[Bevölkerung]]*EXP(-17.8941+0.2965*LN((Tabelle2[[#This Row],[BIP (mrd.)]]*1000000000)/Tabelle2[[#This Row],[Bevölkerung]]))</f>
        <v>55761.355464787688</v>
      </c>
      <c r="R176" s="53" t="str">
        <f t="shared" si="93"/>
        <v/>
      </c>
      <c r="S176" s="53" t="str">
        <f t="shared" si="94"/>
        <v/>
      </c>
      <c r="T176" s="53">
        <f>1000000*Tabelle2[[#This Row],[Bevölkerung]]*EXP(-14.22+0.2263*LN((Tabelle2[[#This Row],[BIP (mrd.)]]*1000000000)/Tabelle2[[#This Row],[Bevölkerung]]))</f>
        <v>1785095.2919417543</v>
      </c>
      <c r="U176" s="53" t="str">
        <f t="shared" si="95"/>
        <v/>
      </c>
      <c r="V176" s="53" t="str">
        <f t="shared" si="96"/>
        <v/>
      </c>
      <c r="W176" s="54"/>
      <c r="X176" s="54"/>
      <c r="Y176" s="54" t="str">
        <f t="shared" si="97"/>
        <v/>
      </c>
      <c r="Z176" s="54" t="str">
        <f t="shared" si="98"/>
        <v/>
      </c>
      <c r="AA176" s="54"/>
      <c r="AB176" s="54"/>
      <c r="AC176" s="54"/>
      <c r="AD176" s="54"/>
      <c r="AE176" s="54"/>
      <c r="AF176" s="54"/>
      <c r="AG176" s="54"/>
      <c r="AH176" s="54"/>
      <c r="AI176" s="54">
        <v>0</v>
      </c>
      <c r="AJ176" s="54"/>
      <c r="AK176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76547.783263781515</v>
      </c>
      <c r="AL176" s="54" t="str">
        <f t="shared" si="99"/>
        <v/>
      </c>
      <c r="AM176" s="89" t="str">
        <f t="shared" si="100"/>
        <v/>
      </c>
      <c r="AN176" s="91"/>
      <c r="AO176" s="54"/>
      <c r="AP176" s="53"/>
      <c r="AQ176" s="53"/>
      <c r="AR176" s="53"/>
      <c r="AS176" s="53"/>
      <c r="AT176" s="54"/>
      <c r="AU176" s="54"/>
      <c r="AV176" s="54"/>
      <c r="AW176" s="54"/>
      <c r="AX176" s="54"/>
      <c r="AY176" s="54"/>
      <c r="AZ176" s="53"/>
      <c r="BA176" s="53"/>
      <c r="BB176" s="54"/>
      <c r="BC176" s="54"/>
      <c r="BD176" s="54"/>
      <c r="BE176" s="54"/>
      <c r="BF176" s="54"/>
      <c r="BG176" s="54"/>
      <c r="BH176" s="54"/>
      <c r="BI176" s="54"/>
      <c r="BJ176" s="54"/>
      <c r="BK176" s="54"/>
      <c r="BL176" s="54"/>
      <c r="BM176" s="54"/>
      <c r="BN176" s="54"/>
      <c r="BO176" s="54"/>
      <c r="BP176" s="54"/>
      <c r="BQ176" s="53"/>
      <c r="BR176" s="53"/>
      <c r="BS176" s="54"/>
      <c r="BT176" s="54"/>
      <c r="BU176" s="68"/>
    </row>
    <row r="177" spans="2:73" x14ac:dyDescent="0.3">
      <c r="B177" s="4" t="s">
        <v>349</v>
      </c>
      <c r="C177" s="5" t="s">
        <v>350</v>
      </c>
      <c r="D177" s="63">
        <v>1.8792E-2</v>
      </c>
      <c r="E177" s="63">
        <f>Tabelle2[[#This Row],[BIP (mrd.)]]*1000000000/Tabelle2[[#This Row],[Bevölkerung]]</f>
        <v>0.92575441694024174</v>
      </c>
      <c r="F177" s="63">
        <v>0.23100000000000001</v>
      </c>
      <c r="G177" s="53">
        <v>1284000</v>
      </c>
      <c r="H177" s="63">
        <v>20299120</v>
      </c>
      <c r="I177" s="88"/>
      <c r="J177" s="88">
        <f>Tabelle2[[#This Row],[Strom (mrd.)]]*1000000000/Tabelle2[[#This Row],[Bevölkerung]]</f>
        <v>0</v>
      </c>
      <c r="K177" s="53"/>
      <c r="L177" s="53">
        <f>Tabelle2[[#This Row],[Wohnimmobilien Anzahl]]/Tabelle2[[#This Row],[Bevölkerung]]</f>
        <v>0</v>
      </c>
      <c r="M177" s="53">
        <f t="shared" si="91"/>
        <v>0</v>
      </c>
      <c r="N177" s="53" t="str">
        <f t="shared" si="92"/>
        <v/>
      </c>
      <c r="O177" s="53"/>
      <c r="P177" s="53"/>
      <c r="Q177" s="53">
        <f>1000000*Tabelle2[[#This Row],[Bevölkerung]]*EXP(-17.8941+0.2965*LN((Tabelle2[[#This Row],[BIP (mrd.)]]*1000000000)/Tabelle2[[#This Row],[Bevölkerung]]))</f>
        <v>335918.8113604497</v>
      </c>
      <c r="R177" s="53" t="str">
        <f t="shared" si="93"/>
        <v/>
      </c>
      <c r="S177" s="53" t="str">
        <f t="shared" si="94"/>
        <v/>
      </c>
      <c r="T177" s="53">
        <f>1000000*Tabelle2[[#This Row],[Bevölkerung]]*EXP(-14.22+0.2263*LN((Tabelle2[[#This Row],[BIP (mrd.)]]*1000000000)/Tabelle2[[#This Row],[Bevölkerung]]))</f>
        <v>13311520.833412169</v>
      </c>
      <c r="U177" s="53" t="str">
        <f t="shared" si="95"/>
        <v/>
      </c>
      <c r="V177" s="53" t="str">
        <f t="shared" si="96"/>
        <v/>
      </c>
      <c r="W177" s="54"/>
      <c r="X177" s="54"/>
      <c r="Y177" s="54" t="str">
        <f t="shared" si="97"/>
        <v/>
      </c>
      <c r="Z177" s="54" t="str">
        <f t="shared" si="98"/>
        <v/>
      </c>
      <c r="AA177" s="54"/>
      <c r="AB177" s="54"/>
      <c r="AC177" s="54"/>
      <c r="AD177" s="54"/>
      <c r="AE177" s="54"/>
      <c r="AF177" s="54"/>
      <c r="AG177" s="54"/>
      <c r="AH177" s="54"/>
      <c r="AI177" s="54">
        <v>0</v>
      </c>
      <c r="AJ177" s="54"/>
      <c r="AK177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496786.88277546118</v>
      </c>
      <c r="AL177" s="54" t="str">
        <f t="shared" si="99"/>
        <v/>
      </c>
      <c r="AM177" s="89" t="str">
        <f t="shared" si="100"/>
        <v/>
      </c>
      <c r="AN177" s="91"/>
      <c r="AO177" s="54"/>
      <c r="AP177" s="53"/>
      <c r="AQ177" s="53"/>
      <c r="AR177" s="53"/>
      <c r="AS177" s="53"/>
      <c r="AT177" s="54"/>
      <c r="AU177" s="54"/>
      <c r="AV177" s="54"/>
      <c r="AW177" s="54"/>
      <c r="AX177" s="54"/>
      <c r="AY177" s="54"/>
      <c r="AZ177" s="53"/>
      <c r="BA177" s="53"/>
      <c r="BB177" s="54"/>
      <c r="BC177" s="54"/>
      <c r="BD177" s="54"/>
      <c r="BE177" s="54"/>
      <c r="BF177" s="54"/>
      <c r="BG177" s="54"/>
      <c r="BH177" s="54"/>
      <c r="BI177" s="54"/>
      <c r="BJ177" s="54"/>
      <c r="BK177" s="54"/>
      <c r="BL177" s="54"/>
      <c r="BM177" s="54"/>
      <c r="BN177" s="54"/>
      <c r="BO177" s="54"/>
      <c r="BP177" s="54"/>
      <c r="BQ177" s="53"/>
      <c r="BR177" s="53"/>
      <c r="BS177" s="54"/>
      <c r="BT177" s="54"/>
      <c r="BU177" s="68"/>
    </row>
    <row r="178" spans="2:73" x14ac:dyDescent="0.3">
      <c r="B178" s="13" t="s">
        <v>351</v>
      </c>
      <c r="C178" s="14" t="s">
        <v>352</v>
      </c>
      <c r="D178" s="63">
        <v>360.24400000000003</v>
      </c>
      <c r="E178" s="63">
        <f>Tabelle2[[#This Row],[BIP (mrd.)]]*1000000000/Tabelle2[[#This Row],[Bevölkerung]]</f>
        <v>33104.089629264781</v>
      </c>
      <c r="F178" s="63">
        <v>0.73799999999999999</v>
      </c>
      <c r="G178" s="53">
        <v>78871</v>
      </c>
      <c r="H178" s="63">
        <v>10882160</v>
      </c>
      <c r="I178" s="88">
        <v>63.628</v>
      </c>
      <c r="J178" s="88">
        <f>Tabelle2[[#This Row],[Strom (mrd.)]]*1000000000/Tabelle2[[#This Row],[Bevölkerung]]</f>
        <v>5847.0009630441018</v>
      </c>
      <c r="K178" s="53"/>
      <c r="L178" s="53">
        <f>1000000*Tabelle2[[#This Row],[Bevölkerung]]*EXP(-15.4183+0.052*LN((Tabelle2[[#This Row],[BIP (mrd.)]]*1000000000)/Tabelle2[[#This Row],[Bevölkerung]]))</f>
        <v>3764144.9806509204</v>
      </c>
      <c r="M178" s="53" t="str">
        <f t="shared" ref="M178:M180" si="101">IF(AND(ISNUMBER(K178), ISNUMBER(L178)), K178-L178, "")</f>
        <v/>
      </c>
      <c r="N178" s="65" t="str">
        <f t="shared" si="92"/>
        <v/>
      </c>
      <c r="O178" s="53"/>
      <c r="P178" s="53">
        <v>4480139</v>
      </c>
      <c r="Q178" s="53">
        <f>1000000*Tabelle2[[#This Row],[Bevölkerung]]*EXP(-17.8941+0.2965*LN((Tabelle2[[#This Row],[BIP (mrd.)]]*1000000000)/Tabelle2[[#This Row],[Bevölkerung]]))</f>
        <v>4032284.1377951428</v>
      </c>
      <c r="R178" s="53">
        <f t="shared" si="93"/>
        <v>447854.86220485717</v>
      </c>
      <c r="S178" s="65">
        <f t="shared" si="94"/>
        <v>-9.9964501593557062E-2</v>
      </c>
      <c r="T178" s="53">
        <f>1000000*Tabelle2[[#This Row],[Wohneinheiten Anzahl]]*EXP(-14.22+0.02263*LN((Tabelle2[[#This Row],[BIP (mrd.)]]*1000000000)/Tabelle2[[#This Row],[Bevölkerung]]))</f>
        <v>4641131.6740902252</v>
      </c>
      <c r="U178" s="65">
        <f t="shared" si="95"/>
        <v>-160992.67409022525</v>
      </c>
      <c r="V178" s="65">
        <f t="shared" si="96"/>
        <v>3.5934749812500291E-2</v>
      </c>
      <c r="W178" s="54"/>
      <c r="X178" s="53">
        <f>1000000*Tabelle2[[#This Row],[Bevölkerung]]*EXP(-17.9119+0.2965*LN((Tabelle2[[#This Row],[BIP (mrd.)]]*1000000000)/Tabelle2[[#This Row],[Bevölkerung]]))</f>
        <v>3961144.5012215236</v>
      </c>
      <c r="Y178" s="53" t="str">
        <f t="shared" si="97"/>
        <v/>
      </c>
      <c r="Z178" s="65" t="str">
        <f t="shared" si="98"/>
        <v/>
      </c>
      <c r="AA178" s="54"/>
      <c r="AB178" s="54"/>
      <c r="AC178" s="54"/>
      <c r="AD178" s="54"/>
      <c r="AE178" s="54"/>
      <c r="AF178" s="54"/>
      <c r="AG178" s="54"/>
      <c r="AH178" s="54">
        <v>1</v>
      </c>
      <c r="AI178" s="54">
        <v>1</v>
      </c>
      <c r="AJ178" s="54">
        <v>5495491</v>
      </c>
      <c r="AK178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4612414.178432541</v>
      </c>
      <c r="AL178" s="54">
        <f t="shared" si="99"/>
        <v>883076.82156745903</v>
      </c>
      <c r="AM178" s="89">
        <f t="shared" si="100"/>
        <v>-0.16069115963750263</v>
      </c>
      <c r="AN178" s="91">
        <f t="shared" si="89"/>
        <v>0.16069115963750263</v>
      </c>
      <c r="AO178" s="54"/>
      <c r="AP178" s="53"/>
      <c r="AQ178" s="53"/>
      <c r="AR178" s="53"/>
      <c r="AS178" s="53"/>
      <c r="AT178" s="54"/>
      <c r="AU178" s="54"/>
      <c r="AV178" s="54"/>
      <c r="AW178" s="54"/>
      <c r="AX178" s="54"/>
      <c r="AY178" s="54"/>
      <c r="AZ178" s="53"/>
      <c r="BA178" s="53"/>
      <c r="BB178" s="54"/>
      <c r="BC178" s="54"/>
      <c r="BD178" s="54"/>
      <c r="BE178" s="54"/>
      <c r="BF178" s="54"/>
      <c r="BG178" s="54"/>
      <c r="BH178" s="54"/>
      <c r="BI178" s="54"/>
      <c r="BJ178" s="54"/>
      <c r="BK178" s="54"/>
      <c r="BL178" s="54"/>
      <c r="BM178" s="54"/>
      <c r="BN178" s="54"/>
      <c r="BO178" s="54"/>
      <c r="BP178" s="54"/>
      <c r="BQ178" s="53"/>
      <c r="BR178" s="53"/>
      <c r="BS178" s="54"/>
      <c r="BT178" s="54"/>
      <c r="BU178" s="68"/>
    </row>
    <row r="179" spans="2:73" x14ac:dyDescent="0.3">
      <c r="B179" s="24" t="s">
        <v>353</v>
      </c>
      <c r="C179" s="25" t="s">
        <v>354</v>
      </c>
      <c r="D179" s="63">
        <v>56.290999999999997</v>
      </c>
      <c r="E179" s="63">
        <f>Tabelle2[[#This Row],[BIP (mrd.)]]*1000000000/Tabelle2[[#This Row],[Bevölkerung]]</f>
        <v>4585.0367065213231</v>
      </c>
      <c r="F179" s="63">
        <v>0.68899999999999995</v>
      </c>
      <c r="G179" s="53">
        <v>163610</v>
      </c>
      <c r="H179" s="63">
        <v>12277110</v>
      </c>
      <c r="I179" s="88">
        <v>19.152999999999999</v>
      </c>
      <c r="J179" s="88">
        <f>Tabelle2[[#This Row],[Strom (mrd.)]]*1000000000/Tabelle2[[#This Row],[Bevölkerung]]</f>
        <v>1560.0577008758576</v>
      </c>
      <c r="K179" s="53"/>
      <c r="L179" s="53">
        <f>1000000*Tabelle2[[#This Row],[Bevölkerung]]*EXP(-15.4183+0.052*LN((Tabelle2[[#This Row],[BIP (mrd.)]]*1000000000)/Tabelle2[[#This Row],[Bevölkerung]]))</f>
        <v>3831804.6770585552</v>
      </c>
      <c r="M179" s="53" t="str">
        <f t="shared" si="101"/>
        <v/>
      </c>
      <c r="N179" s="65" t="str">
        <f t="shared" si="92"/>
        <v/>
      </c>
      <c r="O179" s="53"/>
      <c r="P179" s="53"/>
      <c r="Q179" s="53">
        <f>1000000*Tabelle2[[#This Row],[Bevölkerung]]*EXP(-17.8941+0.2965*LN((Tabelle2[[#This Row],[BIP (mrd.)]]*1000000000)/Tabelle2[[#This Row],[Bevölkerung]]))</f>
        <v>2531485.2636875845</v>
      </c>
      <c r="R179" s="53" t="str">
        <f t="shared" si="93"/>
        <v/>
      </c>
      <c r="S179" s="53" t="str">
        <f t="shared" si="94"/>
        <v/>
      </c>
      <c r="T179" s="53">
        <f>1000000*Tabelle2[[#This Row],[Wohneinheiten Anzahl]]*EXP(-14.22+0.02263*LN((Tabelle2[[#This Row],[BIP (mrd.)]]*1000000000)/Tabelle2[[#This Row],[Bevölkerung]]))</f>
        <v>2656878.8315327973</v>
      </c>
      <c r="U179" s="53" t="str">
        <f t="shared" si="95"/>
        <v/>
      </c>
      <c r="V179" s="53" t="str">
        <f t="shared" si="96"/>
        <v/>
      </c>
      <c r="W179" s="54"/>
      <c r="X179" s="53">
        <f>1000000*Tabelle2[[#This Row],[Bevölkerung]]*EXP(-17.9119+0.2965*LN((Tabelle2[[#This Row],[BIP (mrd.)]]*1000000000)/Tabelle2[[#This Row],[Bevölkerung]]))</f>
        <v>2486823.4949490647</v>
      </c>
      <c r="Y179" s="53" t="str">
        <f t="shared" si="97"/>
        <v/>
      </c>
      <c r="Z179" s="65" t="str">
        <f t="shared" si="98"/>
        <v/>
      </c>
      <c r="AA179" s="54"/>
      <c r="AB179" s="54"/>
      <c r="AC179" s="54"/>
      <c r="AD179" s="54"/>
      <c r="AE179" s="54"/>
      <c r="AF179" s="54"/>
      <c r="AG179" s="54"/>
      <c r="AH179" s="54">
        <v>0</v>
      </c>
      <c r="AI179" s="54" t="s">
        <v>990</v>
      </c>
      <c r="AJ179" s="54">
        <v>3289903</v>
      </c>
      <c r="AK179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3039392.4455819097</v>
      </c>
      <c r="AL179" s="54">
        <f t="shared" si="99"/>
        <v>250510.55441809027</v>
      </c>
      <c r="AM179" s="89">
        <f t="shared" si="100"/>
        <v>-7.6145270671533552E-2</v>
      </c>
      <c r="AN179" s="91">
        <f t="shared" si="89"/>
        <v>7.6145270671533552E-2</v>
      </c>
      <c r="AO179" s="54"/>
      <c r="AP179" s="53"/>
      <c r="AQ179" s="53"/>
      <c r="AR179" s="53"/>
      <c r="AS179" s="53"/>
      <c r="AT179" s="54"/>
      <c r="AU179" s="54"/>
      <c r="AV179" s="54"/>
      <c r="AW179" s="54"/>
      <c r="AX179" s="54"/>
      <c r="AY179" s="54"/>
      <c r="AZ179" s="53"/>
      <c r="BA179" s="53"/>
      <c r="BB179" s="54"/>
      <c r="BC179" s="54"/>
      <c r="BD179" s="54"/>
      <c r="BE179" s="54"/>
      <c r="BF179" s="54"/>
      <c r="BG179" s="54"/>
      <c r="BH179" s="54"/>
      <c r="BI179" s="54"/>
      <c r="BJ179" s="54"/>
      <c r="BK179" s="54"/>
      <c r="BL179" s="54"/>
      <c r="BM179" s="54"/>
      <c r="BN179" s="54"/>
      <c r="BO179" s="54"/>
      <c r="BP179" s="54"/>
      <c r="BQ179" s="53"/>
      <c r="BR179" s="53"/>
      <c r="BS179" s="54"/>
      <c r="BT179" s="54"/>
      <c r="BU179" s="68"/>
    </row>
    <row r="180" spans="2:73" x14ac:dyDescent="0.3">
      <c r="B180" s="17" t="s">
        <v>355</v>
      </c>
      <c r="C180" s="18" t="s">
        <v>356</v>
      </c>
      <c r="D180" s="63">
        <v>1437.4059999999999</v>
      </c>
      <c r="E180" s="63">
        <f>Tabelle2[[#This Row],[BIP (mrd.)]]*1000000000/Tabelle2[[#This Row],[Bevölkerung]]</f>
        <v>16808.097788248786</v>
      </c>
      <c r="F180" s="63">
        <v>0.751</v>
      </c>
      <c r="G180" s="53">
        <v>785350</v>
      </c>
      <c r="H180" s="63">
        <v>85518660</v>
      </c>
      <c r="I180" s="88">
        <v>285.17700000000002</v>
      </c>
      <c r="J180" s="88">
        <f>Tabelle2[[#This Row],[Strom (mrd.)]]*1000000000/Tabelle2[[#This Row],[Bevölkerung]]</f>
        <v>3334.6757304195366</v>
      </c>
      <c r="K180" s="53"/>
      <c r="L180" s="53">
        <f>1000000*Tabelle2[[#This Row],[Bevölkerung]]*EXP(-15.4183+0.052*LN((Tabelle2[[#This Row],[BIP (mrd.)]]*1000000000)/Tabelle2[[#This Row],[Bevölkerung]]))</f>
        <v>28556517.416932855</v>
      </c>
      <c r="M180" s="53" t="str">
        <f t="shared" si="101"/>
        <v/>
      </c>
      <c r="N180" s="65" t="str">
        <f t="shared" si="92"/>
        <v/>
      </c>
      <c r="O180" s="53"/>
      <c r="P180" s="53"/>
      <c r="Q180" s="53">
        <f>1000000*Tabelle2[[#This Row],[Bevölkerung]]*EXP(-17.8941+0.2965*LN((Tabelle2[[#This Row],[BIP (mrd.)]]*1000000000)/Tabelle2[[#This Row],[Bevölkerung]]))</f>
        <v>25919000.703553673</v>
      </c>
      <c r="R180" s="53" t="str">
        <f t="shared" si="93"/>
        <v/>
      </c>
      <c r="S180" s="53" t="str">
        <f t="shared" si="94"/>
        <v/>
      </c>
      <c r="T180" s="53">
        <f>1000000*Tabelle2[[#This Row],[Bevölkerung]]*EXP(-14.22+0.2263*LN((Tabelle2[[#This Row],[BIP (mrd.)]]*1000000000)/Tabelle2[[#This Row],[Bevölkerung]]))</f>
        <v>515974461.0628742</v>
      </c>
      <c r="U180" s="53" t="str">
        <f t="shared" si="95"/>
        <v/>
      </c>
      <c r="V180" s="53" t="str">
        <f t="shared" si="96"/>
        <v/>
      </c>
      <c r="W180" s="54"/>
      <c r="X180" s="53">
        <f>1000000*Tabelle2[[#This Row],[Bevölkerung]]*EXP(-17.9119+0.2965*LN((Tabelle2[[#This Row],[BIP (mrd.)]]*1000000000)/Tabelle2[[#This Row],[Bevölkerung]]))</f>
        <v>25461724.324362192</v>
      </c>
      <c r="Y180" s="53" t="str">
        <f t="shared" si="97"/>
        <v/>
      </c>
      <c r="Z180" s="65" t="str">
        <f t="shared" si="98"/>
        <v/>
      </c>
      <c r="AA180" s="54"/>
      <c r="AB180" s="54"/>
      <c r="AC180" s="54"/>
      <c r="AD180" s="54"/>
      <c r="AE180" s="54"/>
      <c r="AF180" s="54"/>
      <c r="AG180" s="54"/>
      <c r="AH180" s="54">
        <v>1</v>
      </c>
      <c r="AI180" s="54">
        <v>1</v>
      </c>
      <c r="AJ180" s="54">
        <v>39167546</v>
      </c>
      <c r="AK180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30144446.875873689</v>
      </c>
      <c r="AL180" s="54">
        <f t="shared" si="99"/>
        <v>9023099.1241263114</v>
      </c>
      <c r="AM180" s="89">
        <f t="shared" si="100"/>
        <v>-0.23037182682127472</v>
      </c>
      <c r="AN180" s="91">
        <f t="shared" si="89"/>
        <v>0.23037182682127472</v>
      </c>
      <c r="AO180" s="54"/>
      <c r="AP180" s="53"/>
      <c r="AQ180" s="53"/>
      <c r="AR180" s="53"/>
      <c r="AS180" s="53"/>
      <c r="AT180" s="54"/>
      <c r="AU180" s="54"/>
      <c r="AV180" s="54"/>
      <c r="AW180" s="54"/>
      <c r="AX180" s="54"/>
      <c r="AY180" s="54"/>
      <c r="AZ180" s="53"/>
      <c r="BA180" s="53"/>
      <c r="BB180" s="54"/>
      <c r="BC180" s="54"/>
      <c r="BD180" s="54"/>
      <c r="BE180" s="54"/>
      <c r="BF180" s="54"/>
      <c r="BG180" s="54"/>
      <c r="BH180" s="54"/>
      <c r="BI180" s="54"/>
      <c r="BJ180" s="54"/>
      <c r="BK180" s="54"/>
      <c r="BL180" s="54"/>
      <c r="BM180" s="54"/>
      <c r="BN180" s="54"/>
      <c r="BO180" s="54"/>
      <c r="BP180" s="54"/>
      <c r="BQ180" s="53"/>
      <c r="BR180" s="53"/>
      <c r="BS180" s="54"/>
      <c r="BT180" s="54"/>
      <c r="BU180" s="68"/>
    </row>
    <row r="181" spans="2:73" x14ac:dyDescent="0.3">
      <c r="B181" s="2" t="s">
        <v>357</v>
      </c>
      <c r="C181" s="3" t="s">
        <v>358</v>
      </c>
      <c r="D181" s="63">
        <v>8.9054000000000008E-2</v>
      </c>
      <c r="E181" s="63">
        <f>Tabelle2[[#This Row],[BIP (mrd.)]]*1000000000/Tabelle2[[#This Row],[Bevölkerung]]</f>
        <v>11.882580559076658</v>
      </c>
      <c r="F181" s="63">
        <v>0.51600000000000001</v>
      </c>
      <c r="G181" s="53">
        <v>491209</v>
      </c>
      <c r="H181" s="63">
        <v>7494500</v>
      </c>
      <c r="I181" s="88"/>
      <c r="J181" s="88">
        <f>Tabelle2[[#This Row],[Strom (mrd.)]]*1000000000/Tabelle2[[#This Row],[Bevölkerung]]</f>
        <v>0</v>
      </c>
      <c r="K181" s="53"/>
      <c r="L181" s="53">
        <f>Tabelle2[[#This Row],[Wohnimmobilien Anzahl]]/Tabelle2[[#This Row],[Bevölkerung]]</f>
        <v>0</v>
      </c>
      <c r="M181" s="53">
        <f t="shared" si="91"/>
        <v>0</v>
      </c>
      <c r="N181" s="53" t="str">
        <f t="shared" si="92"/>
        <v/>
      </c>
      <c r="O181" s="53"/>
      <c r="P181" s="53"/>
      <c r="Q181" s="53">
        <f>1000000*Tabelle2[[#This Row],[Bevölkerung]]*EXP(-17.8941+0.2965*LN((Tabelle2[[#This Row],[BIP (mrd.)]]*1000000000)/Tabelle2[[#This Row],[Bevölkerung]]))</f>
        <v>264329.00296055671</v>
      </c>
      <c r="R181" s="53" t="str">
        <f t="shared" si="93"/>
        <v/>
      </c>
      <c r="S181" s="53" t="str">
        <f t="shared" si="94"/>
        <v/>
      </c>
      <c r="T181" s="53">
        <f>1000000*Tabelle2[[#This Row],[Bevölkerung]]*EXP(-14.22+0.2263*LN((Tabelle2[[#This Row],[BIP (mrd.)]]*1000000000)/Tabelle2[[#This Row],[Bevölkerung]]))</f>
        <v>8756437.2120643836</v>
      </c>
      <c r="U181" s="53" t="str">
        <f t="shared" si="95"/>
        <v/>
      </c>
      <c r="V181" s="53" t="str">
        <f t="shared" si="96"/>
        <v/>
      </c>
      <c r="W181" s="54"/>
      <c r="X181" s="54"/>
      <c r="Y181" s="54" t="str">
        <f t="shared" si="97"/>
        <v/>
      </c>
      <c r="Z181" s="54" t="str">
        <f t="shared" si="98"/>
        <v/>
      </c>
      <c r="AA181" s="54"/>
      <c r="AB181" s="54"/>
      <c r="AC181" s="54"/>
      <c r="AD181" s="54"/>
      <c r="AE181" s="54"/>
      <c r="AF181" s="54"/>
      <c r="AG181" s="54"/>
      <c r="AH181" s="54"/>
      <c r="AI181" s="54">
        <v>0</v>
      </c>
      <c r="AJ181" s="54"/>
      <c r="AK181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367218.65396468091</v>
      </c>
      <c r="AL181" s="54" t="str">
        <f t="shared" si="99"/>
        <v/>
      </c>
      <c r="AM181" s="89" t="str">
        <f t="shared" si="100"/>
        <v/>
      </c>
      <c r="AN181" s="91"/>
      <c r="AO181" s="54"/>
      <c r="AP181" s="53"/>
      <c r="AQ181" s="53"/>
      <c r="AR181" s="53"/>
      <c r="AS181" s="53"/>
      <c r="AT181" s="54"/>
      <c r="AU181" s="54"/>
      <c r="AV181" s="54"/>
      <c r="AW181" s="54"/>
      <c r="AX181" s="54"/>
      <c r="AY181" s="54"/>
      <c r="AZ181" s="53"/>
      <c r="BA181" s="53"/>
      <c r="BB181" s="54"/>
      <c r="BC181" s="54"/>
      <c r="BD181" s="54"/>
      <c r="BE181" s="54"/>
      <c r="BF181" s="54"/>
      <c r="BG181" s="54"/>
      <c r="BH181" s="54"/>
      <c r="BI181" s="54"/>
      <c r="BJ181" s="54"/>
      <c r="BK181" s="54"/>
      <c r="BL181" s="54"/>
      <c r="BM181" s="54"/>
      <c r="BN181" s="54"/>
      <c r="BO181" s="54"/>
      <c r="BP181" s="54"/>
      <c r="BQ181" s="53"/>
      <c r="BR181" s="53"/>
      <c r="BS181" s="54"/>
      <c r="BT181" s="54"/>
      <c r="BU181" s="68"/>
    </row>
    <row r="182" spans="2:73" x14ac:dyDescent="0.3">
      <c r="B182" s="2" t="s">
        <v>359</v>
      </c>
      <c r="C182" s="3" t="s">
        <v>360</v>
      </c>
      <c r="D182" s="63">
        <v>6.5000000000000013E-8</v>
      </c>
      <c r="E182" s="63">
        <f>Tabelle2[[#This Row],[BIP (mrd.)]]*1000000000/Tabelle2[[#This Row],[Bevölkerung]]</f>
        <v>1.396948205458844E-3</v>
      </c>
      <c r="F182" s="63">
        <v>0.624</v>
      </c>
      <c r="G182" s="53">
        <v>30</v>
      </c>
      <c r="H182" s="63">
        <v>46530</v>
      </c>
      <c r="I182" s="88"/>
      <c r="J182" s="88">
        <f>Tabelle2[[#This Row],[Strom (mrd.)]]*1000000000/Tabelle2[[#This Row],[Bevölkerung]]</f>
        <v>0</v>
      </c>
      <c r="K182" s="53"/>
      <c r="L182" s="53">
        <f>Tabelle2[[#This Row],[Wohnimmobilien Anzahl]]/Tabelle2[[#This Row],[Bevölkerung]]</f>
        <v>0</v>
      </c>
      <c r="M182" s="53">
        <f t="shared" si="91"/>
        <v>0</v>
      </c>
      <c r="N182" s="53" t="str">
        <f t="shared" si="92"/>
        <v/>
      </c>
      <c r="O182" s="53"/>
      <c r="P182" s="53"/>
      <c r="Q182" s="53">
        <f>1000000*Tabelle2[[#This Row],[Bevölkerung]]*EXP(-17.8941+0.2965*LN((Tabelle2[[#This Row],[BIP (mrd.)]]*1000000000)/Tabelle2[[#This Row],[Bevölkerung]]))</f>
        <v>112.19412712254632</v>
      </c>
      <c r="R182" s="53" t="str">
        <f t="shared" si="93"/>
        <v/>
      </c>
      <c r="S182" s="53" t="str">
        <f t="shared" si="94"/>
        <v/>
      </c>
      <c r="T182" s="53">
        <f>1000000*Tabelle2[[#This Row],[Bevölkerung]]*EXP(-14.22+0.2263*LN((Tabelle2[[#This Row],[BIP (mrd.)]]*1000000000)/Tabelle2[[#This Row],[Bevölkerung]]))</f>
        <v>7014.8731597524784</v>
      </c>
      <c r="U182" s="53" t="str">
        <f t="shared" si="95"/>
        <v/>
      </c>
      <c r="V182" s="53" t="str">
        <f t="shared" si="96"/>
        <v/>
      </c>
      <c r="W182" s="54"/>
      <c r="X182" s="54"/>
      <c r="Y182" s="54" t="str">
        <f t="shared" si="97"/>
        <v/>
      </c>
      <c r="Z182" s="54" t="str">
        <f t="shared" si="98"/>
        <v/>
      </c>
      <c r="AA182" s="54"/>
      <c r="AB182" s="54"/>
      <c r="AC182" s="54"/>
      <c r="AD182" s="54"/>
      <c r="AE182" s="54"/>
      <c r="AF182" s="54"/>
      <c r="AG182" s="54"/>
      <c r="AH182" s="54"/>
      <c r="AI182" s="54">
        <v>0</v>
      </c>
      <c r="AJ182" s="54"/>
      <c r="AK182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195.37576133462744</v>
      </c>
      <c r="AL182" s="54" t="str">
        <f t="shared" si="99"/>
        <v/>
      </c>
      <c r="AM182" s="89" t="str">
        <f t="shared" si="100"/>
        <v/>
      </c>
      <c r="AN182" s="91"/>
      <c r="AO182" s="54"/>
      <c r="AP182" s="53"/>
      <c r="AQ182" s="53"/>
      <c r="AR182" s="53"/>
      <c r="AS182" s="53"/>
      <c r="AT182" s="54"/>
      <c r="AU182" s="54"/>
      <c r="AV182" s="54"/>
      <c r="AW182" s="54"/>
      <c r="AX182" s="54"/>
      <c r="AY182" s="54"/>
      <c r="AZ182" s="53"/>
      <c r="BA182" s="53"/>
      <c r="BB182" s="54"/>
      <c r="BC182" s="54"/>
      <c r="BD182" s="54"/>
      <c r="BE182" s="54"/>
      <c r="BF182" s="54"/>
      <c r="BG182" s="54"/>
      <c r="BH182" s="54"/>
      <c r="BI182" s="54"/>
      <c r="BJ182" s="54"/>
      <c r="BK182" s="54"/>
      <c r="BL182" s="54"/>
      <c r="BM182" s="54"/>
      <c r="BN182" s="54"/>
      <c r="BO182" s="54"/>
      <c r="BP182" s="54"/>
      <c r="BQ182" s="53"/>
      <c r="BR182" s="53"/>
      <c r="BS182" s="54"/>
      <c r="BT182" s="54"/>
      <c r="BU182" s="68"/>
    </row>
    <row r="183" spans="2:73" x14ac:dyDescent="0.3">
      <c r="B183" s="22" t="s">
        <v>361</v>
      </c>
      <c r="C183" s="23" t="s">
        <v>362</v>
      </c>
      <c r="D183" s="63">
        <v>6.4277000000000001E-2</v>
      </c>
      <c r="E183" s="63">
        <f>Tabelle2[[#This Row],[BIP (mrd.)]]*1000000000/Tabelle2[[#This Row],[Bevölkerung]]</f>
        <v>1.2851521410838209</v>
      </c>
      <c r="F183" s="63">
        <v>0.23799999999999999</v>
      </c>
      <c r="G183" s="53">
        <v>241550</v>
      </c>
      <c r="H183" s="63">
        <v>50015090</v>
      </c>
      <c r="I183" s="88"/>
      <c r="J183" s="88">
        <f>Tabelle2[[#This Row],[Strom (mrd.)]]*1000000000/Tabelle2[[#This Row],[Bevölkerung]]</f>
        <v>0</v>
      </c>
      <c r="K183" s="53"/>
      <c r="L183" s="53">
        <f>Tabelle2[[#This Row],[Wohnimmobilien Anzahl]]/Tabelle2[[#This Row],[Bevölkerung]]</f>
        <v>0</v>
      </c>
      <c r="M183" s="53">
        <f t="shared" si="91"/>
        <v>0</v>
      </c>
      <c r="N183" s="53" t="str">
        <f t="shared" si="92"/>
        <v/>
      </c>
      <c r="O183" s="53"/>
      <c r="P183" s="53"/>
      <c r="Q183" s="53">
        <f>1000000*Tabelle2[[#This Row],[Bevölkerung]]*EXP(-17.8941+0.2965*LN((Tabelle2[[#This Row],[BIP (mrd.)]]*1000000000)/Tabelle2[[#This Row],[Bevölkerung]]))</f>
        <v>912214.95600972511</v>
      </c>
      <c r="R183" s="53" t="str">
        <f t="shared" si="93"/>
        <v/>
      </c>
      <c r="S183" s="53" t="str">
        <f t="shared" si="94"/>
        <v/>
      </c>
      <c r="T183" s="53">
        <f>1000000*Tabelle2[[#This Row],[Wohneinheiten Anzahl]]*EXP(-14.22+0.02263*LN((Tabelle2[[#This Row],[BIP (mrd.)]]*1000000000)/Tabelle2[[#This Row],[Bevölkerung]]))</f>
        <v>0</v>
      </c>
      <c r="U183" s="53" t="str">
        <f t="shared" si="95"/>
        <v/>
      </c>
      <c r="V183" s="53" t="str">
        <f t="shared" si="96"/>
        <v/>
      </c>
      <c r="W183" s="54"/>
      <c r="X183" s="54"/>
      <c r="Y183" s="54" t="str">
        <f t="shared" si="97"/>
        <v/>
      </c>
      <c r="Z183" s="54" t="str">
        <f t="shared" si="98"/>
        <v/>
      </c>
      <c r="AA183" s="54"/>
      <c r="AB183" s="54"/>
      <c r="AC183" s="54"/>
      <c r="AD183" s="54"/>
      <c r="AE183" s="54"/>
      <c r="AF183" s="54"/>
      <c r="AG183" s="54"/>
      <c r="AH183" s="54"/>
      <c r="AI183" s="54">
        <v>0</v>
      </c>
      <c r="AJ183" s="54"/>
      <c r="AK183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1338265.624851682</v>
      </c>
      <c r="AL183" s="54" t="str">
        <f t="shared" si="99"/>
        <v/>
      </c>
      <c r="AM183" s="89" t="str">
        <f t="shared" si="100"/>
        <v/>
      </c>
      <c r="AN183" s="91"/>
      <c r="AO183" s="54"/>
      <c r="AP183" s="53"/>
      <c r="AQ183" s="53"/>
      <c r="AR183" s="53"/>
      <c r="AS183" s="53"/>
      <c r="AT183" s="54"/>
      <c r="AU183" s="54"/>
      <c r="AV183" s="54"/>
      <c r="AW183" s="54"/>
      <c r="AX183" s="54"/>
      <c r="AY183" s="54"/>
      <c r="AZ183" s="53"/>
      <c r="BA183" s="53"/>
      <c r="BB183" s="54"/>
      <c r="BC183" s="54"/>
      <c r="BD183" s="54"/>
      <c r="BE183" s="54"/>
      <c r="BF183" s="54"/>
      <c r="BG183" s="54"/>
      <c r="BH183" s="54"/>
      <c r="BI183" s="54"/>
      <c r="BJ183" s="54"/>
      <c r="BK183" s="54"/>
      <c r="BL183" s="54"/>
      <c r="BM183" s="54"/>
      <c r="BN183" s="54"/>
      <c r="BO183" s="54"/>
      <c r="BP183" s="54"/>
      <c r="BQ183" s="53"/>
      <c r="BR183" s="53"/>
      <c r="BS183" s="54"/>
      <c r="BT183" s="54"/>
      <c r="BU183" s="68"/>
    </row>
    <row r="184" spans="2:73" x14ac:dyDescent="0.3">
      <c r="B184" s="4" t="s">
        <v>363</v>
      </c>
      <c r="C184" s="5" t="s">
        <v>364</v>
      </c>
      <c r="D184" s="63">
        <v>0.20574200000000001</v>
      </c>
      <c r="E184" s="63">
        <f>Tabelle2[[#This Row],[BIP (mrd.)]]*1000000000/Tabelle2[[#This Row],[Bevölkerung]]</f>
        <v>5.434252627163815</v>
      </c>
      <c r="F184" s="63">
        <v>0.69399999999999995</v>
      </c>
      <c r="G184" s="53">
        <v>603550</v>
      </c>
      <c r="H184" s="63">
        <v>37860220</v>
      </c>
      <c r="I184" s="88"/>
      <c r="J184" s="88">
        <f>Tabelle2[[#This Row],[Strom (mrd.)]]*1000000000/Tabelle2[[#This Row],[Bevölkerung]]</f>
        <v>0</v>
      </c>
      <c r="K184" s="53"/>
      <c r="L184" s="53">
        <f>Tabelle2[[#This Row],[Wohnimmobilien Anzahl]]/Tabelle2[[#This Row],[Bevölkerung]]</f>
        <v>0</v>
      </c>
      <c r="M184" s="53">
        <f t="shared" si="91"/>
        <v>0</v>
      </c>
      <c r="N184" s="53" t="str">
        <f t="shared" si="92"/>
        <v/>
      </c>
      <c r="O184" s="53"/>
      <c r="P184" s="53"/>
      <c r="Q184" s="53">
        <f>1000000*Tabelle2[[#This Row],[Bevölkerung]]*EXP(-17.8941+0.2965*LN((Tabelle2[[#This Row],[BIP (mrd.)]]*1000000000)/Tabelle2[[#This Row],[Bevölkerung]]))</f>
        <v>1058871.3615486845</v>
      </c>
      <c r="R184" s="53" t="str">
        <f t="shared" si="93"/>
        <v/>
      </c>
      <c r="S184" s="53" t="str">
        <f t="shared" si="94"/>
        <v/>
      </c>
      <c r="T184" s="53">
        <f>1000000*Tabelle2[[#This Row],[Bevölkerung]]*EXP(-14.22+0.2263*LN((Tabelle2[[#This Row],[BIP (mrd.)]]*1000000000)/Tabelle2[[#This Row],[Bevölkerung]]))</f>
        <v>37057638.699387886</v>
      </c>
      <c r="U184" s="53" t="str">
        <f t="shared" si="95"/>
        <v/>
      </c>
      <c r="V184" s="53" t="str">
        <f t="shared" si="96"/>
        <v/>
      </c>
      <c r="W184" s="54"/>
      <c r="X184" s="54"/>
      <c r="Y184" s="54" t="str">
        <f t="shared" si="97"/>
        <v/>
      </c>
      <c r="Z184" s="54" t="str">
        <f t="shared" si="98"/>
        <v/>
      </c>
      <c r="AA184" s="54"/>
      <c r="AB184" s="54"/>
      <c r="AC184" s="54"/>
      <c r="AD184" s="54"/>
      <c r="AE184" s="54"/>
      <c r="AF184" s="54"/>
      <c r="AG184" s="54"/>
      <c r="AH184" s="54"/>
      <c r="AI184" s="54">
        <v>0</v>
      </c>
      <c r="AJ184" s="54"/>
      <c r="AK184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1499501.1071491658</v>
      </c>
      <c r="AL184" s="54" t="str">
        <f t="shared" si="99"/>
        <v/>
      </c>
      <c r="AM184" s="89" t="str">
        <f t="shared" si="100"/>
        <v/>
      </c>
      <c r="AN184" s="91"/>
      <c r="AO184" s="54"/>
      <c r="AP184" s="53"/>
      <c r="AQ184" s="53"/>
      <c r="AR184" s="53"/>
      <c r="AS184" s="53"/>
      <c r="AT184" s="54"/>
      <c r="AU184" s="54"/>
      <c r="AV184" s="54"/>
      <c r="AW184" s="54"/>
      <c r="AX184" s="54"/>
      <c r="AY184" s="54"/>
      <c r="AZ184" s="53"/>
      <c r="BA184" s="53"/>
      <c r="BB184" s="54"/>
      <c r="BC184" s="54"/>
      <c r="BD184" s="54"/>
      <c r="BE184" s="54"/>
      <c r="BF184" s="54"/>
      <c r="BG184" s="54"/>
      <c r="BH184" s="54"/>
      <c r="BI184" s="54"/>
      <c r="BJ184" s="54"/>
      <c r="BK184" s="54"/>
      <c r="BL184" s="54"/>
      <c r="BM184" s="54"/>
      <c r="BN184" s="54"/>
      <c r="BO184" s="54"/>
      <c r="BP184" s="54"/>
      <c r="BQ184" s="53"/>
      <c r="BR184" s="53"/>
      <c r="BS184" s="54"/>
      <c r="BT184" s="54"/>
      <c r="BU184" s="68"/>
    </row>
    <row r="185" spans="2:73" x14ac:dyDescent="0.3">
      <c r="B185" s="13" t="s">
        <v>365</v>
      </c>
      <c r="C185" s="14" t="s">
        <v>366</v>
      </c>
      <c r="D185" s="63">
        <v>237.07</v>
      </c>
      <c r="E185" s="63">
        <f>Tabelle2[[#This Row],[BIP (mrd.)]]*1000000000/Tabelle2[[#This Row],[Bevölkerung]]</f>
        <v>24792.126588659015</v>
      </c>
      <c r="F185" s="63">
        <v>0.71399999999999997</v>
      </c>
      <c r="G185" s="53">
        <v>93030</v>
      </c>
      <c r="H185" s="63">
        <v>9562310</v>
      </c>
      <c r="I185" s="88">
        <v>42.738999999999997</v>
      </c>
      <c r="J185" s="88">
        <f>Tabelle2[[#This Row],[Strom (mrd.)]]*1000000000/Tabelle2[[#This Row],[Bevölkerung]]</f>
        <v>4469.5267147791692</v>
      </c>
      <c r="K185" s="53">
        <v>2790000</v>
      </c>
      <c r="L185" s="53">
        <f>1000000*Tabelle2[[#This Row],[Bevölkerung]]*EXP(-15.4183+0.052*LN((Tabelle2[[#This Row],[BIP (mrd.)]]*1000000000)/Tabelle2[[#This Row],[Bevölkerung]]))</f>
        <v>3258250.9100127779</v>
      </c>
      <c r="M185" s="53">
        <f t="shared" ref="M185:M186" si="102">IF(AND(ISNUMBER(K185), ISNUMBER(L185)), K185-L185, "")</f>
        <v>-468250.91001277789</v>
      </c>
      <c r="N185" s="65">
        <f t="shared" si="92"/>
        <v>0.16783186738809244</v>
      </c>
      <c r="O185" s="53"/>
      <c r="P185" s="53"/>
      <c r="Q185" s="53">
        <f>1000000*Tabelle2[[#This Row],[Bevölkerung]]*EXP(-17.8941+0.2965*LN((Tabelle2[[#This Row],[BIP (mrd.)]]*1000000000)/Tabelle2[[#This Row],[Bevölkerung]]))</f>
        <v>3252130.514089887</v>
      </c>
      <c r="R185" s="53" t="str">
        <f t="shared" si="93"/>
        <v/>
      </c>
      <c r="S185" s="53" t="str">
        <f t="shared" si="94"/>
        <v/>
      </c>
      <c r="T185" s="53">
        <f>1000000*Tabelle2[[#This Row],[Bevölkerung]]*EXP(-14.22+0.2263*LN((Tabelle2[[#This Row],[BIP (mrd.)]]*1000000000)/Tabelle2[[#This Row],[Bevölkerung]]))</f>
        <v>62998251.352657989</v>
      </c>
      <c r="U185" s="53" t="str">
        <f t="shared" si="95"/>
        <v/>
      </c>
      <c r="V185" s="53" t="str">
        <f t="shared" si="96"/>
        <v/>
      </c>
      <c r="W185" s="54"/>
      <c r="X185" s="53">
        <f>1000000*Tabelle2[[#This Row],[Bevölkerung]]*EXP(-17.9119+0.2965*LN((Tabelle2[[#This Row],[BIP (mrd.)]]*1000000000)/Tabelle2[[#This Row],[Bevölkerung]]))</f>
        <v>3194754.7501416556</v>
      </c>
      <c r="Y185" s="53" t="str">
        <f t="shared" si="97"/>
        <v/>
      </c>
      <c r="Z185" s="65" t="str">
        <f t="shared" si="98"/>
        <v/>
      </c>
      <c r="AA185" s="54"/>
      <c r="AB185" s="54"/>
      <c r="AC185" s="54"/>
      <c r="AD185" s="54"/>
      <c r="AE185" s="54"/>
      <c r="AF185" s="54"/>
      <c r="AG185" s="54"/>
      <c r="AH185" s="54">
        <v>0</v>
      </c>
      <c r="AI185" s="54" t="s">
        <v>989</v>
      </c>
      <c r="AJ185" s="54">
        <v>4603906</v>
      </c>
      <c r="AK185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3746463.8900168645</v>
      </c>
      <c r="AL185" s="54">
        <f t="shared" si="99"/>
        <v>857442.10998313548</v>
      </c>
      <c r="AM185" s="89">
        <f t="shared" si="100"/>
        <v>-0.18624231467435162</v>
      </c>
      <c r="AN185" s="91">
        <f t="shared" si="89"/>
        <v>0.18624231467435162</v>
      </c>
      <c r="AO185" s="54"/>
      <c r="AP185" s="53"/>
      <c r="AQ185" s="53"/>
      <c r="AR185" s="53"/>
      <c r="AS185" s="53"/>
      <c r="AT185" s="54"/>
      <c r="AU185" s="54"/>
      <c r="AV185" s="54"/>
      <c r="AW185" s="54"/>
      <c r="AX185" s="54"/>
      <c r="AY185" s="54"/>
      <c r="AZ185" s="53"/>
      <c r="BA185" s="53"/>
      <c r="BB185" s="54"/>
      <c r="BC185" s="54"/>
      <c r="BD185" s="54"/>
      <c r="BE185" s="54"/>
      <c r="BF185" s="54"/>
      <c r="BG185" s="54"/>
      <c r="BH185" s="54"/>
      <c r="BI185" s="54"/>
      <c r="BJ185" s="54"/>
      <c r="BK185" s="54"/>
      <c r="BL185" s="54"/>
      <c r="BM185" s="54"/>
      <c r="BN185" s="54"/>
      <c r="BO185" s="54"/>
      <c r="BP185" s="54"/>
      <c r="BQ185" s="53"/>
      <c r="BR185" s="53"/>
      <c r="BS185" s="54"/>
      <c r="BT185" s="54"/>
      <c r="BU185" s="68"/>
    </row>
    <row r="186" spans="2:73" x14ac:dyDescent="0.3">
      <c r="B186" s="24" t="s">
        <v>367</v>
      </c>
      <c r="C186" s="23" t="s">
        <v>368</v>
      </c>
      <c r="D186" s="63">
        <v>79.730999999999995</v>
      </c>
      <c r="E186" s="63">
        <f>Tabelle2[[#This Row],[BIP (mrd.)]]*1000000000/Tabelle2[[#This Row],[Bevölkerung]]</f>
        <v>23543.151075270405</v>
      </c>
      <c r="F186" s="63">
        <v>0.95299999999999996</v>
      </c>
      <c r="G186" s="53">
        <v>176220</v>
      </c>
      <c r="H186" s="63">
        <v>3386590</v>
      </c>
      <c r="I186" s="88">
        <v>9.8260000000000005</v>
      </c>
      <c r="J186" s="88">
        <f>Tabelle2[[#This Row],[Strom (mrd.)]]*1000000000/Tabelle2[[#This Row],[Bevölkerung]]</f>
        <v>2901.4436350429191</v>
      </c>
      <c r="K186" s="53"/>
      <c r="L186" s="53">
        <f>1000000*Tabelle2[[#This Row],[Bevölkerung]]*EXP(-15.4183+0.052*LN((Tabelle2[[#This Row],[BIP (mrd.)]]*1000000000)/Tabelle2[[#This Row],[Bevölkerung]]))</f>
        <v>1150845.3571213218</v>
      </c>
      <c r="M186" s="53" t="str">
        <f t="shared" si="102"/>
        <v/>
      </c>
      <c r="N186" s="65" t="str">
        <f t="shared" si="92"/>
        <v/>
      </c>
      <c r="O186" s="53"/>
      <c r="P186" s="53"/>
      <c r="Q186" s="53">
        <f>1000000*Tabelle2[[#This Row],[Bevölkerung]]*EXP(-17.8941+0.2965*LN((Tabelle2[[#This Row],[BIP (mrd.)]]*1000000000)/Tabelle2[[#This Row],[Bevölkerung]]))</f>
        <v>1134257.302001968</v>
      </c>
      <c r="R186" s="53" t="str">
        <f t="shared" si="93"/>
        <v/>
      </c>
      <c r="S186" s="53" t="str">
        <f t="shared" si="94"/>
        <v/>
      </c>
      <c r="T186" s="53">
        <f>1000000*Tabelle2[[#This Row],[Wohneinheiten Anzahl]]*EXP(-14.22+0.02263*LN((Tabelle2[[#This Row],[BIP (mrd.)]]*1000000000)/Tabelle2[[#This Row],[Bevölkerung]]))</f>
        <v>1390358.2375642206</v>
      </c>
      <c r="U186" s="53" t="str">
        <f t="shared" si="95"/>
        <v/>
      </c>
      <c r="V186" s="53" t="str">
        <f t="shared" si="96"/>
        <v/>
      </c>
      <c r="W186" s="54"/>
      <c r="X186" s="53">
        <f>1000000*Tabelle2[[#This Row],[Bevölkerung]]*EXP(-17.9119+0.2965*LN((Tabelle2[[#This Row],[BIP (mrd.)]]*1000000000)/Tabelle2[[#This Row],[Bevölkerung]]))</f>
        <v>1114246.1496406873</v>
      </c>
      <c r="Y186" s="53" t="str">
        <f t="shared" si="97"/>
        <v/>
      </c>
      <c r="Z186" s="65" t="str">
        <f t="shared" si="98"/>
        <v/>
      </c>
      <c r="AA186" s="54"/>
      <c r="AB186" s="54"/>
      <c r="AC186" s="54"/>
      <c r="AD186" s="54"/>
      <c r="AE186" s="54"/>
      <c r="AF186" s="54"/>
      <c r="AG186" s="54"/>
      <c r="AH186" s="54">
        <v>0</v>
      </c>
      <c r="AI186" s="54" t="s">
        <v>989</v>
      </c>
      <c r="AJ186" s="54">
        <v>1659048</v>
      </c>
      <c r="AK186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1308323.6764190397</v>
      </c>
      <c r="AL186" s="54">
        <f t="shared" si="99"/>
        <v>350724.32358096028</v>
      </c>
      <c r="AM186" s="89">
        <f t="shared" si="100"/>
        <v>-0.21140095017200242</v>
      </c>
      <c r="AN186" s="91">
        <f t="shared" si="89"/>
        <v>0.21140095017200242</v>
      </c>
      <c r="AO186" s="54"/>
      <c r="AP186" s="53"/>
      <c r="AQ186" s="53"/>
      <c r="AR186" s="53"/>
      <c r="AS186" s="53"/>
      <c r="AT186" s="54"/>
      <c r="AU186" s="54"/>
      <c r="AV186" s="54"/>
      <c r="AW186" s="54"/>
      <c r="AX186" s="54"/>
      <c r="AY186" s="54"/>
      <c r="AZ186" s="53"/>
      <c r="BA186" s="53"/>
      <c r="BB186" s="54"/>
      <c r="BC186" s="54"/>
      <c r="BD186" s="54"/>
      <c r="BE186" s="54"/>
      <c r="BF186" s="54"/>
      <c r="BG186" s="54"/>
      <c r="BH186" s="54"/>
      <c r="BI186" s="54"/>
      <c r="BJ186" s="54"/>
      <c r="BK186" s="54"/>
      <c r="BL186" s="54"/>
      <c r="BM186" s="54"/>
      <c r="BN186" s="54"/>
      <c r="BO186" s="54"/>
      <c r="BP186" s="54"/>
      <c r="BQ186" s="53"/>
      <c r="BR186" s="53"/>
      <c r="BS186" s="54"/>
      <c r="BT186" s="54"/>
      <c r="BU186" s="68"/>
    </row>
    <row r="187" spans="2:73" x14ac:dyDescent="0.3">
      <c r="B187" s="4" t="s">
        <v>369</v>
      </c>
      <c r="C187" s="5" t="s">
        <v>370</v>
      </c>
      <c r="D187" s="63">
        <v>0.13248399999999999</v>
      </c>
      <c r="E187" s="63">
        <f>Tabelle2[[#This Row],[BIP (mrd.)]]*1000000000/Tabelle2[[#This Row],[Bevölkerung]]</f>
        <v>3.6434879843880368</v>
      </c>
      <c r="F187" s="63">
        <v>0.505</v>
      </c>
      <c r="G187" s="53">
        <v>448920</v>
      </c>
      <c r="H187" s="63">
        <v>36361860</v>
      </c>
      <c r="I187" s="88"/>
      <c r="J187" s="88">
        <f>Tabelle2[[#This Row],[Strom (mrd.)]]*1000000000/Tabelle2[[#This Row],[Bevölkerung]]</f>
        <v>0</v>
      </c>
      <c r="K187" s="53"/>
      <c r="L187" s="53">
        <f>Tabelle2[[#This Row],[Wohnimmobilien Anzahl]]/Tabelle2[[#This Row],[Bevölkerung]]</f>
        <v>0</v>
      </c>
      <c r="M187" s="53">
        <f t="shared" si="91"/>
        <v>0</v>
      </c>
      <c r="N187" s="53" t="str">
        <f t="shared" si="92"/>
        <v/>
      </c>
      <c r="O187" s="53"/>
      <c r="P187" s="53"/>
      <c r="Q187" s="53">
        <f>1000000*Tabelle2[[#This Row],[Bevölkerung]]*EXP(-17.8941+0.2965*LN((Tabelle2[[#This Row],[BIP (mrd.)]]*1000000000)/Tabelle2[[#This Row],[Bevölkerung]]))</f>
        <v>903289.77369597252</v>
      </c>
      <c r="R187" s="53" t="str">
        <f t="shared" si="93"/>
        <v/>
      </c>
      <c r="S187" s="53" t="str">
        <f t="shared" si="94"/>
        <v/>
      </c>
      <c r="T187" s="53">
        <f>1000000*Tabelle2[[#This Row],[Bevölkerung]]*EXP(-14.22+0.2263*LN((Tabelle2[[#This Row],[BIP (mrd.)]]*1000000000)/Tabelle2[[#This Row],[Bevölkerung]]))</f>
        <v>32512467.577645104</v>
      </c>
      <c r="U187" s="53" t="str">
        <f t="shared" si="95"/>
        <v/>
      </c>
      <c r="V187" s="53" t="str">
        <f t="shared" si="96"/>
        <v/>
      </c>
      <c r="W187" s="54"/>
      <c r="X187" s="54"/>
      <c r="Y187" s="54" t="str">
        <f t="shared" si="97"/>
        <v/>
      </c>
      <c r="Z187" s="54" t="str">
        <f t="shared" si="98"/>
        <v/>
      </c>
      <c r="AA187" s="54"/>
      <c r="AB187" s="54"/>
      <c r="AC187" s="54"/>
      <c r="AD187" s="54"/>
      <c r="AE187" s="54"/>
      <c r="AF187" s="54"/>
      <c r="AG187" s="54"/>
      <c r="AH187" s="54"/>
      <c r="AI187" s="54">
        <v>0</v>
      </c>
      <c r="AJ187" s="54"/>
      <c r="AK187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1291767.8218705633</v>
      </c>
      <c r="AL187" s="54" t="str">
        <f t="shared" si="99"/>
        <v/>
      </c>
      <c r="AM187" s="89" t="str">
        <f t="shared" si="100"/>
        <v/>
      </c>
      <c r="AN187" s="91"/>
      <c r="AO187" s="54"/>
      <c r="AP187" s="53"/>
      <c r="AQ187" s="53"/>
      <c r="AR187" s="53"/>
      <c r="AS187" s="53"/>
      <c r="AT187" s="54"/>
      <c r="AU187" s="54"/>
      <c r="AV187" s="54"/>
      <c r="AW187" s="54"/>
      <c r="AX187" s="54"/>
      <c r="AY187" s="54"/>
      <c r="AZ187" s="53"/>
      <c r="BA187" s="53"/>
      <c r="BB187" s="54"/>
      <c r="BC187" s="54"/>
      <c r="BD187" s="54"/>
      <c r="BE187" s="54"/>
      <c r="BF187" s="54"/>
      <c r="BG187" s="54"/>
      <c r="BH187" s="54"/>
      <c r="BI187" s="54"/>
      <c r="BJ187" s="54"/>
      <c r="BK187" s="54"/>
      <c r="BL187" s="54"/>
      <c r="BM187" s="54"/>
      <c r="BN187" s="54"/>
      <c r="BO187" s="54"/>
      <c r="BP187" s="54"/>
      <c r="BQ187" s="53"/>
      <c r="BR187" s="53"/>
      <c r="BS187" s="54"/>
      <c r="BT187" s="54"/>
      <c r="BU187" s="68"/>
    </row>
    <row r="188" spans="2:73" x14ac:dyDescent="0.3">
      <c r="B188" s="2" t="s">
        <v>371</v>
      </c>
      <c r="C188" s="3" t="s">
        <v>372</v>
      </c>
      <c r="D188" s="63">
        <v>1.2669999999999999E-3</v>
      </c>
      <c r="E188" s="63">
        <f>Tabelle2[[#This Row],[BIP (mrd.)]]*1000000000/Tabelle2[[#This Row],[Bevölkerung]]</f>
        <v>3.8653975227286597</v>
      </c>
      <c r="F188" s="63">
        <v>0.253</v>
      </c>
      <c r="G188" s="53">
        <v>12190</v>
      </c>
      <c r="H188" s="63">
        <v>327780</v>
      </c>
      <c r="I188" s="88"/>
      <c r="J188" s="88">
        <f>Tabelle2[[#This Row],[Strom (mrd.)]]*1000000000/Tabelle2[[#This Row],[Bevölkerung]]</f>
        <v>0</v>
      </c>
      <c r="K188" s="53"/>
      <c r="L188" s="53">
        <f>Tabelle2[[#This Row],[Wohnimmobilien Anzahl]]/Tabelle2[[#This Row],[Bevölkerung]]</f>
        <v>0</v>
      </c>
      <c r="M188" s="53">
        <f t="shared" si="91"/>
        <v>0</v>
      </c>
      <c r="N188" s="53" t="str">
        <f t="shared" si="92"/>
        <v/>
      </c>
      <c r="O188" s="53"/>
      <c r="P188" s="53"/>
      <c r="Q188" s="53">
        <f>1000000*Tabelle2[[#This Row],[Bevölkerung]]*EXP(-17.8941+0.2965*LN((Tabelle2[[#This Row],[BIP (mrd.)]]*1000000000)/Tabelle2[[#This Row],[Bevölkerung]]))</f>
        <v>8286.6048893058378</v>
      </c>
      <c r="R188" s="53" t="str">
        <f t="shared" si="93"/>
        <v/>
      </c>
      <c r="S188" s="53" t="str">
        <f t="shared" si="94"/>
        <v/>
      </c>
      <c r="T188" s="53">
        <f>1000000*Tabelle2[[#This Row],[Bevölkerung]]*EXP(-14.22+0.2263*LN((Tabelle2[[#This Row],[BIP (mrd.)]]*1000000000)/Tabelle2[[#This Row],[Bevölkerung]]))</f>
        <v>297027.7035627017</v>
      </c>
      <c r="U188" s="53" t="str">
        <f t="shared" si="95"/>
        <v/>
      </c>
      <c r="V188" s="53" t="str">
        <f t="shared" si="96"/>
        <v/>
      </c>
      <c r="W188" s="54"/>
      <c r="X188" s="54"/>
      <c r="Y188" s="54" t="str">
        <f t="shared" si="97"/>
        <v/>
      </c>
      <c r="Z188" s="54" t="str">
        <f t="shared" si="98"/>
        <v/>
      </c>
      <c r="AA188" s="54"/>
      <c r="AB188" s="54"/>
      <c r="AC188" s="54"/>
      <c r="AD188" s="54"/>
      <c r="AE188" s="54"/>
      <c r="AF188" s="54"/>
      <c r="AG188" s="54"/>
      <c r="AH188" s="54"/>
      <c r="AI188" s="54">
        <v>0</v>
      </c>
      <c r="AJ188" s="54"/>
      <c r="AK188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11834.037347519703</v>
      </c>
      <c r="AL188" s="54" t="str">
        <f t="shared" si="99"/>
        <v/>
      </c>
      <c r="AM188" s="89" t="str">
        <f t="shared" si="100"/>
        <v/>
      </c>
      <c r="AN188" s="91"/>
      <c r="AO188" s="54"/>
      <c r="AP188" s="53"/>
      <c r="AQ188" s="53"/>
      <c r="AR188" s="53"/>
      <c r="AS188" s="53"/>
      <c r="AT188" s="54"/>
      <c r="AU188" s="54"/>
      <c r="AV188" s="54"/>
      <c r="AW188" s="54"/>
      <c r="AX188" s="54"/>
      <c r="AY188" s="54"/>
      <c r="AZ188" s="53"/>
      <c r="BA188" s="53"/>
      <c r="BB188" s="54"/>
      <c r="BC188" s="54"/>
      <c r="BD188" s="54"/>
      <c r="BE188" s="54"/>
      <c r="BF188" s="54"/>
      <c r="BG188" s="54"/>
      <c r="BH188" s="54"/>
      <c r="BI188" s="54"/>
      <c r="BJ188" s="54"/>
      <c r="BK188" s="54"/>
      <c r="BL188" s="54"/>
      <c r="BM188" s="54"/>
      <c r="BN188" s="54"/>
      <c r="BO188" s="54"/>
      <c r="BP188" s="54"/>
      <c r="BQ188" s="53"/>
      <c r="BR188" s="53"/>
      <c r="BS188" s="54"/>
      <c r="BT188" s="54"/>
      <c r="BU188" s="68"/>
    </row>
    <row r="189" spans="2:73" x14ac:dyDescent="0.3">
      <c r="B189" s="2" t="s">
        <v>373</v>
      </c>
      <c r="C189" s="3" t="s">
        <v>374</v>
      </c>
      <c r="D189" s="63" t="s">
        <v>592</v>
      </c>
      <c r="E189" s="63" t="s">
        <v>592</v>
      </c>
      <c r="F189" s="63"/>
      <c r="G189" s="64" t="s">
        <v>592</v>
      </c>
      <c r="H189" s="63" t="s">
        <v>592</v>
      </c>
      <c r="I189" s="88"/>
      <c r="J189" s="88" t="s">
        <v>592</v>
      </c>
      <c r="K189" s="53"/>
      <c r="L189" s="53" t="s">
        <v>592</v>
      </c>
      <c r="M189" s="53" t="s">
        <v>592</v>
      </c>
      <c r="N189" s="53" t="str">
        <f t="shared" si="92"/>
        <v/>
      </c>
      <c r="O189" s="53"/>
      <c r="P189" s="53"/>
      <c r="Q189" s="53" t="e">
        <f>1000000*Tabelle2[[#This Row],[Bevölkerung]]*EXP(-17.8941+0.2965*LN((Tabelle2[[#This Row],[BIP (mrd.)]]*1000000000)/Tabelle2[[#This Row],[Bevölkerung]]))</f>
        <v>#VALUE!</v>
      </c>
      <c r="R189" s="53" t="str">
        <f t="shared" si="93"/>
        <v/>
      </c>
      <c r="S189" s="53" t="str">
        <f t="shared" si="94"/>
        <v/>
      </c>
      <c r="T189" s="53" t="e">
        <f>1000000*Tabelle2[[#This Row],[Bevölkerung]]*EXP(-14.22+0.2263*LN((Tabelle2[[#This Row],[BIP (mrd.)]]*1000000000)/Tabelle2[[#This Row],[Bevölkerung]]))</f>
        <v>#VALUE!</v>
      </c>
      <c r="U189" s="53" t="str">
        <f t="shared" si="95"/>
        <v/>
      </c>
      <c r="V189" s="53" t="str">
        <f t="shared" si="96"/>
        <v/>
      </c>
      <c r="W189" s="54"/>
      <c r="X189" s="54"/>
      <c r="Y189" s="54" t="str">
        <f t="shared" si="97"/>
        <v/>
      </c>
      <c r="Z189" s="54" t="str">
        <f t="shared" si="98"/>
        <v/>
      </c>
      <c r="AA189" s="54"/>
      <c r="AB189" s="54"/>
      <c r="AC189" s="54"/>
      <c r="AD189" s="54"/>
      <c r="AE189" s="54"/>
      <c r="AF189" s="54"/>
      <c r="AG189" s="54"/>
      <c r="AH189" s="54"/>
      <c r="AI189" s="54">
        <v>0</v>
      </c>
      <c r="AJ189" s="54"/>
      <c r="AK189" s="80" t="e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#VALUE!</v>
      </c>
      <c r="AL189" s="54" t="str">
        <f t="shared" si="99"/>
        <v/>
      </c>
      <c r="AM189" s="89" t="str">
        <f t="shared" si="100"/>
        <v/>
      </c>
      <c r="AN189" s="91"/>
      <c r="AO189" s="54"/>
      <c r="AP189" s="53"/>
      <c r="AQ189" s="53"/>
      <c r="AR189" s="53"/>
      <c r="AS189" s="53"/>
      <c r="AT189" s="54"/>
      <c r="AU189" s="54"/>
      <c r="AV189" s="54"/>
      <c r="AW189" s="54"/>
      <c r="AX189" s="54"/>
      <c r="AY189" s="54"/>
      <c r="AZ189" s="53"/>
      <c r="BA189" s="53"/>
      <c r="BB189" s="54"/>
      <c r="BC189" s="54"/>
      <c r="BD189" s="54"/>
      <c r="BE189" s="54"/>
      <c r="BF189" s="54"/>
      <c r="BG189" s="54"/>
      <c r="BH189" s="54"/>
      <c r="BI189" s="54"/>
      <c r="BJ189" s="54"/>
      <c r="BK189" s="54"/>
      <c r="BL189" s="54"/>
      <c r="BM189" s="54"/>
      <c r="BN189" s="54"/>
      <c r="BO189" s="54"/>
      <c r="BP189" s="54"/>
      <c r="BQ189" s="53"/>
      <c r="BR189" s="53"/>
      <c r="BS189" s="54"/>
      <c r="BT189" s="54"/>
      <c r="BU189" s="68"/>
    </row>
    <row r="190" spans="2:73" x14ac:dyDescent="0.3">
      <c r="B190" s="2" t="s">
        <v>375</v>
      </c>
      <c r="C190" s="3" t="s">
        <v>376</v>
      </c>
      <c r="D190" s="63">
        <v>0.108511</v>
      </c>
      <c r="E190" s="63">
        <f>Tabelle2[[#This Row],[BIP (mrd.)]]*1000000000/Tabelle2[[#This Row],[Bevölkerung]]</f>
        <v>3.8200646775241731</v>
      </c>
      <c r="F190" s="63">
        <v>0.88200000000000001</v>
      </c>
      <c r="G190" s="53">
        <v>912050</v>
      </c>
      <c r="H190" s="63">
        <v>28405540</v>
      </c>
      <c r="I190" s="88"/>
      <c r="J190" s="88">
        <f>Tabelle2[[#This Row],[Strom (mrd.)]]*1000000000/Tabelle2[[#This Row],[Bevölkerung]]</f>
        <v>0</v>
      </c>
      <c r="K190" s="53"/>
      <c r="L190" s="53">
        <f>Tabelle2[[#This Row],[Wohnimmobilien Anzahl]]/Tabelle2[[#This Row],[Bevölkerung]]</f>
        <v>0</v>
      </c>
      <c r="M190" s="53">
        <f t="shared" si="91"/>
        <v>0</v>
      </c>
      <c r="N190" s="53" t="str">
        <f t="shared" si="92"/>
        <v/>
      </c>
      <c r="O190" s="53"/>
      <c r="P190" s="53"/>
      <c r="Q190" s="53">
        <f>1000000*Tabelle2[[#This Row],[Bevölkerung]]*EXP(-17.8941+0.2965*LN((Tabelle2[[#This Row],[BIP (mrd.)]]*1000000000)/Tabelle2[[#This Row],[Bevölkerung]]))</f>
        <v>715612.84675891313</v>
      </c>
      <c r="R190" s="53" t="str">
        <f t="shared" si="93"/>
        <v/>
      </c>
      <c r="S190" s="53" t="str">
        <f t="shared" si="94"/>
        <v/>
      </c>
      <c r="T190" s="53">
        <f>1000000*Tabelle2[[#This Row],[Bevölkerung]]*EXP(-14.22+0.2263*LN((Tabelle2[[#This Row],[BIP (mrd.)]]*1000000000)/Tabelle2[[#This Row],[Bevölkerung]]))</f>
        <v>25671906.371293046</v>
      </c>
      <c r="U190" s="53" t="str">
        <f t="shared" si="95"/>
        <v/>
      </c>
      <c r="V190" s="53" t="str">
        <f t="shared" si="96"/>
        <v/>
      </c>
      <c r="W190" s="54"/>
      <c r="X190" s="54"/>
      <c r="Y190" s="54" t="str">
        <f t="shared" si="97"/>
        <v/>
      </c>
      <c r="Z190" s="54" t="str">
        <f t="shared" si="98"/>
        <v/>
      </c>
      <c r="AA190" s="54"/>
      <c r="AB190" s="54"/>
      <c r="AC190" s="54"/>
      <c r="AD190" s="54"/>
      <c r="AE190" s="54"/>
      <c r="AF190" s="54"/>
      <c r="AG190" s="54"/>
      <c r="AH190" s="54"/>
      <c r="AI190" s="54">
        <v>0</v>
      </c>
      <c r="AJ190" s="54"/>
      <c r="AK190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1022190.9590896301</v>
      </c>
      <c r="AL190" s="54" t="str">
        <f t="shared" si="99"/>
        <v/>
      </c>
      <c r="AM190" s="89" t="str">
        <f t="shared" si="100"/>
        <v/>
      </c>
      <c r="AN190" s="91"/>
      <c r="AO190" s="54"/>
      <c r="AP190" s="53"/>
      <c r="AQ190" s="53"/>
      <c r="AR190" s="53"/>
      <c r="AS190" s="53"/>
      <c r="AT190" s="54"/>
      <c r="AU190" s="54"/>
      <c r="AV190" s="54"/>
      <c r="AW190" s="54"/>
      <c r="AX190" s="54"/>
      <c r="AY190" s="54"/>
      <c r="AZ190" s="53"/>
      <c r="BA190" s="53"/>
      <c r="BB190" s="54"/>
      <c r="BC190" s="54"/>
      <c r="BD190" s="54"/>
      <c r="BE190" s="54"/>
      <c r="BF190" s="54"/>
      <c r="BG190" s="54"/>
      <c r="BH190" s="54"/>
      <c r="BI190" s="54"/>
      <c r="BJ190" s="54"/>
      <c r="BK190" s="54"/>
      <c r="BL190" s="54"/>
      <c r="BM190" s="54"/>
      <c r="BN190" s="54"/>
      <c r="BO190" s="54"/>
      <c r="BP190" s="54"/>
      <c r="BQ190" s="53"/>
      <c r="BR190" s="53"/>
      <c r="BS190" s="54"/>
      <c r="BT190" s="54"/>
      <c r="BU190" s="68"/>
    </row>
    <row r="191" spans="2:73" x14ac:dyDescent="0.3">
      <c r="B191" s="17" t="s">
        <v>377</v>
      </c>
      <c r="C191" s="18" t="s">
        <v>378</v>
      </c>
      <c r="D191" s="63">
        <v>0.54859799999999992</v>
      </c>
      <c r="E191" s="63">
        <f>Tabelle2[[#This Row],[BIP (mrd.)]]*1000000000/Tabelle2[[#This Row],[Bevölkerung]]</f>
        <v>50.436610162011874</v>
      </c>
      <c r="F191" s="63">
        <v>0.86499999999999999</v>
      </c>
      <c r="G191" s="53">
        <v>98648</v>
      </c>
      <c r="H191" s="63">
        <v>10876980</v>
      </c>
      <c r="I191" s="88"/>
      <c r="J191" s="88">
        <f>Tabelle2[[#This Row],[Strom (mrd.)]]*1000000000/Tabelle2[[#This Row],[Bevölkerung]]</f>
        <v>0</v>
      </c>
      <c r="K191" s="53"/>
      <c r="L191" s="53">
        <f>Tabelle2[[#This Row],[Wohnimmobilien Anzahl]]/Tabelle2[[#This Row],[Bevölkerung]]</f>
        <v>0</v>
      </c>
      <c r="M191" s="53">
        <f t="shared" si="91"/>
        <v>0</v>
      </c>
      <c r="N191" s="53" t="str">
        <f t="shared" si="92"/>
        <v/>
      </c>
      <c r="O191" s="53"/>
      <c r="P191" s="53"/>
      <c r="Q191" s="53">
        <f>1000000*Tabelle2[[#This Row],[Bevölkerung]]*EXP(-17.8941+0.2965*LN((Tabelle2[[#This Row],[BIP (mrd.)]]*1000000000)/Tabelle2[[#This Row],[Bevölkerung]]))</f>
        <v>588929.89146585471</v>
      </c>
      <c r="R191" s="53" t="str">
        <f t="shared" si="93"/>
        <v/>
      </c>
      <c r="S191" s="53" t="str">
        <f t="shared" si="94"/>
        <v/>
      </c>
      <c r="T191" s="53">
        <f>1000000*Tabelle2[[#This Row],[Bevölkerung]]*EXP(-14.22+0.2263*LN((Tabelle2[[#This Row],[BIP (mrd.)]]*1000000000)/Tabelle2[[#This Row],[Bevölkerung]]))</f>
        <v>17626747.859431129</v>
      </c>
      <c r="U191" s="53" t="str">
        <f t="shared" si="95"/>
        <v/>
      </c>
      <c r="V191" s="53" t="str">
        <f t="shared" si="96"/>
        <v/>
      </c>
      <c r="W191" s="54"/>
      <c r="X191" s="54"/>
      <c r="Y191" s="54" t="str">
        <f t="shared" si="97"/>
        <v/>
      </c>
      <c r="Z191" s="54" t="str">
        <f t="shared" si="98"/>
        <v/>
      </c>
      <c r="AA191" s="54"/>
      <c r="AB191" s="54"/>
      <c r="AC191" s="54"/>
      <c r="AD191" s="54"/>
      <c r="AE191" s="54"/>
      <c r="AF191" s="54"/>
      <c r="AG191" s="54"/>
      <c r="AH191" s="54"/>
      <c r="AI191" s="54">
        <v>0</v>
      </c>
      <c r="AJ191" s="54"/>
      <c r="AK191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789698.05791551468</v>
      </c>
      <c r="AL191" s="54" t="str">
        <f t="shared" si="99"/>
        <v/>
      </c>
      <c r="AM191" s="89" t="str">
        <f t="shared" si="100"/>
        <v/>
      </c>
      <c r="AN191" s="91"/>
      <c r="AO191" s="54"/>
      <c r="AP191" s="53"/>
      <c r="AQ191" s="53"/>
      <c r="AR191" s="53"/>
      <c r="AS191" s="53"/>
      <c r="AT191" s="54"/>
      <c r="AU191" s="54"/>
      <c r="AV191" s="54"/>
      <c r="AW191" s="54"/>
      <c r="AX191" s="54"/>
      <c r="AY191" s="54"/>
      <c r="AZ191" s="53"/>
      <c r="BA191" s="53"/>
      <c r="BB191" s="54"/>
      <c r="BC191" s="54"/>
      <c r="BD191" s="54"/>
      <c r="BE191" s="54"/>
      <c r="BF191" s="54"/>
      <c r="BG191" s="54"/>
      <c r="BH191" s="54"/>
      <c r="BI191" s="54"/>
      <c r="BJ191" s="54"/>
      <c r="BK191" s="54"/>
      <c r="BL191" s="54"/>
      <c r="BM191" s="54"/>
      <c r="BN191" s="54"/>
      <c r="BO191" s="54"/>
      <c r="BP191" s="54"/>
      <c r="BQ191" s="53"/>
      <c r="BR191" s="53"/>
      <c r="BS191" s="54"/>
      <c r="BT191" s="54"/>
      <c r="BU191" s="68"/>
    </row>
    <row r="192" spans="2:73" x14ac:dyDescent="0.3">
      <c r="B192" s="9" t="s">
        <v>379</v>
      </c>
      <c r="C192" s="10" t="s">
        <v>380</v>
      </c>
      <c r="D192" s="63">
        <v>30507.217000000001</v>
      </c>
      <c r="E192" s="63">
        <f>Tabelle2[[#This Row],[BIP (mrd.)]]*1000000000/Tabelle2[[#This Row],[Bevölkerung]]</f>
        <v>89697.82775910887</v>
      </c>
      <c r="F192" s="63">
        <v>0.82299999999999995</v>
      </c>
      <c r="G192" s="53">
        <v>9831510</v>
      </c>
      <c r="H192" s="63">
        <v>340110990</v>
      </c>
      <c r="I192" s="88">
        <v>4085</v>
      </c>
      <c r="J192" s="88">
        <f>Tabelle2[[#This Row],[Strom (mrd.)]]*1000000000/Tabelle2[[#This Row],[Bevölkerung]]</f>
        <v>12010.785067545155</v>
      </c>
      <c r="K192" s="53"/>
      <c r="L192" s="53">
        <f>1000000*Tabelle2[[#This Row],[Bevölkerung]]*EXP(-15.4183+0.052*LN((Tabelle2[[#This Row],[BIP (mrd.)]]*1000000000)/Tabelle2[[#This Row],[Bevölkerung]]))</f>
        <v>123903254.90301795</v>
      </c>
      <c r="M192" s="53" t="str">
        <f t="shared" ref="M192:M193" si="103">IF(AND(ISNUMBER(K192), ISNUMBER(L192)), K192-L192, "")</f>
        <v/>
      </c>
      <c r="N192" s="65" t="str">
        <f t="shared" si="92"/>
        <v/>
      </c>
      <c r="O192" s="53"/>
      <c r="P192" s="53"/>
      <c r="Q192" s="53">
        <f>1000000*Tabelle2[[#This Row],[Bevölkerung]]*EXP(-17.8941+0.2965*LN((Tabelle2[[#This Row],[BIP (mrd.)]]*1000000000)/Tabelle2[[#This Row],[Bevölkerung]]))</f>
        <v>169360301.38516629</v>
      </c>
      <c r="R192" s="53" t="str">
        <f t="shared" si="93"/>
        <v/>
      </c>
      <c r="S192" s="53" t="str">
        <f t="shared" si="94"/>
        <v/>
      </c>
      <c r="T192" s="53">
        <f>1000000*Tabelle2[[#This Row],[Bevölkerung]]*EXP(-14.22+0.2263*LN((Tabelle2[[#This Row],[BIP (mrd.)]]*1000000000)/Tabelle2[[#This Row],[Bevölkerung]]))</f>
        <v>2997558604.5127678</v>
      </c>
      <c r="U192" s="53" t="str">
        <f t="shared" si="95"/>
        <v/>
      </c>
      <c r="V192" s="53" t="str">
        <f t="shared" si="96"/>
        <v/>
      </c>
      <c r="W192" s="54"/>
      <c r="X192" s="53">
        <f>1000000*Tabelle2[[#This Row],[Bevölkerung]]*EXP(-17.9119+0.2965*LN((Tabelle2[[#This Row],[BIP (mrd.)]]*1000000000)/Tabelle2[[#This Row],[Bevölkerung]]))</f>
        <v>166372359.59366161</v>
      </c>
      <c r="Y192" s="53" t="str">
        <f t="shared" si="97"/>
        <v/>
      </c>
      <c r="Z192" s="65" t="str">
        <f t="shared" si="98"/>
        <v/>
      </c>
      <c r="AA192" s="54"/>
      <c r="AB192" s="54"/>
      <c r="AC192" s="54"/>
      <c r="AD192" s="54"/>
      <c r="AE192" s="54"/>
      <c r="AF192" s="54"/>
      <c r="AG192" s="54"/>
      <c r="AH192" s="54">
        <v>1</v>
      </c>
      <c r="AI192" s="54" t="s">
        <v>989</v>
      </c>
      <c r="AJ192" s="54">
        <v>147947000</v>
      </c>
      <c r="AK192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189052633.61344436</v>
      </c>
      <c r="AL192" s="54">
        <f t="shared" si="99"/>
        <v>-41105633.613444358</v>
      </c>
      <c r="AM192" s="89">
        <f t="shared" si="100"/>
        <v>0.27784026450988769</v>
      </c>
      <c r="AN192" s="91">
        <f t="shared" si="89"/>
        <v>0.27784026450988769</v>
      </c>
      <c r="AO192" s="54"/>
      <c r="AP192" s="53"/>
      <c r="AQ192" s="53"/>
      <c r="AR192" s="53">
        <v>5900000</v>
      </c>
      <c r="AS192" s="53">
        <v>8955853056</v>
      </c>
      <c r="AT192" s="54">
        <v>944000</v>
      </c>
      <c r="AU192" s="54">
        <v>16388000</v>
      </c>
      <c r="AV192" s="54"/>
      <c r="AW192" s="54"/>
      <c r="AX192" s="54"/>
      <c r="AY192" s="54"/>
      <c r="AZ192" s="53"/>
      <c r="BA192" s="53"/>
      <c r="BB192" s="54"/>
      <c r="BC192" s="54"/>
      <c r="BD192" s="54"/>
      <c r="BE192" s="54"/>
      <c r="BF192" s="54"/>
      <c r="BG192" s="54"/>
      <c r="BH192" s="54"/>
      <c r="BI192" s="54"/>
      <c r="BJ192" s="54"/>
      <c r="BK192" s="54"/>
      <c r="BL192" s="54"/>
      <c r="BM192" s="54"/>
      <c r="BN192" s="54"/>
      <c r="BO192" s="54"/>
      <c r="BP192" s="54"/>
      <c r="BQ192" s="53"/>
      <c r="BR192" s="53"/>
      <c r="BS192" s="54"/>
      <c r="BT192" s="54"/>
      <c r="BU192" s="68"/>
    </row>
    <row r="193" spans="1:73" x14ac:dyDescent="0.3">
      <c r="A193" s="2"/>
      <c r="B193" s="9" t="s">
        <v>381</v>
      </c>
      <c r="C193" s="10" t="s">
        <v>382</v>
      </c>
      <c r="D193" s="63">
        <v>3839.18</v>
      </c>
      <c r="E193" s="63">
        <f>Tabelle2[[#This Row],[BIP (mrd.)]]*1000000000/Tabelle2[[#This Row],[Bevölkerung]]</f>
        <v>55458.642706497558</v>
      </c>
      <c r="F193" s="63">
        <v>0.83399999999999996</v>
      </c>
      <c r="G193" s="53">
        <v>243610</v>
      </c>
      <c r="H193" s="63">
        <v>69226000</v>
      </c>
      <c r="I193" s="88">
        <v>262.166</v>
      </c>
      <c r="J193" s="88">
        <f>Tabelle2[[#This Row],[Strom (mrd.)]]*1000000000/Tabelle2[[#This Row],[Bevölkerung]]</f>
        <v>3787.1031115476844</v>
      </c>
      <c r="K193" s="53"/>
      <c r="L193" s="53">
        <f>1000000*Tabelle2[[#This Row],[Bevölkerung]]*EXP(-15.4183+0.052*LN((Tabelle2[[#This Row],[BIP (mrd.)]]*1000000000)/Tabelle2[[#This Row],[Bevölkerung]]))</f>
        <v>24596483.868084438</v>
      </c>
      <c r="M193" s="53" t="str">
        <f t="shared" si="103"/>
        <v/>
      </c>
      <c r="N193" s="65" t="str">
        <f t="shared" si="92"/>
        <v/>
      </c>
      <c r="O193" s="53"/>
      <c r="P193" s="53"/>
      <c r="Q193" s="53">
        <f>1000000*Tabelle2[[#This Row],[Bevölkerung]]*EXP(-17.8941+0.2965*LN((Tabelle2[[#This Row],[BIP (mrd.)]]*1000000000)/Tabelle2[[#This Row],[Bevölkerung]]))</f>
        <v>29891466.886489466</v>
      </c>
      <c r="R193" s="53" t="str">
        <f t="shared" si="93"/>
        <v/>
      </c>
      <c r="S193" s="53" t="str">
        <f t="shared" si="94"/>
        <v/>
      </c>
      <c r="T193" s="53">
        <f>1000000*Tabelle2[[#This Row],[Bevölkerung]]*EXP(-14.22+0.2263*LN((Tabelle2[[#This Row],[BIP (mrd.)]]*1000000000)/Tabelle2[[#This Row],[Bevölkerung]]))</f>
        <v>547219977.10008383</v>
      </c>
      <c r="U193" s="53" t="str">
        <f t="shared" si="95"/>
        <v/>
      </c>
      <c r="V193" s="53" t="str">
        <f t="shared" si="96"/>
        <v/>
      </c>
      <c r="W193" s="54"/>
      <c r="X193" s="53">
        <f>1000000*Tabelle2[[#This Row],[Bevölkerung]]*EXP(-17.9119+0.2965*LN((Tabelle2[[#This Row],[BIP (mrd.)]]*1000000000)/Tabelle2[[#This Row],[Bevölkerung]]))</f>
        <v>29364106.209937539</v>
      </c>
      <c r="Y193" s="53" t="str">
        <f t="shared" si="97"/>
        <v/>
      </c>
      <c r="Z193" s="65" t="str">
        <f t="shared" si="98"/>
        <v/>
      </c>
      <c r="AA193" s="54"/>
      <c r="AB193" s="54"/>
      <c r="AC193" s="54"/>
      <c r="AD193" s="54"/>
      <c r="AE193" s="54"/>
      <c r="AF193" s="54"/>
      <c r="AG193" s="54"/>
      <c r="AH193" s="54">
        <v>1</v>
      </c>
      <c r="AI193" s="54" t="s">
        <v>989</v>
      </c>
      <c r="AJ193" s="54">
        <v>29319000</v>
      </c>
      <c r="AK193" s="54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33762473.220238559</v>
      </c>
      <c r="AL193" s="54">
        <f t="shared" si="99"/>
        <v>-4443473.2202385589</v>
      </c>
      <c r="AM193" s="89">
        <f t="shared" si="100"/>
        <v>0.1515560974193717</v>
      </c>
      <c r="AN193" s="89">
        <f t="shared" si="89"/>
        <v>0.1515560974193717</v>
      </c>
      <c r="AO193" s="54"/>
      <c r="AP193" s="53"/>
      <c r="AQ193" s="53"/>
      <c r="AR193" s="53"/>
      <c r="AS193" s="53"/>
      <c r="AT193" s="54"/>
      <c r="AU193" s="54"/>
      <c r="AV193" s="54"/>
      <c r="AW193" s="54"/>
      <c r="AX193" s="54"/>
      <c r="AY193" s="54"/>
      <c r="AZ193" s="53"/>
      <c r="BA193" s="53"/>
      <c r="BB193" s="54"/>
      <c r="BC193" s="54"/>
      <c r="BD193" s="54"/>
      <c r="BE193" s="54"/>
      <c r="BF193" s="54"/>
      <c r="BG193" s="54"/>
      <c r="BH193" s="54"/>
      <c r="BI193" s="54"/>
      <c r="BJ193" s="54"/>
      <c r="BK193" s="54"/>
      <c r="BL193" s="54"/>
      <c r="BM193" s="54"/>
      <c r="BN193" s="54"/>
      <c r="BO193" s="54"/>
      <c r="BP193" s="54"/>
      <c r="BQ193" s="53"/>
      <c r="BR193" s="53"/>
      <c r="BS193" s="54"/>
      <c r="BT193" s="54"/>
      <c r="BU193" s="68"/>
    </row>
    <row r="194" spans="1:73" x14ac:dyDescent="0.3">
      <c r="B194" s="21" t="s">
        <v>383</v>
      </c>
      <c r="C194" s="18" t="s">
        <v>384</v>
      </c>
      <c r="D194" s="63">
        <v>0.49097000000000002</v>
      </c>
      <c r="E194" s="63">
        <f>Tabelle2[[#This Row],[BIP (mrd.)]]*1000000000/Tabelle2[[#This Row],[Bevölkerung]]</f>
        <v>4.8616816564474341</v>
      </c>
      <c r="F194" s="63">
        <v>0.35899999999999999</v>
      </c>
      <c r="G194" s="53">
        <v>331338</v>
      </c>
      <c r="H194" s="63">
        <v>100987690</v>
      </c>
      <c r="I194" s="88"/>
      <c r="J194" s="88">
        <f>Tabelle2[[#This Row],[Strom (mrd.)]]*1000000000/Tabelle2[[#This Row],[Bevölkerung]]</f>
        <v>0</v>
      </c>
      <c r="K194" s="53"/>
      <c r="L194" s="53">
        <f>Tabelle2[[#This Row],[Wohnimmobilien Anzahl]]/Tabelle2[[#This Row],[Bevölkerung]]</f>
        <v>0</v>
      </c>
      <c r="M194" s="53">
        <f t="shared" ref="M194:M197" si="104">L194-K194</f>
        <v>0</v>
      </c>
      <c r="N194" s="53" t="str">
        <f t="shared" si="92"/>
        <v/>
      </c>
      <c r="O194" s="53"/>
      <c r="P194" s="53"/>
      <c r="Q194" s="53">
        <f>1000000*Tabelle2[[#This Row],[Bevölkerung]]*EXP(-17.8941+0.2965*LN((Tabelle2[[#This Row],[BIP (mrd.)]]*1000000000)/Tabelle2[[#This Row],[Bevölkerung]]))</f>
        <v>2732698.7121657934</v>
      </c>
      <c r="R194" s="53" t="str">
        <f t="shared" ref="R194:R198" si="105">IF(AND(ISNUMBER(P194), ISNUMBER(Q194)), P194-Q194, "")</f>
        <v/>
      </c>
      <c r="S194" s="53" t="str">
        <f t="shared" si="94"/>
        <v/>
      </c>
      <c r="T194" s="53">
        <f>1000000*Tabelle2[[#This Row],[Bevölkerung]]*EXP(-14.22+0.2263*LN((Tabelle2[[#This Row],[BIP (mrd.)]]*1000000000)/Tabelle2[[#This Row],[Bevölkerung]]))</f>
        <v>96387495.207272351</v>
      </c>
      <c r="U194" s="53" t="str">
        <f t="shared" ref="U194:U198" si="106">IF(AND(ISNUMBER(P194), ISNUMBER(T194)), P194-T194, "")</f>
        <v/>
      </c>
      <c r="V194" s="53" t="str">
        <f t="shared" si="96"/>
        <v/>
      </c>
      <c r="W194" s="54"/>
      <c r="X194" s="54"/>
      <c r="Y194" s="54" t="str">
        <f t="shared" ref="Y194:Y198" si="107">IF(AND(ISNUMBER(W194), ISNUMBER(X194)), W194-X194, "")</f>
        <v/>
      </c>
      <c r="Z194" s="54" t="str">
        <f t="shared" si="98"/>
        <v/>
      </c>
      <c r="AA194" s="54"/>
      <c r="AB194" s="54"/>
      <c r="AC194" s="54"/>
      <c r="AD194" s="54"/>
      <c r="AE194" s="54"/>
      <c r="AF194" s="54"/>
      <c r="AG194" s="54"/>
      <c r="AH194" s="54"/>
      <c r="AI194" s="54">
        <v>0</v>
      </c>
      <c r="AJ194" s="54"/>
      <c r="AK194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3880429.8952168673</v>
      </c>
      <c r="AL194" s="54" t="str">
        <f t="shared" ref="AL194:AL198" si="108">IF(AND(ISNUMBER(AJ194), ISNUMBER(AK194)), AJ194-AK194, "")</f>
        <v/>
      </c>
      <c r="AM194" s="89" t="str">
        <f t="shared" si="100"/>
        <v/>
      </c>
      <c r="AN194" s="91"/>
      <c r="AO194" s="54"/>
      <c r="AP194" s="53"/>
      <c r="AQ194" s="53"/>
      <c r="AR194" s="53"/>
      <c r="AS194" s="53"/>
      <c r="AT194" s="54"/>
      <c r="AU194" s="54"/>
      <c r="AV194" s="54"/>
      <c r="AW194" s="54"/>
      <c r="AX194" s="54"/>
      <c r="AY194" s="54"/>
      <c r="AZ194" s="53"/>
      <c r="BA194" s="53"/>
      <c r="BB194" s="54"/>
      <c r="BC194" s="54"/>
      <c r="BD194" s="54"/>
      <c r="BE194" s="54"/>
      <c r="BF194" s="54"/>
      <c r="BG194" s="54"/>
      <c r="BH194" s="54"/>
      <c r="BI194" s="54"/>
      <c r="BJ194" s="54"/>
      <c r="BK194" s="54"/>
      <c r="BL194" s="54"/>
      <c r="BM194" s="54"/>
      <c r="BN194" s="54"/>
      <c r="BO194" s="54"/>
      <c r="BP194" s="54"/>
      <c r="BQ194" s="53"/>
      <c r="BR194" s="53"/>
      <c r="BS194" s="54"/>
      <c r="BT194" s="54"/>
      <c r="BU194" s="68"/>
    </row>
    <row r="195" spans="1:73" x14ac:dyDescent="0.3">
      <c r="B195" s="2" t="s">
        <v>385</v>
      </c>
      <c r="C195" s="3" t="s">
        <v>386</v>
      </c>
      <c r="D195" s="63">
        <v>7.1561000000000013E-2</v>
      </c>
      <c r="E195" s="63">
        <f>Tabelle2[[#This Row],[BIP (mrd.)]]*1000000000/Tabelle2[[#This Row],[Bevölkerung]]</f>
        <v>7.8348228704436655</v>
      </c>
      <c r="F195" s="63">
        <v>0.78600000000000003</v>
      </c>
      <c r="G195" s="53">
        <v>207629</v>
      </c>
      <c r="H195" s="63">
        <v>9133710</v>
      </c>
      <c r="I195" s="88"/>
      <c r="J195" s="88">
        <f>Tabelle2[[#This Row],[Strom (mrd.)]]*1000000000/Tabelle2[[#This Row],[Bevölkerung]]</f>
        <v>0</v>
      </c>
      <c r="K195" s="53"/>
      <c r="L195" s="53">
        <f>Tabelle2[[#This Row],[Wohnimmobilien Anzahl]]/Tabelle2[[#This Row],[Bevölkerung]]</f>
        <v>0</v>
      </c>
      <c r="M195" s="53">
        <f t="shared" si="104"/>
        <v>0</v>
      </c>
      <c r="N195" s="53" t="str">
        <f t="shared" si="92"/>
        <v/>
      </c>
      <c r="O195" s="53"/>
      <c r="P195" s="53"/>
      <c r="Q195" s="53">
        <f>1000000*Tabelle2[[#This Row],[Bevölkerung]]*EXP(-17.8941+0.2965*LN((Tabelle2[[#This Row],[BIP (mrd.)]]*1000000000)/Tabelle2[[#This Row],[Bevölkerung]]))</f>
        <v>284720.00483490567</v>
      </c>
      <c r="R195" s="53" t="str">
        <f t="shared" si="105"/>
        <v/>
      </c>
      <c r="S195" s="53" t="str">
        <f t="shared" si="94"/>
        <v/>
      </c>
      <c r="T195" s="53">
        <f>1000000*Tabelle2[[#This Row],[Bevölkerung]]*EXP(-14.22+0.2263*LN((Tabelle2[[#This Row],[BIP (mrd.)]]*1000000000)/Tabelle2[[#This Row],[Bevölkerung]]))</f>
        <v>9711772.2607843038</v>
      </c>
      <c r="U195" s="53" t="str">
        <f t="shared" si="106"/>
        <v/>
      </c>
      <c r="V195" s="53" t="str">
        <f t="shared" si="96"/>
        <v/>
      </c>
      <c r="W195" s="54"/>
      <c r="X195" s="54"/>
      <c r="Y195" s="54" t="str">
        <f t="shared" si="107"/>
        <v/>
      </c>
      <c r="Z195" s="54" t="str">
        <f t="shared" si="98"/>
        <v/>
      </c>
      <c r="AA195" s="54"/>
      <c r="AB195" s="54"/>
      <c r="AC195" s="54"/>
      <c r="AD195" s="54"/>
      <c r="AE195" s="54"/>
      <c r="AF195" s="54"/>
      <c r="AG195" s="54"/>
      <c r="AH195" s="54"/>
      <c r="AI195" s="54">
        <v>0</v>
      </c>
      <c r="AJ195" s="54"/>
      <c r="AK195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399603.66689438676</v>
      </c>
      <c r="AL195" s="54" t="str">
        <f t="shared" si="108"/>
        <v/>
      </c>
      <c r="AM195" s="89" t="str">
        <f t="shared" si="100"/>
        <v/>
      </c>
      <c r="AN195" s="91"/>
      <c r="AO195" s="54"/>
      <c r="AP195" s="53"/>
      <c r="AQ195" s="53"/>
      <c r="AR195" s="53"/>
      <c r="AS195" s="53"/>
      <c r="AT195" s="54"/>
      <c r="AU195" s="54"/>
      <c r="AV195" s="54"/>
      <c r="AW195" s="54"/>
      <c r="AX195" s="54"/>
      <c r="AY195" s="54"/>
      <c r="AZ195" s="53"/>
      <c r="BA195" s="53"/>
      <c r="BB195" s="54"/>
      <c r="BC195" s="54"/>
      <c r="BD195" s="54"/>
      <c r="BE195" s="54"/>
      <c r="BF195" s="54"/>
      <c r="BG195" s="54"/>
      <c r="BH195" s="54"/>
      <c r="BI195" s="54"/>
      <c r="BJ195" s="54"/>
      <c r="BK195" s="54"/>
      <c r="BL195" s="54"/>
      <c r="BM195" s="54"/>
      <c r="BN195" s="54"/>
      <c r="BO195" s="54"/>
      <c r="BP195" s="54"/>
      <c r="BQ195" s="53"/>
      <c r="BR195" s="53"/>
      <c r="BS195" s="54"/>
      <c r="BT195" s="54"/>
      <c r="BU195" s="68"/>
    </row>
    <row r="196" spans="1:73" x14ac:dyDescent="0.3">
      <c r="B196" s="2"/>
      <c r="C196" s="48" t="s">
        <v>441</v>
      </c>
      <c r="D196" s="63"/>
      <c r="E196" s="63">
        <f>Tabelle2[[#This Row],[BIP (mrd.)]]*1000000000/Tabelle2[[#This Row],[Bevölkerung]]</f>
        <v>0</v>
      </c>
      <c r="F196" s="63">
        <v>0.55300000000000005</v>
      </c>
      <c r="G196" s="53">
        <v>140419457</v>
      </c>
      <c r="H196" s="65">
        <v>8142056.4500000002</v>
      </c>
      <c r="I196" s="88"/>
      <c r="J196" s="88">
        <f>Tabelle2[[#This Row],[Strom (mrd.)]]*1000000000/Tabelle2[[#This Row],[Bevölkerung]]</f>
        <v>0</v>
      </c>
      <c r="K196" s="53"/>
      <c r="L196" s="53">
        <f>Tabelle2[[#This Row],[Wohnimmobilien Anzahl]]/Tabelle2[[#This Row],[Bevölkerung]]</f>
        <v>0</v>
      </c>
      <c r="M196" s="53">
        <f t="shared" si="104"/>
        <v>0</v>
      </c>
      <c r="N196" s="53" t="str">
        <f t="shared" si="92"/>
        <v/>
      </c>
      <c r="O196" s="53"/>
      <c r="P196" s="53"/>
      <c r="Q196" s="53" t="e">
        <f>1000000*Tabelle2[[#This Row],[Bevölkerung]]*EXP(-17.8941+0.2965*LN((Tabelle2[[#This Row],[BIP (mrd.)]]*1000000000)/Tabelle2[[#This Row],[Bevölkerung]]))</f>
        <v>#NUM!</v>
      </c>
      <c r="R196" s="53" t="str">
        <f t="shared" si="105"/>
        <v/>
      </c>
      <c r="S196" s="53" t="str">
        <f t="shared" si="94"/>
        <v/>
      </c>
      <c r="T196" s="53" t="e">
        <f>1000000*Tabelle2[[#This Row],[Bevölkerung]]*EXP(-14.22+0.2263*LN((Tabelle2[[#This Row],[BIP (mrd.)]]*1000000000)/Tabelle2[[#This Row],[Bevölkerung]]))</f>
        <v>#NUM!</v>
      </c>
      <c r="U196" s="53" t="str">
        <f t="shared" si="106"/>
        <v/>
      </c>
      <c r="V196" s="53" t="str">
        <f t="shared" si="96"/>
        <v/>
      </c>
      <c r="W196" s="54"/>
      <c r="X196" s="54"/>
      <c r="Y196" s="54" t="str">
        <f t="shared" si="107"/>
        <v/>
      </c>
      <c r="Z196" s="54" t="str">
        <f t="shared" si="98"/>
        <v/>
      </c>
      <c r="AA196" s="54"/>
      <c r="AB196" s="54"/>
      <c r="AC196" s="54"/>
      <c r="AD196" s="54"/>
      <c r="AE196" s="54"/>
      <c r="AF196" s="54"/>
      <c r="AG196" s="54"/>
      <c r="AH196" s="54"/>
      <c r="AI196" s="54">
        <v>0</v>
      </c>
      <c r="AJ196" s="54"/>
      <c r="AK196" s="80" t="e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#NUM!</v>
      </c>
      <c r="AL196" s="54" t="str">
        <f t="shared" si="108"/>
        <v/>
      </c>
      <c r="AM196" s="89" t="str">
        <f t="shared" si="100"/>
        <v/>
      </c>
      <c r="AN196" s="91"/>
      <c r="AO196" s="54"/>
      <c r="AP196" s="53"/>
      <c r="AQ196" s="53"/>
      <c r="AR196" s="53"/>
      <c r="AS196" s="53"/>
      <c r="AT196" s="54"/>
      <c r="AU196" s="54"/>
      <c r="AV196" s="54"/>
      <c r="AW196" s="54"/>
      <c r="AX196" s="54"/>
      <c r="AY196" s="54"/>
      <c r="AZ196" s="53"/>
      <c r="BA196" s="53"/>
      <c r="BB196" s="54"/>
      <c r="BC196" s="54"/>
      <c r="BD196" s="54"/>
      <c r="BE196" s="54"/>
      <c r="BF196" s="54"/>
      <c r="BG196" s="54"/>
      <c r="BH196" s="54"/>
      <c r="BI196" s="54"/>
      <c r="BJ196" s="54"/>
      <c r="BK196" s="54"/>
      <c r="BL196" s="54"/>
      <c r="BM196" s="54"/>
      <c r="BN196" s="54"/>
      <c r="BO196" s="54"/>
      <c r="BP196" s="54"/>
      <c r="BQ196" s="53"/>
      <c r="BR196" s="53"/>
      <c r="BS196" s="54"/>
      <c r="BT196" s="54"/>
      <c r="BU196" s="68"/>
    </row>
    <row r="197" spans="1:73" x14ac:dyDescent="0.3">
      <c r="B197" s="6" t="s">
        <v>387</v>
      </c>
      <c r="C197" s="3" t="s">
        <v>388</v>
      </c>
      <c r="D197" s="63">
        <v>2.9319999999999997E-3</v>
      </c>
      <c r="E197" s="63">
        <f>Tabelle2[[#This Row],[BIP (mrd.)]]*1000000000/Tabelle2[[#This Row],[Bevölkerung]]</f>
        <v>0.56161158774031772</v>
      </c>
      <c r="F197" s="63">
        <v>0.41399999999999998</v>
      </c>
      <c r="G197" s="53">
        <v>622980</v>
      </c>
      <c r="H197" s="63">
        <v>5220690</v>
      </c>
      <c r="I197" s="88"/>
      <c r="J197" s="88">
        <f>Tabelle2[[#This Row],[Strom (mrd.)]]*1000000000/Tabelle2[[#This Row],[Bevölkerung]]</f>
        <v>0</v>
      </c>
      <c r="K197" s="53"/>
      <c r="L197" s="53">
        <f>Tabelle2[[#This Row],[Wohnimmobilien Anzahl]]/Tabelle2[[#This Row],[Bevölkerung]]</f>
        <v>0</v>
      </c>
      <c r="M197" s="53">
        <f t="shared" si="104"/>
        <v>0</v>
      </c>
      <c r="N197" s="53" t="str">
        <f t="shared" si="92"/>
        <v/>
      </c>
      <c r="O197" s="53"/>
      <c r="P197" s="53"/>
      <c r="Q197" s="53">
        <f>1000000*Tabelle2[[#This Row],[Bevölkerung]]*EXP(-17.8941+0.2965*LN((Tabelle2[[#This Row],[BIP (mrd.)]]*1000000000)/Tabelle2[[#This Row],[Bevölkerung]]))</f>
        <v>74494.945904508961</v>
      </c>
      <c r="R197" s="53" t="str">
        <f t="shared" si="105"/>
        <v/>
      </c>
      <c r="S197" s="53" t="str">
        <f t="shared" si="94"/>
        <v/>
      </c>
      <c r="T197" s="53">
        <f>1000000*Tabelle2[[#This Row],[Bevölkerung]]*EXP(-14.22+0.2263*LN((Tabelle2[[#This Row],[BIP (mrd.)]]*1000000000)/Tabelle2[[#This Row],[Bevölkerung]]))</f>
        <v>3057438.6665127096</v>
      </c>
      <c r="U197" s="53" t="str">
        <f t="shared" si="106"/>
        <v/>
      </c>
      <c r="V197" s="53" t="str">
        <f t="shared" si="96"/>
        <v/>
      </c>
      <c r="W197" s="54"/>
      <c r="X197" s="54"/>
      <c r="Y197" s="54" t="str">
        <f t="shared" si="107"/>
        <v/>
      </c>
      <c r="Z197" s="54" t="str">
        <f t="shared" si="98"/>
        <v/>
      </c>
      <c r="AA197" s="54"/>
      <c r="AB197" s="54"/>
      <c r="AC197" s="54"/>
      <c r="AD197" s="54"/>
      <c r="AE197" s="54"/>
      <c r="AF197" s="54"/>
      <c r="AG197" s="54"/>
      <c r="AH197" s="54"/>
      <c r="AI197" s="54">
        <v>0</v>
      </c>
      <c r="AJ197" s="54"/>
      <c r="AK197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111527.76375306949</v>
      </c>
      <c r="AL197" s="54" t="str">
        <f t="shared" si="108"/>
        <v/>
      </c>
      <c r="AM197" s="89" t="str">
        <f t="shared" si="100"/>
        <v/>
      </c>
      <c r="AN197" s="91"/>
      <c r="AO197" s="54"/>
      <c r="AP197" s="53"/>
      <c r="AQ197" s="53"/>
      <c r="AR197" s="53"/>
      <c r="AS197" s="53"/>
      <c r="AT197" s="54"/>
      <c r="AU197" s="54"/>
      <c r="AV197" s="54"/>
      <c r="AW197" s="54"/>
      <c r="AX197" s="54"/>
      <c r="AY197" s="54"/>
      <c r="AZ197" s="53"/>
      <c r="BA197" s="53"/>
      <c r="BB197" s="54"/>
      <c r="BC197" s="54"/>
      <c r="BD197" s="54"/>
      <c r="BE197" s="54"/>
      <c r="BF197" s="54"/>
      <c r="BG197" s="54"/>
      <c r="BH197" s="54"/>
      <c r="BI197" s="54"/>
      <c r="BJ197" s="54"/>
      <c r="BK197" s="54"/>
      <c r="BL197" s="54"/>
      <c r="BM197" s="54"/>
      <c r="BN197" s="54"/>
      <c r="BO197" s="54"/>
      <c r="BP197" s="54"/>
      <c r="BQ197" s="53"/>
      <c r="BR197" s="53"/>
      <c r="BS197" s="54"/>
      <c r="BT197" s="54"/>
      <c r="BU197" s="68"/>
    </row>
    <row r="198" spans="1:73" x14ac:dyDescent="0.3">
      <c r="B198" s="6" t="s">
        <v>389</v>
      </c>
      <c r="C198" s="5" t="s">
        <v>390</v>
      </c>
      <c r="D198" s="63">
        <v>38.736000000000004</v>
      </c>
      <c r="E198" s="63">
        <f>Tabelle2[[#This Row],[BIP (mrd.)]]*1000000000/Tabelle2[[#This Row],[Bevölkerung]]</f>
        <v>28518.420355155056</v>
      </c>
      <c r="F198" s="63">
        <v>0.66800000000000004</v>
      </c>
      <c r="G198" s="53">
        <v>9250</v>
      </c>
      <c r="H198" s="63">
        <v>1358280</v>
      </c>
      <c r="I198" s="88">
        <v>5.1970000000000001</v>
      </c>
      <c r="J198" s="88">
        <f>Tabelle2[[#This Row],[Strom (mrd.)]]*1000000000/Tabelle2[[#This Row],[Bevölkerung]]</f>
        <v>3826.1624996318874</v>
      </c>
      <c r="K198" s="53">
        <v>316780</v>
      </c>
      <c r="L198" s="53">
        <f>1000000*Tabelle2[[#This Row],[Bevölkerung]]*EXP(-15.4183+0.052*LN((Tabelle2[[#This Row],[BIP (mrd.)]]*1000000000)/Tabelle2[[#This Row],[Bevölkerung]]))</f>
        <v>466201.02053752448</v>
      </c>
      <c r="M198" s="53">
        <f>IF(AND(ISNUMBER(K198), ISNUMBER(L198)), K198-L198, "")</f>
        <v>-149421.02053752448</v>
      </c>
      <c r="N198" s="65">
        <f t="shared" si="92"/>
        <v>0.47168704001996492</v>
      </c>
      <c r="O198" s="53"/>
      <c r="P198" s="53"/>
      <c r="Q198" s="53">
        <f>1000000*Tabelle2[[#This Row],[Bevölkerung]]*EXP(-17.8941+0.2965*LN((Tabelle2[[#This Row],[BIP (mrd.)]]*1000000000)/Tabelle2[[#This Row],[Bevölkerung]]))</f>
        <v>481531.96094901935</v>
      </c>
      <c r="R198" s="53" t="str">
        <f t="shared" si="105"/>
        <v/>
      </c>
      <c r="S198" s="53" t="str">
        <f t="shared" si="94"/>
        <v/>
      </c>
      <c r="T198" s="53">
        <f>1000000*Tabelle2[[#This Row],[Bevölkerung]]*EXP(-14.22+0.2263*LN((Tabelle2[[#This Row],[BIP (mrd.)]]*1000000000)/Tabelle2[[#This Row],[Bevölkerung]]))</f>
        <v>9236696.3406869601</v>
      </c>
      <c r="U198" s="53" t="str">
        <f t="shared" si="106"/>
        <v/>
      </c>
      <c r="V198" s="53" t="str">
        <f t="shared" si="96"/>
        <v/>
      </c>
      <c r="W198" s="54"/>
      <c r="X198" s="53">
        <f>1000000*Tabelle2[[#This Row],[Bevölkerung]]*EXP(-17.9119+0.2965*LN((Tabelle2[[#This Row],[BIP (mrd.)]]*1000000000)/Tabelle2[[#This Row],[Bevölkerung]]))</f>
        <v>473036.52572425199</v>
      </c>
      <c r="Y198" s="53" t="str">
        <f t="shared" si="107"/>
        <v/>
      </c>
      <c r="Z198" s="65" t="str">
        <f t="shared" si="98"/>
        <v/>
      </c>
      <c r="AA198" s="54"/>
      <c r="AB198" s="54"/>
      <c r="AC198" s="54"/>
      <c r="AD198" s="54"/>
      <c r="AE198" s="54"/>
      <c r="AF198" s="54"/>
      <c r="AG198" s="54"/>
      <c r="AH198" s="54">
        <v>0</v>
      </c>
      <c r="AI198" s="54" t="s">
        <v>989</v>
      </c>
      <c r="AJ198" s="54">
        <v>492555</v>
      </c>
      <c r="AK198" s="80">
        <f>1000000*Tabelle2[[#This Row],[Bevölkerung]]*EXP(-17.5047+0.272*LN((Tabelle2[[#This Row],[BIP (mrd.)]]*1000000000)/Tabelle2[[#This Row],[Bevölkerung]]))+0.1526*Tabelle2[[#This Row],[Urbanisierung]]-0.0265*LN(MAX(Tabelle2[[#This Row],[Strom (mrd.)]],0.000000000001))</f>
        <v>552826.51040925912</v>
      </c>
      <c r="AL198" s="54">
        <f t="shared" si="108"/>
        <v>-60271.510409259121</v>
      </c>
      <c r="AM198" s="89">
        <f t="shared" si="100"/>
        <v>0.12236503620765016</v>
      </c>
      <c r="AN198" s="91">
        <f t="shared" si="89"/>
        <v>0.12236503620765016</v>
      </c>
      <c r="AO198" s="54"/>
      <c r="AP198" s="53"/>
      <c r="AQ198" s="53"/>
      <c r="AR198" s="53"/>
      <c r="AS198" s="53"/>
      <c r="AT198" s="54"/>
      <c r="AU198" s="54"/>
      <c r="AV198" s="54"/>
      <c r="AW198" s="54"/>
      <c r="AX198" s="54"/>
      <c r="AY198" s="54"/>
      <c r="AZ198" s="53"/>
      <c r="BA198" s="53"/>
      <c r="BB198" s="54"/>
      <c r="BC198" s="54"/>
      <c r="BD198" s="54"/>
      <c r="BE198" s="54"/>
      <c r="BF198" s="54"/>
      <c r="BG198" s="54"/>
      <c r="BH198" s="54"/>
      <c r="BI198" s="54"/>
      <c r="BJ198" s="54"/>
      <c r="BK198" s="54"/>
      <c r="BL198" s="54"/>
      <c r="BM198" s="54"/>
      <c r="BN198" s="54"/>
      <c r="BO198" s="54"/>
      <c r="BP198" s="54"/>
      <c r="BQ198" s="53"/>
      <c r="BR198" s="53"/>
      <c r="BS198" s="54"/>
      <c r="BT198" s="54"/>
      <c r="BU198" s="68"/>
    </row>
    <row r="199" spans="1:73" x14ac:dyDescent="0.3">
      <c r="B199" t="s">
        <v>401</v>
      </c>
      <c r="M199" s="87" cm="1">
        <f t="array" ref="M199">SUMPRODUCT( ABS( IFERROR( _xlfn.NUMBERVALUE(M2:M198), 0 ) ) )</f>
        <v>187467689.46244293</v>
      </c>
      <c r="AL199" s="56" cm="1">
        <f t="array" ref="AL199">SUMPRODUCT( ABS( IFERROR( _xlfn.NUMBERVALUE(AL2:AL198), 0 ) ) )</f>
        <v>174920780.2118175</v>
      </c>
      <c r="AM199" s="91"/>
      <c r="AN199" s="91">
        <f>SUBTOTAL(101, AN2:AN193)</f>
        <v>0.26242547061789834</v>
      </c>
    </row>
  </sheetData>
  <phoneticPr fontId="5" type="noConversion"/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4B551-A42C-4D59-8CD0-1D9DCC610A78}">
  <dimension ref="A1:BA200"/>
  <sheetViews>
    <sheetView topLeftCell="C1" zoomScale="85" zoomScaleNormal="85" workbookViewId="0">
      <pane ySplit="2" topLeftCell="A22" activePane="bottomLeft" state="frozen"/>
      <selection activeCell="E1" sqref="E1"/>
      <selection pane="bottomLeft" activeCell="I40" sqref="I40"/>
    </sheetView>
  </sheetViews>
  <sheetFormatPr baseColWidth="10" defaultRowHeight="14.4" x14ac:dyDescent="0.3"/>
  <cols>
    <col min="1" max="1" width="7.8984375" customWidth="1"/>
    <col min="2" max="2" width="40.5" customWidth="1"/>
    <col min="3" max="3" width="16.8984375" style="40" customWidth="1"/>
    <col min="4" max="4" width="15.59765625" style="40" customWidth="1"/>
    <col min="5" max="5" width="14.8984375" style="40" customWidth="1"/>
    <col min="6" max="7" width="17.59765625" style="40" customWidth="1"/>
    <col min="8" max="8" width="25.59765625" customWidth="1"/>
    <col min="9" max="10" width="19.5" customWidth="1"/>
    <col min="11" max="11" width="22.5" customWidth="1"/>
    <col min="12" max="12" width="19.296875" customWidth="1"/>
    <col min="13" max="13" width="21.296875" customWidth="1"/>
    <col min="14" max="14" width="18.59765625" customWidth="1"/>
    <col min="15" max="15" width="17" customWidth="1"/>
    <col min="16" max="16" width="13.8984375" customWidth="1"/>
    <col min="17" max="17" width="23.3984375" customWidth="1"/>
    <col min="18" max="20" width="19.69921875" customWidth="1"/>
    <col min="21" max="21" width="25.09765625" customWidth="1"/>
    <col min="22" max="22" width="21.69921875" customWidth="1"/>
    <col min="23" max="23" width="25.59765625" customWidth="1"/>
    <col min="24" max="24" width="22.09765625" customWidth="1"/>
    <col min="25" max="25" width="20.8984375" customWidth="1"/>
    <col min="26" max="26" width="17.8984375" customWidth="1"/>
    <col min="27" max="27" width="23.8984375" customWidth="1"/>
    <col min="28" max="28" width="19.09765625" customWidth="1"/>
    <col min="29" max="29" width="24.19921875" customWidth="1"/>
    <col min="30" max="30" width="18.8984375" customWidth="1"/>
    <col min="31" max="31" width="21.8984375" customWidth="1"/>
    <col min="32" max="32" width="20.59765625" customWidth="1"/>
    <col min="33" max="33" width="34" customWidth="1"/>
    <col min="34" max="35" width="28.19921875" customWidth="1"/>
    <col min="36" max="36" width="24.3984375" customWidth="1"/>
    <col min="37" max="37" width="19.19921875" customWidth="1"/>
    <col min="38" max="38" width="16.796875" customWidth="1"/>
    <col min="40" max="40" width="29.8984375" customWidth="1"/>
    <col min="41" max="41" width="27.19921875" customWidth="1"/>
    <col min="42" max="42" width="20.3984375" customWidth="1"/>
    <col min="43" max="43" width="19.5" customWidth="1"/>
    <col min="44" max="44" width="27.09765625" customWidth="1"/>
    <col min="45" max="45" width="25.296875" customWidth="1"/>
    <col min="46" max="46" width="14.5" customWidth="1"/>
    <col min="48" max="48" width="26.296875" customWidth="1"/>
    <col min="49" max="49" width="22.8984375" customWidth="1"/>
    <col min="51" max="51" width="16.5" customWidth="1"/>
  </cols>
  <sheetData>
    <row r="1" spans="1:53" x14ac:dyDescent="0.3">
      <c r="A1" s="36" t="s">
        <v>0</v>
      </c>
      <c r="B1" s="36" t="s">
        <v>411</v>
      </c>
      <c r="C1" s="41"/>
      <c r="D1" s="41"/>
      <c r="E1" s="41"/>
      <c r="F1" s="41"/>
      <c r="G1" s="41"/>
      <c r="H1" s="41"/>
      <c r="I1" s="41"/>
      <c r="J1" s="41"/>
      <c r="K1" s="100" t="s">
        <v>408</v>
      </c>
      <c r="L1" s="101"/>
      <c r="M1" s="101"/>
      <c r="N1" s="101"/>
      <c r="O1" s="101"/>
      <c r="P1" s="101"/>
      <c r="Q1" s="101"/>
      <c r="R1" s="102"/>
      <c r="S1" s="37"/>
      <c r="T1" s="37"/>
      <c r="U1" s="42" t="s">
        <v>442</v>
      </c>
      <c r="V1" s="42" t="s">
        <v>443</v>
      </c>
      <c r="W1" s="42"/>
      <c r="X1" s="41"/>
      <c r="Y1" s="100" t="s">
        <v>409</v>
      </c>
      <c r="Z1" s="101"/>
      <c r="AA1" s="101"/>
      <c r="AB1" s="101"/>
      <c r="AC1" s="101"/>
      <c r="AD1" s="102"/>
      <c r="AE1" s="38"/>
      <c r="AF1" s="38"/>
      <c r="AG1" s="100" t="s">
        <v>410</v>
      </c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2"/>
      <c r="AV1" s="42" t="s">
        <v>463</v>
      </c>
      <c r="AW1" s="42" t="s">
        <v>403</v>
      </c>
      <c r="AX1" s="35" t="s">
        <v>391</v>
      </c>
      <c r="AY1" s="35" t="s">
        <v>440</v>
      </c>
      <c r="AZ1" s="35" t="s">
        <v>392</v>
      </c>
      <c r="BA1" s="32" t="s">
        <v>401</v>
      </c>
    </row>
    <row r="2" spans="1:53" x14ac:dyDescent="0.3">
      <c r="A2" s="44"/>
      <c r="B2" s="44"/>
      <c r="C2" s="45" t="s">
        <v>590</v>
      </c>
      <c r="D2" s="45" t="s">
        <v>584</v>
      </c>
      <c r="E2" s="45" t="s">
        <v>585</v>
      </c>
      <c r="F2" s="45" t="s">
        <v>586</v>
      </c>
      <c r="G2" s="45" t="s">
        <v>994</v>
      </c>
      <c r="H2" s="45" t="s">
        <v>444</v>
      </c>
      <c r="I2" s="45" t="s">
        <v>445</v>
      </c>
      <c r="J2" s="47" t="s">
        <v>470</v>
      </c>
      <c r="K2" s="46" t="s">
        <v>412</v>
      </c>
      <c r="L2" s="46" t="s">
        <v>413</v>
      </c>
      <c r="M2" s="46" t="s">
        <v>414</v>
      </c>
      <c r="N2" s="46" t="s">
        <v>415</v>
      </c>
      <c r="O2" s="46" t="s">
        <v>416</v>
      </c>
      <c r="P2" s="46" t="s">
        <v>417</v>
      </c>
      <c r="Q2" s="46" t="s">
        <v>418</v>
      </c>
      <c r="R2" s="46" t="s">
        <v>419</v>
      </c>
      <c r="S2" s="46" t="s">
        <v>458</v>
      </c>
      <c r="T2" s="46" t="s">
        <v>459</v>
      </c>
      <c r="U2" s="47"/>
      <c r="V2" s="47"/>
      <c r="W2" s="45" t="s">
        <v>405</v>
      </c>
      <c r="X2" s="45" t="s">
        <v>404</v>
      </c>
      <c r="Y2" s="46" t="s">
        <v>420</v>
      </c>
      <c r="Z2" s="46" t="s">
        <v>421</v>
      </c>
      <c r="AA2" s="46" t="s">
        <v>422</v>
      </c>
      <c r="AB2" s="46" t="s">
        <v>423</v>
      </c>
      <c r="AC2" s="46" t="s">
        <v>424</v>
      </c>
      <c r="AD2" s="46" t="s">
        <v>425</v>
      </c>
      <c r="AE2" s="45" t="s">
        <v>407</v>
      </c>
      <c r="AF2" s="45" t="s">
        <v>406</v>
      </c>
      <c r="AG2" s="46" t="s">
        <v>427</v>
      </c>
      <c r="AH2" s="46" t="s">
        <v>426</v>
      </c>
      <c r="AI2" s="46" t="s">
        <v>555</v>
      </c>
      <c r="AJ2" s="46" t="s">
        <v>428</v>
      </c>
      <c r="AK2" s="46" t="s">
        <v>429</v>
      </c>
      <c r="AL2" s="46" t="s">
        <v>430</v>
      </c>
      <c r="AM2" s="46" t="s">
        <v>431</v>
      </c>
      <c r="AN2" s="46" t="s">
        <v>432</v>
      </c>
      <c r="AO2" s="46" t="s">
        <v>433</v>
      </c>
      <c r="AP2" s="46" t="s">
        <v>434</v>
      </c>
      <c r="AQ2" s="46" t="s">
        <v>435</v>
      </c>
      <c r="AR2" s="46" t="s">
        <v>436</v>
      </c>
      <c r="AS2" s="46" t="s">
        <v>437</v>
      </c>
      <c r="AT2" s="46" t="s">
        <v>438</v>
      </c>
      <c r="AU2" s="46" t="s">
        <v>439</v>
      </c>
      <c r="AV2" s="47"/>
      <c r="AW2" s="47"/>
      <c r="AX2" s="46"/>
      <c r="AY2" s="46"/>
      <c r="AZ2" s="46"/>
    </row>
    <row r="3" spans="1:53" x14ac:dyDescent="0.3">
      <c r="A3" s="2"/>
      <c r="B3" s="48" t="s">
        <v>441</v>
      </c>
      <c r="C3" s="53"/>
      <c r="D3" s="53" t="s">
        <v>786</v>
      </c>
      <c r="E3" s="53" t="s">
        <v>450</v>
      </c>
      <c r="F3" s="53" t="s">
        <v>788</v>
      </c>
      <c r="G3" s="53"/>
      <c r="H3" s="39" t="s">
        <v>450</v>
      </c>
      <c r="I3" s="39"/>
      <c r="J3" s="39"/>
      <c r="K3" s="1"/>
      <c r="L3" s="1"/>
      <c r="M3" s="1"/>
      <c r="N3" s="1"/>
      <c r="O3" s="1"/>
      <c r="P3" s="1"/>
      <c r="Q3" s="1"/>
      <c r="R3" s="1"/>
      <c r="S3" s="1"/>
      <c r="T3" s="1"/>
      <c r="U3" s="39"/>
      <c r="V3" s="39"/>
      <c r="W3" s="39"/>
      <c r="X3" s="39"/>
      <c r="Y3" s="1"/>
      <c r="Z3" s="1"/>
      <c r="AA3" s="1"/>
      <c r="AB3" s="1"/>
      <c r="AC3" s="1"/>
      <c r="AD3" s="1"/>
      <c r="AE3" s="39"/>
      <c r="AF3" s="39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39"/>
      <c r="AW3" s="39"/>
      <c r="AX3" s="1"/>
      <c r="AY3" s="1"/>
      <c r="AZ3" s="1"/>
    </row>
    <row r="4" spans="1:53" x14ac:dyDescent="0.3">
      <c r="A4" s="2"/>
      <c r="B4" s="48" t="s">
        <v>543</v>
      </c>
      <c r="C4" s="53" t="s">
        <v>784</v>
      </c>
      <c r="D4" s="53" t="s">
        <v>450</v>
      </c>
      <c r="E4" s="53"/>
      <c r="F4" s="53" t="s">
        <v>789</v>
      </c>
      <c r="G4" s="53"/>
      <c r="H4" s="57" t="s">
        <v>544</v>
      </c>
      <c r="I4" s="39" t="s">
        <v>450</v>
      </c>
      <c r="J4" s="39"/>
      <c r="K4" s="1"/>
      <c r="L4" s="1"/>
      <c r="M4" s="1"/>
      <c r="N4" s="1"/>
      <c r="O4" s="1"/>
      <c r="P4" s="1"/>
      <c r="Q4" s="1"/>
      <c r="R4" s="1"/>
      <c r="S4" s="1"/>
      <c r="T4" s="1"/>
      <c r="U4" s="39"/>
      <c r="V4" s="39"/>
      <c r="W4" s="39"/>
      <c r="X4" s="39"/>
      <c r="Y4" s="1"/>
      <c r="Z4" s="1"/>
      <c r="AA4" s="1"/>
      <c r="AB4" s="1"/>
      <c r="AC4" s="1"/>
      <c r="AD4" s="1"/>
      <c r="AE4" s="39"/>
      <c r="AF4" s="39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39"/>
      <c r="AW4" s="39"/>
      <c r="AX4" s="1"/>
      <c r="AY4" s="1"/>
      <c r="AZ4" s="1"/>
    </row>
    <row r="5" spans="1:53" x14ac:dyDescent="0.3">
      <c r="A5" s="2" t="s">
        <v>1</v>
      </c>
      <c r="B5" s="3" t="s">
        <v>2</v>
      </c>
      <c r="D5" s="53"/>
      <c r="E5" s="53"/>
      <c r="F5" s="53" t="s">
        <v>790</v>
      </c>
      <c r="G5" s="53" t="s">
        <v>997</v>
      </c>
      <c r="H5" s="39" t="s">
        <v>450</v>
      </c>
      <c r="I5" s="39"/>
      <c r="J5" s="39"/>
      <c r="K5" s="1"/>
      <c r="L5" s="1"/>
      <c r="M5" s="1"/>
      <c r="N5" s="1"/>
      <c r="O5" s="1"/>
      <c r="P5" s="1"/>
      <c r="Q5" s="1"/>
      <c r="R5" s="1"/>
      <c r="S5" s="1"/>
      <c r="T5" s="1"/>
      <c r="U5" s="39"/>
      <c r="V5" s="39"/>
      <c r="W5" s="39"/>
      <c r="X5" s="39"/>
      <c r="Y5" s="1"/>
      <c r="Z5" s="1"/>
      <c r="AA5" s="1"/>
      <c r="AB5" s="1"/>
      <c r="AC5" s="1"/>
      <c r="AD5" s="1"/>
      <c r="AE5" s="39"/>
      <c r="AF5" s="39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39"/>
      <c r="AW5" s="39"/>
      <c r="AX5" s="1"/>
      <c r="AY5" s="1"/>
      <c r="AZ5" s="1"/>
    </row>
    <row r="6" spans="1:53" x14ac:dyDescent="0.3">
      <c r="A6" s="24" t="s">
        <v>3</v>
      </c>
      <c r="B6" s="23" t="s">
        <v>4</v>
      </c>
      <c r="C6" s="53" t="s">
        <v>591</v>
      </c>
      <c r="D6" s="53" t="s">
        <v>450</v>
      </c>
      <c r="E6" s="53"/>
      <c r="F6" s="62" t="s">
        <v>791</v>
      </c>
      <c r="G6" s="53" t="s">
        <v>997</v>
      </c>
      <c r="H6" s="39" t="s">
        <v>450</v>
      </c>
      <c r="I6" s="39"/>
      <c r="J6" s="39"/>
      <c r="K6" s="1"/>
      <c r="L6" s="1"/>
      <c r="M6" s="1"/>
      <c r="N6" s="1"/>
      <c r="O6" s="1"/>
      <c r="P6" s="1"/>
      <c r="Q6" s="1"/>
      <c r="R6" s="1"/>
      <c r="S6" s="1"/>
      <c r="T6" s="1"/>
      <c r="U6" s="39"/>
      <c r="V6" s="39"/>
      <c r="W6" s="39"/>
      <c r="X6" s="39"/>
      <c r="Y6" s="1"/>
      <c r="Z6" s="1"/>
      <c r="AA6" s="1"/>
      <c r="AB6" s="1"/>
      <c r="AC6" s="1"/>
      <c r="AD6" s="1"/>
      <c r="AE6" s="39"/>
      <c r="AF6" s="39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39"/>
      <c r="AW6" s="39"/>
      <c r="AX6" s="1"/>
      <c r="AY6" s="1"/>
      <c r="AZ6" s="1"/>
    </row>
    <row r="7" spans="1:53" x14ac:dyDescent="0.3">
      <c r="A7" s="4" t="s">
        <v>5</v>
      </c>
      <c r="B7" s="5" t="s">
        <v>6</v>
      </c>
      <c r="C7" s="53" t="s">
        <v>593</v>
      </c>
      <c r="D7" s="53" t="s">
        <v>450</v>
      </c>
      <c r="E7" s="53"/>
      <c r="F7" s="53" t="s">
        <v>792</v>
      </c>
      <c r="G7" s="53" t="s">
        <v>997</v>
      </c>
      <c r="H7" s="39" t="s">
        <v>450</v>
      </c>
      <c r="I7" s="39"/>
      <c r="J7" s="57" t="s">
        <v>527</v>
      </c>
      <c r="K7" s="1" t="s">
        <v>450</v>
      </c>
      <c r="L7" s="1"/>
      <c r="M7" s="1"/>
      <c r="N7" s="1"/>
      <c r="O7" s="1"/>
      <c r="P7" s="1"/>
      <c r="Q7" s="1" t="s">
        <v>528</v>
      </c>
      <c r="R7" s="1" t="s">
        <v>450</v>
      </c>
      <c r="S7" s="61" t="s">
        <v>528</v>
      </c>
      <c r="T7" s="1" t="s">
        <v>450</v>
      </c>
      <c r="U7" s="39"/>
      <c r="V7" s="39"/>
      <c r="W7" s="39"/>
      <c r="X7" s="39"/>
      <c r="Y7" s="1"/>
      <c r="Z7" s="1"/>
      <c r="AA7" s="1"/>
      <c r="AB7" s="1"/>
      <c r="AC7" s="1"/>
      <c r="AD7" s="1"/>
      <c r="AE7" s="39"/>
      <c r="AF7" s="39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39"/>
      <c r="AW7" s="39"/>
      <c r="AX7" s="1"/>
      <c r="AY7" s="1"/>
      <c r="AZ7" s="1"/>
    </row>
    <row r="8" spans="1:53" x14ac:dyDescent="0.3">
      <c r="A8" s="22" t="s">
        <v>7</v>
      </c>
      <c r="B8" s="23" t="s">
        <v>8</v>
      </c>
      <c r="C8" s="53" t="s">
        <v>594</v>
      </c>
      <c r="D8" s="53" t="s">
        <v>450</v>
      </c>
      <c r="E8" s="53"/>
      <c r="F8" s="53" t="s">
        <v>793</v>
      </c>
      <c r="G8" s="53" t="s">
        <v>997</v>
      </c>
      <c r="H8" s="39" t="s">
        <v>450</v>
      </c>
      <c r="I8" s="39"/>
      <c r="J8" s="57" t="s">
        <v>558</v>
      </c>
      <c r="K8" s="1" t="s">
        <v>450</v>
      </c>
      <c r="L8" s="1"/>
      <c r="M8" s="1"/>
      <c r="N8" s="1"/>
      <c r="O8" s="1"/>
      <c r="P8" s="1"/>
      <c r="Q8" s="1"/>
      <c r="R8" s="1"/>
      <c r="S8" s="1" t="s">
        <v>558</v>
      </c>
      <c r="T8" s="1" t="s">
        <v>450</v>
      </c>
      <c r="U8" s="39"/>
      <c r="V8" s="39"/>
      <c r="W8" s="39"/>
      <c r="X8" s="39"/>
      <c r="Y8" s="1"/>
      <c r="Z8" s="1"/>
      <c r="AA8" s="1"/>
      <c r="AB8" s="1"/>
      <c r="AC8" s="1"/>
      <c r="AD8" s="1"/>
      <c r="AE8" s="39"/>
      <c r="AF8" s="39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39"/>
      <c r="AW8" s="39"/>
      <c r="AX8" s="1"/>
      <c r="AY8" s="1"/>
      <c r="AZ8" s="1"/>
    </row>
    <row r="9" spans="1:53" x14ac:dyDescent="0.3">
      <c r="A9" s="4" t="s">
        <v>9</v>
      </c>
      <c r="B9" s="5" t="s">
        <v>10</v>
      </c>
      <c r="C9" s="53" t="s">
        <v>595</v>
      </c>
      <c r="D9" s="53" t="s">
        <v>450</v>
      </c>
      <c r="E9" s="53"/>
      <c r="F9" s="53" t="s">
        <v>794</v>
      </c>
      <c r="G9" s="53" t="s">
        <v>995</v>
      </c>
      <c r="H9" s="57" t="s">
        <v>525</v>
      </c>
      <c r="I9" s="39" t="s">
        <v>450</v>
      </c>
      <c r="J9" s="39"/>
      <c r="K9" s="1"/>
      <c r="L9" s="1"/>
      <c r="M9" s="1"/>
      <c r="N9" s="1"/>
      <c r="O9" s="1"/>
      <c r="P9" s="1"/>
      <c r="Q9" s="1"/>
      <c r="R9" s="1"/>
      <c r="S9" s="1" t="s">
        <v>525</v>
      </c>
      <c r="T9" s="1" t="s">
        <v>450</v>
      </c>
      <c r="U9" s="39"/>
      <c r="V9" s="39"/>
      <c r="W9" s="39"/>
      <c r="X9" s="39"/>
      <c r="Y9" s="1"/>
      <c r="Z9" s="1"/>
      <c r="AA9" s="1"/>
      <c r="AB9" s="1"/>
      <c r="AC9" s="1"/>
      <c r="AD9" s="1"/>
      <c r="AE9" s="39"/>
      <c r="AF9" s="39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39"/>
      <c r="AW9" s="39"/>
      <c r="AX9" s="1"/>
      <c r="AY9" s="1"/>
      <c r="AZ9" s="1"/>
    </row>
    <row r="10" spans="1:53" x14ac:dyDescent="0.3">
      <c r="A10" s="22" t="s">
        <v>11</v>
      </c>
      <c r="B10" s="23" t="s">
        <v>12</v>
      </c>
      <c r="C10" s="53" t="s">
        <v>596</v>
      </c>
      <c r="D10" s="53" t="s">
        <v>450</v>
      </c>
      <c r="E10" s="53"/>
      <c r="F10" s="53" t="s">
        <v>795</v>
      </c>
      <c r="G10" s="53" t="s">
        <v>997</v>
      </c>
      <c r="H10" s="39" t="s">
        <v>450</v>
      </c>
      <c r="I10" s="39"/>
      <c r="J10" s="39"/>
      <c r="K10" s="1"/>
      <c r="L10" s="1"/>
      <c r="M10" s="1"/>
      <c r="N10" s="1"/>
      <c r="O10" s="1"/>
      <c r="P10" s="1"/>
      <c r="Q10" s="1"/>
      <c r="R10" s="1"/>
      <c r="S10" s="61" t="s">
        <v>510</v>
      </c>
      <c r="T10" s="1" t="s">
        <v>450</v>
      </c>
      <c r="U10" s="39"/>
      <c r="V10" s="39"/>
      <c r="W10" s="39"/>
      <c r="X10" s="39"/>
      <c r="Y10" s="1"/>
      <c r="Z10" s="1"/>
      <c r="AA10" s="1"/>
      <c r="AB10" s="1"/>
      <c r="AC10" s="1"/>
      <c r="AD10" s="1"/>
      <c r="AE10" s="39"/>
      <c r="AF10" s="39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39"/>
      <c r="AW10" s="39"/>
      <c r="AX10" s="1"/>
      <c r="AY10" s="1"/>
      <c r="AZ10" s="1"/>
    </row>
    <row r="11" spans="1:53" x14ac:dyDescent="0.3">
      <c r="A11" s="4" t="s">
        <v>13</v>
      </c>
      <c r="B11" s="5" t="s">
        <v>14</v>
      </c>
      <c r="C11" s="53" t="s">
        <v>597</v>
      </c>
      <c r="D11" s="53" t="s">
        <v>450</v>
      </c>
      <c r="E11" s="53"/>
      <c r="F11" s="53" t="s">
        <v>796</v>
      </c>
      <c r="G11" s="53" t="s">
        <v>997</v>
      </c>
      <c r="H11" s="39" t="s">
        <v>450</v>
      </c>
      <c r="I11" s="39"/>
      <c r="J11" s="1" t="s">
        <v>515</v>
      </c>
      <c r="K11" s="61" t="s">
        <v>450</v>
      </c>
      <c r="L11" s="1" t="s">
        <v>450</v>
      </c>
      <c r="M11" s="1"/>
      <c r="O11" s="1" t="s">
        <v>450</v>
      </c>
      <c r="P11" s="1"/>
      <c r="Q11" s="1"/>
      <c r="R11" s="1"/>
      <c r="S11" s="1" t="s">
        <v>450</v>
      </c>
      <c r="T11" s="1" t="s">
        <v>450</v>
      </c>
      <c r="U11" s="39"/>
      <c r="V11" s="39"/>
      <c r="W11" s="39"/>
      <c r="X11" s="39"/>
      <c r="Y11" s="1"/>
      <c r="Z11" s="1"/>
      <c r="AA11" s="1"/>
      <c r="AB11" s="1"/>
      <c r="AC11" s="1"/>
      <c r="AD11" s="1"/>
      <c r="AE11" s="39"/>
      <c r="AF11" s="39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39"/>
      <c r="AW11" s="39"/>
      <c r="AX11" s="1"/>
      <c r="AY11" s="1"/>
      <c r="AZ11" s="1"/>
    </row>
    <row r="12" spans="1:53" x14ac:dyDescent="0.3">
      <c r="A12" s="4" t="s">
        <v>15</v>
      </c>
      <c r="B12" s="5" t="s">
        <v>16</v>
      </c>
      <c r="C12" s="53" t="s">
        <v>598</v>
      </c>
      <c r="D12" s="53" t="s">
        <v>450</v>
      </c>
      <c r="E12" s="53"/>
      <c r="F12" s="62" t="s">
        <v>797</v>
      </c>
      <c r="G12" s="53" t="s">
        <v>997</v>
      </c>
      <c r="H12" s="39" t="s">
        <v>450</v>
      </c>
      <c r="I12" s="39"/>
      <c r="J12" s="39"/>
      <c r="K12" s="1"/>
      <c r="L12" s="1"/>
      <c r="M12" s="1"/>
      <c r="N12" s="1"/>
      <c r="O12" s="1"/>
      <c r="P12" s="1"/>
      <c r="Q12" s="1"/>
      <c r="R12" s="1"/>
      <c r="S12" s="1"/>
      <c r="T12" s="1"/>
      <c r="U12" s="39"/>
      <c r="V12" s="39"/>
      <c r="W12" s="39"/>
      <c r="X12" s="39"/>
      <c r="Y12" s="1"/>
      <c r="Z12" s="1"/>
      <c r="AA12" s="1"/>
      <c r="AB12" s="1"/>
      <c r="AC12" s="1"/>
      <c r="AD12" s="1"/>
      <c r="AE12" s="39"/>
      <c r="AF12" s="39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39"/>
      <c r="AW12" s="39"/>
      <c r="AX12" s="1"/>
      <c r="AY12" s="1"/>
      <c r="AZ12" s="1"/>
    </row>
    <row r="13" spans="1:53" x14ac:dyDescent="0.3">
      <c r="A13" s="19" t="s">
        <v>17</v>
      </c>
      <c r="B13" s="20" t="s">
        <v>18</v>
      </c>
      <c r="C13" s="53" t="s">
        <v>599</v>
      </c>
      <c r="D13" s="53" t="s">
        <v>450</v>
      </c>
      <c r="E13" s="53"/>
      <c r="F13" s="53" t="s">
        <v>798</v>
      </c>
      <c r="G13" s="53" t="s">
        <v>997</v>
      </c>
      <c r="H13" s="39" t="s">
        <v>450</v>
      </c>
      <c r="I13" s="39"/>
      <c r="J13" s="57" t="s">
        <v>496</v>
      </c>
      <c r="K13" s="1" t="s">
        <v>450</v>
      </c>
      <c r="L13" s="1"/>
      <c r="M13" s="1"/>
      <c r="N13" s="1"/>
      <c r="O13" s="1"/>
      <c r="P13" s="1"/>
      <c r="Q13" s="1"/>
      <c r="R13" s="1"/>
      <c r="S13" s="1" t="s">
        <v>496</v>
      </c>
      <c r="T13" s="1" t="s">
        <v>450</v>
      </c>
      <c r="U13" s="39"/>
      <c r="V13" s="39"/>
      <c r="W13" s="39"/>
      <c r="X13" s="39"/>
      <c r="Y13" s="1"/>
      <c r="Z13" s="1"/>
      <c r="AA13" s="1"/>
      <c r="AB13" s="1"/>
      <c r="AC13" s="1"/>
      <c r="AD13" s="1"/>
      <c r="AE13" s="39"/>
      <c r="AF13" s="39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39"/>
      <c r="AW13" s="39"/>
      <c r="AX13" s="1"/>
      <c r="AY13" s="1"/>
      <c r="AZ13" s="1"/>
    </row>
    <row r="14" spans="1:53" x14ac:dyDescent="0.3">
      <c r="A14" s="4" t="s">
        <v>19</v>
      </c>
      <c r="B14" s="5" t="s">
        <v>20</v>
      </c>
      <c r="C14" s="53" t="s">
        <v>600</v>
      </c>
      <c r="D14" s="53" t="s">
        <v>450</v>
      </c>
      <c r="E14" s="53"/>
      <c r="F14" s="53" t="s">
        <v>799</v>
      </c>
      <c r="G14" s="53" t="s">
        <v>997</v>
      </c>
      <c r="H14" s="57" t="s">
        <v>512</v>
      </c>
      <c r="I14" s="39" t="s">
        <v>559</v>
      </c>
      <c r="J14" s="39" t="s">
        <v>450</v>
      </c>
      <c r="K14" s="1"/>
      <c r="L14" s="1"/>
      <c r="M14" s="1"/>
      <c r="N14" s="1"/>
      <c r="O14" s="1"/>
      <c r="P14" s="1"/>
      <c r="Q14" s="1"/>
      <c r="R14" s="1"/>
      <c r="S14" s="1"/>
      <c r="T14" s="61" t="s">
        <v>511</v>
      </c>
      <c r="U14" s="39" t="s">
        <v>450</v>
      </c>
      <c r="V14" s="39"/>
      <c r="W14" s="39"/>
      <c r="X14" s="39"/>
      <c r="Y14" s="1"/>
      <c r="Z14" s="1"/>
      <c r="AA14" s="1"/>
      <c r="AB14" s="1"/>
      <c r="AC14" s="1"/>
      <c r="AD14" s="1"/>
      <c r="AE14" s="39"/>
      <c r="AF14" s="39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39"/>
      <c r="AW14" s="39"/>
      <c r="AX14" s="1"/>
      <c r="AY14" s="1"/>
      <c r="AZ14" s="1"/>
    </row>
    <row r="15" spans="1:53" x14ac:dyDescent="0.3">
      <c r="A15" s="4" t="s">
        <v>21</v>
      </c>
      <c r="B15" s="5" t="s">
        <v>22</v>
      </c>
      <c r="C15" s="53" t="s">
        <v>601</v>
      </c>
      <c r="D15" s="53" t="s">
        <v>450</v>
      </c>
      <c r="E15" s="53"/>
      <c r="F15" s="53" t="s">
        <v>800</v>
      </c>
      <c r="G15" s="53" t="s">
        <v>997</v>
      </c>
      <c r="H15" s="57" t="s">
        <v>526</v>
      </c>
      <c r="I15" s="39" t="s">
        <v>450</v>
      </c>
      <c r="J15" s="39"/>
      <c r="K15" s="1"/>
      <c r="L15" s="1"/>
      <c r="M15" s="1"/>
      <c r="N15" s="1"/>
      <c r="O15" s="1"/>
      <c r="P15" s="1"/>
      <c r="Q15" s="1"/>
      <c r="R15" s="1"/>
      <c r="S15" s="1"/>
      <c r="T15" s="1"/>
      <c r="U15" s="39"/>
      <c r="V15" s="39"/>
      <c r="W15" s="39"/>
      <c r="X15" s="39"/>
      <c r="Y15" s="1"/>
      <c r="Z15" s="1"/>
      <c r="AA15" s="1"/>
      <c r="AB15" s="1"/>
      <c r="AC15" s="1"/>
      <c r="AD15" s="1"/>
      <c r="AE15" s="39"/>
      <c r="AF15" s="39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57" t="s">
        <v>526</v>
      </c>
      <c r="AW15" s="39" t="s">
        <v>450</v>
      </c>
      <c r="AX15" s="1"/>
      <c r="AY15" s="1"/>
      <c r="AZ15" s="1"/>
    </row>
    <row r="16" spans="1:53" x14ac:dyDescent="0.3">
      <c r="A16" s="24" t="s">
        <v>23</v>
      </c>
      <c r="B16" s="25" t="s">
        <v>24</v>
      </c>
      <c r="C16" s="53" t="s">
        <v>602</v>
      </c>
      <c r="D16" s="53" t="s">
        <v>450</v>
      </c>
      <c r="E16" s="53"/>
      <c r="F16" s="53" t="s">
        <v>801</v>
      </c>
      <c r="G16" s="53" t="s">
        <v>997</v>
      </c>
      <c r="H16" s="39" t="s">
        <v>450</v>
      </c>
      <c r="I16" s="39"/>
      <c r="J16" s="39"/>
      <c r="K16" s="1"/>
      <c r="L16" s="1"/>
      <c r="M16" s="1"/>
      <c r="N16" s="1"/>
      <c r="O16" s="1"/>
      <c r="P16" s="1"/>
      <c r="Q16" s="1"/>
      <c r="R16" s="1"/>
      <c r="S16" s="61" t="s">
        <v>506</v>
      </c>
      <c r="T16" s="1" t="s">
        <v>450</v>
      </c>
      <c r="U16" s="39"/>
      <c r="V16" s="39"/>
      <c r="W16" s="39"/>
      <c r="X16" s="39"/>
      <c r="Y16" s="1"/>
      <c r="Z16" s="1"/>
      <c r="AA16" s="1"/>
      <c r="AB16" s="1"/>
      <c r="AC16" s="1"/>
      <c r="AD16" s="1"/>
      <c r="AE16" s="39"/>
      <c r="AF16" s="39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39"/>
      <c r="AW16" s="39"/>
      <c r="AX16" s="1"/>
      <c r="AY16" s="1"/>
      <c r="AZ16" s="1"/>
    </row>
    <row r="17" spans="1:52" x14ac:dyDescent="0.3">
      <c r="A17" s="11" t="s">
        <v>25</v>
      </c>
      <c r="B17" s="12" t="s">
        <v>26</v>
      </c>
      <c r="C17" s="53" t="s">
        <v>603</v>
      </c>
      <c r="D17" s="53" t="s">
        <v>450</v>
      </c>
      <c r="E17" s="53"/>
      <c r="F17" s="53" t="s">
        <v>802</v>
      </c>
      <c r="G17" s="53" t="s">
        <v>997</v>
      </c>
      <c r="H17" s="39" t="s">
        <v>450</v>
      </c>
      <c r="I17" s="39"/>
      <c r="J17" s="39"/>
      <c r="K17" s="1"/>
      <c r="L17" s="1"/>
      <c r="M17" s="1"/>
      <c r="N17" s="1"/>
      <c r="O17" s="1"/>
      <c r="P17" s="1"/>
      <c r="Q17" s="1"/>
      <c r="R17" s="1"/>
      <c r="S17" s="61" t="s">
        <v>464</v>
      </c>
      <c r="T17" s="1" t="s">
        <v>450</v>
      </c>
      <c r="U17" s="57" t="s">
        <v>553</v>
      </c>
      <c r="V17" s="39" t="s">
        <v>450</v>
      </c>
      <c r="W17" s="39"/>
      <c r="X17" s="39"/>
      <c r="Z17" s="1" t="s">
        <v>450</v>
      </c>
      <c r="AA17" s="1"/>
      <c r="AB17" s="1"/>
      <c r="AC17" s="1" t="s">
        <v>553</v>
      </c>
      <c r="AD17" s="1" t="s">
        <v>450</v>
      </c>
      <c r="AE17" s="39"/>
      <c r="AF17" s="39"/>
      <c r="AG17" s="1"/>
      <c r="AH17" s="1"/>
      <c r="AI17" s="61" t="s">
        <v>553</v>
      </c>
      <c r="AJ17" s="1" t="s">
        <v>450</v>
      </c>
      <c r="AK17" s="1"/>
      <c r="AL17" s="1" t="s">
        <v>553</v>
      </c>
      <c r="AM17" s="1" t="s">
        <v>450</v>
      </c>
      <c r="AN17" s="1"/>
      <c r="AO17" s="1"/>
      <c r="AP17" s="1" t="s">
        <v>553</v>
      </c>
      <c r="AQ17" s="1" t="s">
        <v>450</v>
      </c>
      <c r="AR17" s="1"/>
      <c r="AS17" s="1"/>
      <c r="AT17" s="1"/>
      <c r="AU17" s="1"/>
      <c r="AV17" s="39"/>
      <c r="AW17" s="39"/>
      <c r="AX17" s="1"/>
      <c r="AY17" s="1"/>
      <c r="AZ17" s="1"/>
    </row>
    <row r="18" spans="1:52" x14ac:dyDescent="0.3">
      <c r="A18" s="4" t="s">
        <v>27</v>
      </c>
      <c r="B18" s="5" t="s">
        <v>28</v>
      </c>
      <c r="C18" s="53" t="s">
        <v>604</v>
      </c>
      <c r="D18" s="53" t="s">
        <v>450</v>
      </c>
      <c r="E18" s="53"/>
      <c r="F18" s="53" t="s">
        <v>803</v>
      </c>
      <c r="G18" s="53" t="s">
        <v>997</v>
      </c>
      <c r="H18" s="57" t="s">
        <v>504</v>
      </c>
      <c r="I18" s="39" t="s">
        <v>450</v>
      </c>
      <c r="J18" s="57" t="s">
        <v>504</v>
      </c>
      <c r="K18" s="1" t="s">
        <v>450</v>
      </c>
      <c r="L18" s="1"/>
      <c r="M18" s="1"/>
      <c r="N18" s="1"/>
      <c r="O18" s="1"/>
      <c r="P18" s="1"/>
      <c r="Q18" s="1"/>
      <c r="R18" s="1"/>
      <c r="S18" s="61" t="s">
        <v>504</v>
      </c>
      <c r="T18" s="1" t="s">
        <v>450</v>
      </c>
      <c r="U18" s="39"/>
      <c r="V18" s="39"/>
      <c r="W18" s="39"/>
      <c r="X18" s="39"/>
      <c r="Y18" s="1"/>
      <c r="Z18" s="1"/>
      <c r="AA18" s="1"/>
      <c r="AB18" s="1"/>
      <c r="AC18" s="1"/>
      <c r="AD18" s="1"/>
      <c r="AE18" s="39"/>
      <c r="AF18" s="39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39"/>
      <c r="AW18" s="39"/>
      <c r="AX18" s="1"/>
      <c r="AY18" s="1"/>
      <c r="AZ18" s="1"/>
    </row>
    <row r="19" spans="1:52" x14ac:dyDescent="0.3">
      <c r="A19" s="24" t="s">
        <v>29</v>
      </c>
      <c r="B19" s="25" t="s">
        <v>30</v>
      </c>
      <c r="C19" s="53" t="s">
        <v>605</v>
      </c>
      <c r="D19" s="53" t="s">
        <v>450</v>
      </c>
      <c r="E19" s="53"/>
      <c r="F19" s="53" t="s">
        <v>804</v>
      </c>
      <c r="G19" s="53" t="s">
        <v>997</v>
      </c>
      <c r="H19" s="39" t="s">
        <v>450</v>
      </c>
      <c r="I19" s="39"/>
      <c r="J19" s="39"/>
      <c r="K19" s="1"/>
      <c r="L19" s="1"/>
      <c r="M19" s="1"/>
      <c r="N19" s="1"/>
      <c r="O19" s="1"/>
      <c r="P19" s="1"/>
      <c r="Q19" s="1"/>
      <c r="R19" s="1"/>
      <c r="S19" s="61" t="s">
        <v>561</v>
      </c>
      <c r="T19" s="1" t="s">
        <v>450</v>
      </c>
      <c r="U19" s="39"/>
      <c r="V19" s="39"/>
      <c r="W19" s="39"/>
      <c r="X19" s="39"/>
      <c r="Y19" s="1"/>
      <c r="Z19" s="1"/>
      <c r="AA19" s="1"/>
      <c r="AB19" s="1"/>
      <c r="AC19" s="1"/>
      <c r="AD19" s="1"/>
      <c r="AE19" s="39"/>
      <c r="AF19" s="39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39"/>
      <c r="AW19" s="39"/>
      <c r="AX19" s="1"/>
      <c r="AY19" s="1"/>
      <c r="AZ19" s="1"/>
    </row>
    <row r="20" spans="1:52" x14ac:dyDescent="0.3">
      <c r="A20" s="4" t="s">
        <v>31</v>
      </c>
      <c r="B20" s="5" t="s">
        <v>32</v>
      </c>
      <c r="C20" s="53" t="s">
        <v>606</v>
      </c>
      <c r="D20" s="53" t="s">
        <v>450</v>
      </c>
      <c r="E20" s="53"/>
      <c r="F20" s="53" t="s">
        <v>805</v>
      </c>
      <c r="G20" s="53" t="s">
        <v>997</v>
      </c>
      <c r="H20" s="39" t="s">
        <v>450</v>
      </c>
      <c r="I20" s="39"/>
      <c r="J20" s="39"/>
      <c r="K20" s="1"/>
      <c r="L20" s="1"/>
      <c r="M20" s="1"/>
      <c r="N20" s="1"/>
      <c r="O20" s="1"/>
      <c r="P20" s="1"/>
      <c r="Q20" s="1"/>
      <c r="R20" s="1"/>
      <c r="S20" s="1"/>
      <c r="T20" s="1"/>
      <c r="U20" s="39"/>
      <c r="V20" s="39"/>
      <c r="W20" s="39"/>
      <c r="X20" s="39"/>
      <c r="Y20" s="1"/>
      <c r="Z20" s="1"/>
      <c r="AA20" s="1"/>
      <c r="AB20" s="1"/>
      <c r="AC20" s="1"/>
      <c r="AD20" s="1"/>
      <c r="AE20" s="39"/>
      <c r="AF20" s="39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39"/>
      <c r="AW20" s="39"/>
      <c r="AX20" s="1"/>
      <c r="AY20" s="1"/>
      <c r="AZ20" s="1"/>
    </row>
    <row r="21" spans="1:52" x14ac:dyDescent="0.3">
      <c r="A21" s="4" t="s">
        <v>33</v>
      </c>
      <c r="B21" s="5" t="s">
        <v>34</v>
      </c>
      <c r="C21" s="53" t="s">
        <v>607</v>
      </c>
      <c r="D21" s="53" t="s">
        <v>450</v>
      </c>
      <c r="E21" s="53"/>
      <c r="F21" s="53" t="s">
        <v>806</v>
      </c>
      <c r="G21" s="53" t="s">
        <v>997</v>
      </c>
      <c r="H21" s="39" t="s">
        <v>450</v>
      </c>
      <c r="I21" s="39"/>
      <c r="J21" s="39"/>
      <c r="K21" s="1"/>
      <c r="L21" s="1"/>
      <c r="M21" s="1"/>
      <c r="N21" s="1"/>
      <c r="O21" s="1"/>
      <c r="P21" s="1"/>
      <c r="Q21" s="1"/>
      <c r="R21" s="1"/>
      <c r="S21" s="1"/>
      <c r="T21" s="1"/>
      <c r="U21" s="39"/>
      <c r="V21" s="39"/>
      <c r="W21" s="39"/>
      <c r="X21" s="39"/>
      <c r="Y21" s="1"/>
      <c r="Z21" s="1"/>
      <c r="AA21" s="1"/>
      <c r="AB21" s="1"/>
      <c r="AC21" s="1"/>
      <c r="AD21" s="1"/>
      <c r="AE21" s="39"/>
      <c r="AF21" s="39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39"/>
      <c r="AW21" s="39"/>
      <c r="AX21" s="1"/>
      <c r="AY21" s="1"/>
      <c r="AZ21" s="1"/>
    </row>
    <row r="22" spans="1:52" x14ac:dyDescent="0.3">
      <c r="A22" s="11" t="s">
        <v>35</v>
      </c>
      <c r="B22" s="12" t="s">
        <v>36</v>
      </c>
      <c r="C22" s="53" t="s">
        <v>608</v>
      </c>
      <c r="D22" s="53" t="s">
        <v>450</v>
      </c>
      <c r="E22" s="53"/>
      <c r="F22" s="53" t="s">
        <v>807</v>
      </c>
      <c r="G22" s="53" t="s">
        <v>997</v>
      </c>
      <c r="H22" s="57" t="s">
        <v>466</v>
      </c>
      <c r="I22" s="39" t="s">
        <v>450</v>
      </c>
      <c r="J22" s="39"/>
      <c r="K22" s="1" t="s">
        <v>467</v>
      </c>
      <c r="L22" s="1" t="s">
        <v>450</v>
      </c>
      <c r="M22" s="1"/>
      <c r="N22" s="1"/>
      <c r="O22" s="1" t="s">
        <v>466</v>
      </c>
      <c r="P22" s="1" t="s">
        <v>450</v>
      </c>
      <c r="Q22" s="1"/>
      <c r="R22" s="1"/>
      <c r="S22" s="1" t="s">
        <v>465</v>
      </c>
      <c r="T22" s="1" t="s">
        <v>450</v>
      </c>
      <c r="U22" s="39"/>
      <c r="V22" s="39"/>
      <c r="W22" s="39"/>
      <c r="X22" s="39"/>
      <c r="Y22" s="1"/>
      <c r="Z22" s="1"/>
      <c r="AA22" s="1"/>
      <c r="AB22" s="1"/>
      <c r="AC22" s="1"/>
      <c r="AD22" s="1"/>
      <c r="AE22" s="39"/>
      <c r="AF22" s="39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39" t="s">
        <v>560</v>
      </c>
      <c r="AW22" s="39" t="s">
        <v>450</v>
      </c>
      <c r="AX22" s="1"/>
      <c r="AY22" s="1"/>
      <c r="AZ22" s="1"/>
    </row>
    <row r="23" spans="1:52" x14ac:dyDescent="0.3">
      <c r="A23" s="4" t="s">
        <v>37</v>
      </c>
      <c r="B23" s="5" t="s">
        <v>38</v>
      </c>
      <c r="C23" s="53" t="s">
        <v>609</v>
      </c>
      <c r="D23" s="53" t="s">
        <v>450</v>
      </c>
      <c r="E23" s="53"/>
      <c r="F23" s="53" t="s">
        <v>808</v>
      </c>
      <c r="G23" s="53" t="s">
        <v>997</v>
      </c>
      <c r="H23" s="39" t="s">
        <v>450</v>
      </c>
      <c r="I23" s="39"/>
      <c r="J23" s="39"/>
      <c r="K23" s="61" t="s">
        <v>513</v>
      </c>
      <c r="L23" s="1" t="s">
        <v>450</v>
      </c>
      <c r="M23" s="1" t="s">
        <v>513</v>
      </c>
      <c r="N23" s="1" t="s">
        <v>450</v>
      </c>
      <c r="O23" s="1"/>
      <c r="P23" s="1"/>
      <c r="Q23" s="1"/>
      <c r="R23" s="1"/>
      <c r="S23" s="1" t="s">
        <v>513</v>
      </c>
      <c r="T23" s="1" t="s">
        <v>450</v>
      </c>
      <c r="U23" s="39"/>
      <c r="V23" s="39"/>
      <c r="W23" s="39"/>
      <c r="X23" s="39"/>
      <c r="Y23" s="1"/>
      <c r="Z23" s="1"/>
      <c r="AA23" s="1"/>
      <c r="AB23" s="1"/>
      <c r="AC23" s="1"/>
      <c r="AD23" s="1"/>
      <c r="AE23" s="39"/>
      <c r="AF23" s="39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39"/>
      <c r="AW23" s="39"/>
      <c r="AX23" s="1"/>
      <c r="AY23" s="1"/>
      <c r="AZ23" s="1"/>
    </row>
    <row r="24" spans="1:52" x14ac:dyDescent="0.3">
      <c r="A24" s="4" t="s">
        <v>39</v>
      </c>
      <c r="B24" s="5" t="s">
        <v>40</v>
      </c>
      <c r="C24" s="53" t="s">
        <v>610</v>
      </c>
      <c r="D24" s="53" t="s">
        <v>450</v>
      </c>
      <c r="E24" s="53"/>
      <c r="F24" s="53" t="s">
        <v>809</v>
      </c>
      <c r="G24" s="53" t="s">
        <v>997</v>
      </c>
      <c r="H24" s="39" t="s">
        <v>450</v>
      </c>
      <c r="I24" s="39"/>
      <c r="J24" s="39"/>
      <c r="K24" s="1"/>
      <c r="L24" s="1"/>
      <c r="M24" s="1"/>
      <c r="N24" s="1"/>
      <c r="O24" s="1"/>
      <c r="P24" s="1"/>
      <c r="Q24" s="1"/>
      <c r="R24" s="1"/>
      <c r="S24" s="1"/>
      <c r="T24" s="1"/>
      <c r="U24" s="39"/>
      <c r="V24" s="39"/>
      <c r="W24" s="39"/>
      <c r="X24" s="39"/>
      <c r="Y24" s="1"/>
      <c r="Z24" s="1"/>
      <c r="AA24" s="1"/>
      <c r="AB24" s="1"/>
      <c r="AC24" s="1"/>
      <c r="AD24" s="1"/>
      <c r="AE24" s="39"/>
      <c r="AF24" s="39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39"/>
      <c r="AW24" s="39"/>
      <c r="AX24" s="1"/>
      <c r="AY24" s="1"/>
      <c r="AZ24" s="1"/>
    </row>
    <row r="25" spans="1:52" x14ac:dyDescent="0.3">
      <c r="A25" s="4" t="s">
        <v>41</v>
      </c>
      <c r="B25" s="5" t="s">
        <v>42</v>
      </c>
      <c r="C25" s="53" t="s">
        <v>611</v>
      </c>
      <c r="D25" s="53" t="s">
        <v>450</v>
      </c>
      <c r="E25" s="53"/>
      <c r="F25" s="53" t="s">
        <v>810</v>
      </c>
      <c r="G25" s="53" t="s">
        <v>997</v>
      </c>
      <c r="H25" s="39" t="s">
        <v>450</v>
      </c>
      <c r="I25" s="39"/>
      <c r="J25" s="39"/>
      <c r="K25" s="1"/>
      <c r="L25" s="1"/>
      <c r="M25" s="1"/>
      <c r="N25" s="1"/>
      <c r="O25" s="1"/>
      <c r="P25" s="1"/>
      <c r="Q25" s="1"/>
      <c r="R25" s="1"/>
      <c r="S25" s="1"/>
      <c r="T25" s="1"/>
      <c r="U25" s="39"/>
      <c r="V25" s="39"/>
      <c r="W25" s="39"/>
      <c r="X25" s="39"/>
      <c r="Y25" s="1"/>
      <c r="Z25" s="1"/>
      <c r="AA25" s="1"/>
      <c r="AB25" s="1"/>
      <c r="AC25" s="1"/>
      <c r="AD25" s="1"/>
      <c r="AE25" s="39"/>
      <c r="AF25" s="39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39"/>
      <c r="AW25" s="39"/>
      <c r="AX25" s="1"/>
      <c r="AY25" s="1"/>
      <c r="AZ25" s="1"/>
    </row>
    <row r="26" spans="1:52" x14ac:dyDescent="0.3">
      <c r="A26" s="4" t="s">
        <v>43</v>
      </c>
      <c r="B26" s="5" t="s">
        <v>44</v>
      </c>
      <c r="C26" s="53" t="s">
        <v>612</v>
      </c>
      <c r="D26" s="53" t="s">
        <v>450</v>
      </c>
      <c r="E26" s="53"/>
      <c r="F26" s="53" t="s">
        <v>811</v>
      </c>
      <c r="G26" s="53" t="s">
        <v>997</v>
      </c>
      <c r="H26" s="39" t="s">
        <v>450</v>
      </c>
      <c r="I26" s="39"/>
      <c r="J26" s="39"/>
      <c r="K26" s="1"/>
      <c r="L26" s="1"/>
      <c r="M26" s="1"/>
      <c r="N26" s="1"/>
      <c r="O26" s="1"/>
      <c r="P26" s="1"/>
      <c r="Q26" s="1"/>
      <c r="R26" s="1"/>
      <c r="S26" s="1"/>
      <c r="T26" s="1"/>
      <c r="U26" s="39"/>
      <c r="V26" s="39"/>
      <c r="W26" s="39"/>
      <c r="X26" s="39"/>
      <c r="Y26" s="1"/>
      <c r="Z26" s="1"/>
      <c r="AA26" s="1"/>
      <c r="AB26" s="1"/>
      <c r="AC26" s="1"/>
      <c r="AD26" s="1"/>
      <c r="AE26" s="39"/>
      <c r="AF26" s="39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39"/>
      <c r="AW26" s="39"/>
      <c r="AX26" s="1"/>
      <c r="AY26" s="1"/>
      <c r="AZ26" s="1"/>
    </row>
    <row r="27" spans="1:52" x14ac:dyDescent="0.3">
      <c r="A27" s="4" t="s">
        <v>45</v>
      </c>
      <c r="B27" s="5" t="s">
        <v>46</v>
      </c>
      <c r="C27" s="53" t="s">
        <v>613</v>
      </c>
      <c r="D27" s="53" t="s">
        <v>450</v>
      </c>
      <c r="E27" s="53"/>
      <c r="F27" s="53" t="s">
        <v>812</v>
      </c>
      <c r="G27" s="53" t="s">
        <v>997</v>
      </c>
      <c r="H27" s="39" t="s">
        <v>450</v>
      </c>
      <c r="I27" s="39"/>
      <c r="J27" s="39"/>
      <c r="K27" s="1"/>
      <c r="L27" s="1"/>
      <c r="M27" s="1"/>
      <c r="N27" s="1"/>
      <c r="O27" s="1"/>
      <c r="P27" s="1"/>
      <c r="Q27" s="1"/>
      <c r="R27" s="1"/>
      <c r="S27" s="61" t="s">
        <v>529</v>
      </c>
      <c r="T27" s="1" t="s">
        <v>450</v>
      </c>
      <c r="U27" s="39"/>
      <c r="V27" s="39"/>
      <c r="W27" s="39"/>
      <c r="X27" s="39"/>
      <c r="Y27" s="1"/>
      <c r="Z27" s="1"/>
      <c r="AA27" s="1"/>
      <c r="AB27" s="1"/>
      <c r="AC27" s="1"/>
      <c r="AD27" s="1"/>
      <c r="AE27" s="39"/>
      <c r="AF27" s="39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39"/>
      <c r="AW27" s="39"/>
      <c r="AX27" s="1"/>
      <c r="AY27" s="1"/>
      <c r="AZ27" s="1"/>
    </row>
    <row r="28" spans="1:52" x14ac:dyDescent="0.3">
      <c r="A28" s="24" t="s">
        <v>47</v>
      </c>
      <c r="B28" s="25" t="s">
        <v>48</v>
      </c>
      <c r="C28" s="53" t="s">
        <v>614</v>
      </c>
      <c r="D28" s="53" t="s">
        <v>450</v>
      </c>
      <c r="E28" s="53"/>
      <c r="F28" s="53" t="s">
        <v>813</v>
      </c>
      <c r="G28" s="53" t="s">
        <v>997</v>
      </c>
      <c r="H28" s="39" t="s">
        <v>450</v>
      </c>
      <c r="I28" s="39"/>
      <c r="J28" s="39"/>
      <c r="K28" s="1"/>
      <c r="L28" s="1"/>
      <c r="M28" s="1"/>
      <c r="N28" s="1"/>
      <c r="O28" s="1"/>
      <c r="P28" s="1"/>
      <c r="Q28" s="1"/>
      <c r="R28" s="1"/>
      <c r="S28" s="1"/>
      <c r="T28" s="1"/>
      <c r="U28" s="39"/>
      <c r="V28" s="39"/>
      <c r="W28" s="39"/>
      <c r="X28" s="39"/>
      <c r="Y28" s="1"/>
      <c r="Z28" s="1"/>
      <c r="AA28" s="1"/>
      <c r="AB28" s="1"/>
      <c r="AC28" s="1"/>
      <c r="AD28" s="1"/>
      <c r="AE28" s="39"/>
      <c r="AF28" s="39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39"/>
      <c r="AW28" s="39"/>
      <c r="AX28" s="1"/>
      <c r="AY28" s="1"/>
      <c r="AZ28" s="1"/>
    </row>
    <row r="29" spans="1:52" x14ac:dyDescent="0.3">
      <c r="A29" s="19" t="s">
        <v>49</v>
      </c>
      <c r="B29" s="20" t="s">
        <v>50</v>
      </c>
      <c r="C29" s="53" t="s">
        <v>615</v>
      </c>
      <c r="D29" s="53" t="s">
        <v>450</v>
      </c>
      <c r="E29" s="53"/>
      <c r="F29" s="53" t="s">
        <v>814</v>
      </c>
      <c r="G29" s="53" t="s">
        <v>997</v>
      </c>
      <c r="H29" s="39" t="s">
        <v>450</v>
      </c>
      <c r="I29" s="39"/>
      <c r="J29" s="39"/>
      <c r="K29" s="1"/>
      <c r="L29" s="1"/>
      <c r="M29" s="1"/>
      <c r="N29" s="1"/>
      <c r="O29" s="1"/>
      <c r="P29" s="1"/>
      <c r="Q29" s="1"/>
      <c r="R29" s="1"/>
      <c r="S29" s="1" t="s">
        <v>992</v>
      </c>
      <c r="T29" s="1" t="s">
        <v>450</v>
      </c>
      <c r="U29" s="39"/>
      <c r="V29" s="39"/>
      <c r="W29" s="39"/>
      <c r="X29" s="39"/>
      <c r="Y29" s="1"/>
      <c r="Z29" s="1"/>
      <c r="AA29" s="1"/>
      <c r="AB29" s="1"/>
      <c r="AC29" s="1"/>
      <c r="AD29" s="1"/>
      <c r="AE29" s="39"/>
      <c r="AF29" s="39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39"/>
      <c r="AW29" s="39"/>
      <c r="AX29" s="1"/>
      <c r="AY29" s="1"/>
      <c r="AZ29" s="1"/>
    </row>
    <row r="30" spans="1:52" x14ac:dyDescent="0.3">
      <c r="A30" s="4" t="s">
        <v>51</v>
      </c>
      <c r="B30" s="5" t="s">
        <v>52</v>
      </c>
      <c r="C30" s="53" t="s">
        <v>616</v>
      </c>
      <c r="D30" s="53" t="s">
        <v>450</v>
      </c>
      <c r="E30" s="53"/>
      <c r="F30" s="53" t="s">
        <v>815</v>
      </c>
      <c r="G30" s="53" t="s">
        <v>997</v>
      </c>
      <c r="H30" s="39" t="s">
        <v>450</v>
      </c>
      <c r="I30" s="39"/>
      <c r="J30" s="57" t="s">
        <v>516</v>
      </c>
      <c r="K30" s="1" t="s">
        <v>450</v>
      </c>
      <c r="L30" s="1" t="s">
        <v>450</v>
      </c>
      <c r="M30" s="1"/>
      <c r="N30" s="1"/>
      <c r="O30" s="1"/>
      <c r="P30" s="1" t="s">
        <v>450</v>
      </c>
      <c r="Q30" s="1"/>
      <c r="R30" s="1"/>
      <c r="S30" s="1"/>
      <c r="T30" s="1"/>
      <c r="U30" s="39"/>
      <c r="V30" s="39"/>
      <c r="W30" s="39"/>
      <c r="X30" s="39"/>
      <c r="Y30" s="1"/>
      <c r="Z30" s="1"/>
      <c r="AA30" s="1"/>
      <c r="AB30" s="1"/>
      <c r="AC30" s="1"/>
      <c r="AD30" s="1"/>
      <c r="AE30" s="39"/>
      <c r="AF30" s="39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39"/>
      <c r="AW30" s="39"/>
      <c r="AX30" s="1"/>
      <c r="AY30" s="1"/>
      <c r="AZ30" s="1"/>
    </row>
    <row r="31" spans="1:52" x14ac:dyDescent="0.3">
      <c r="A31" s="19" t="s">
        <v>53</v>
      </c>
      <c r="B31" s="20" t="s">
        <v>54</v>
      </c>
      <c r="C31" s="53" t="s">
        <v>617</v>
      </c>
      <c r="D31" s="53" t="s">
        <v>450</v>
      </c>
      <c r="E31" s="53"/>
      <c r="F31" s="53" t="s">
        <v>816</v>
      </c>
      <c r="G31" s="53" t="s">
        <v>997</v>
      </c>
      <c r="H31" s="39" t="s">
        <v>544</v>
      </c>
      <c r="I31" s="39" t="s">
        <v>450</v>
      </c>
      <c r="J31" s="39"/>
      <c r="K31" s="1"/>
      <c r="L31" s="1"/>
      <c r="M31" s="1"/>
      <c r="N31" s="1"/>
      <c r="O31" s="1"/>
      <c r="P31" s="1"/>
      <c r="Q31" s="1"/>
      <c r="R31" s="1"/>
      <c r="S31" s="61" t="s">
        <v>483</v>
      </c>
      <c r="T31" s="1" t="s">
        <v>484</v>
      </c>
      <c r="U31" s="39" t="s">
        <v>450</v>
      </c>
      <c r="V31" s="39"/>
      <c r="W31" s="39"/>
      <c r="X31" s="39"/>
      <c r="Y31" s="1"/>
      <c r="Z31" s="1"/>
      <c r="AA31" s="1"/>
      <c r="AB31" s="1"/>
      <c r="AC31" s="1"/>
      <c r="AD31" s="1"/>
      <c r="AE31" s="39"/>
      <c r="AF31" s="39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39"/>
      <c r="AW31" s="39"/>
      <c r="AX31" s="1"/>
      <c r="AY31" s="1"/>
      <c r="AZ31" s="1"/>
    </row>
    <row r="32" spans="1:52" x14ac:dyDescent="0.3">
      <c r="A32" s="4" t="s">
        <v>55</v>
      </c>
      <c r="B32" s="5" t="s">
        <v>56</v>
      </c>
      <c r="C32" s="53" t="s">
        <v>618</v>
      </c>
      <c r="D32" s="53" t="s">
        <v>450</v>
      </c>
      <c r="E32" s="53"/>
      <c r="F32" s="53" t="s">
        <v>817</v>
      </c>
      <c r="G32" s="53" t="s">
        <v>997</v>
      </c>
      <c r="H32" s="39" t="s">
        <v>450</v>
      </c>
      <c r="I32" s="39"/>
      <c r="J32" s="39"/>
      <c r="K32" s="1"/>
      <c r="L32" s="1"/>
      <c r="M32" s="1"/>
      <c r="N32" s="1"/>
      <c r="O32" s="1"/>
      <c r="P32" s="1"/>
      <c r="Q32" s="1"/>
      <c r="R32" s="1"/>
      <c r="S32" s="61" t="s">
        <v>517</v>
      </c>
      <c r="T32" s="1" t="s">
        <v>450</v>
      </c>
      <c r="U32" s="39"/>
      <c r="V32" s="39"/>
      <c r="W32" s="39"/>
      <c r="X32" s="39"/>
      <c r="Y32" s="1"/>
      <c r="Z32" s="1"/>
      <c r="AA32" s="1"/>
      <c r="AB32" s="1"/>
      <c r="AC32" s="1"/>
      <c r="AD32" s="1"/>
      <c r="AE32" s="39"/>
      <c r="AF32" s="39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39"/>
      <c r="AW32" s="39"/>
      <c r="AX32" s="1"/>
      <c r="AY32" s="1"/>
      <c r="AZ32" s="1"/>
    </row>
    <row r="33" spans="1:52" x14ac:dyDescent="0.3">
      <c r="A33" s="4" t="s">
        <v>57</v>
      </c>
      <c r="B33" s="5" t="s">
        <v>58</v>
      </c>
      <c r="C33" s="53" t="s">
        <v>619</v>
      </c>
      <c r="D33" s="53" t="s">
        <v>450</v>
      </c>
      <c r="E33" s="53"/>
      <c r="F33" s="53" t="s">
        <v>818</v>
      </c>
      <c r="G33" s="53" t="s">
        <v>997</v>
      </c>
      <c r="H33" s="39" t="s">
        <v>450</v>
      </c>
      <c r="I33" s="39"/>
      <c r="J33" s="39"/>
      <c r="K33" s="1"/>
      <c r="L33" s="1"/>
      <c r="M33" s="1"/>
      <c r="N33" s="1"/>
      <c r="O33" s="1"/>
      <c r="P33" s="1"/>
      <c r="Q33" s="1"/>
      <c r="R33" s="1"/>
      <c r="S33" s="1"/>
      <c r="T33" s="1"/>
      <c r="U33" s="39"/>
      <c r="V33" s="39"/>
      <c r="W33" s="39"/>
      <c r="X33" s="39"/>
      <c r="Y33" s="1"/>
      <c r="Z33" s="1"/>
      <c r="AA33" s="1"/>
      <c r="AB33" s="1"/>
      <c r="AC33" s="1"/>
      <c r="AD33" s="1"/>
      <c r="AE33" s="39"/>
      <c r="AF33" s="39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39"/>
      <c r="AW33" s="39"/>
      <c r="AX33" s="1"/>
      <c r="AY33" s="1"/>
      <c r="AZ33" s="1"/>
    </row>
    <row r="34" spans="1:52" x14ac:dyDescent="0.3">
      <c r="A34" s="19" t="s">
        <v>59</v>
      </c>
      <c r="B34" s="20" t="s">
        <v>60</v>
      </c>
      <c r="C34" s="53" t="s">
        <v>620</v>
      </c>
      <c r="D34" s="53" t="s">
        <v>450</v>
      </c>
      <c r="E34" s="53"/>
      <c r="F34" s="53" t="s">
        <v>819</v>
      </c>
      <c r="G34" s="53" t="s">
        <v>997</v>
      </c>
      <c r="H34" s="39" t="s">
        <v>450</v>
      </c>
      <c r="I34" s="39"/>
      <c r="J34" s="62" t="s">
        <v>562</v>
      </c>
      <c r="K34" s="1" t="s">
        <v>450</v>
      </c>
      <c r="L34" s="1"/>
      <c r="M34" s="1"/>
      <c r="N34" s="1"/>
      <c r="O34" s="1"/>
      <c r="P34" s="1"/>
      <c r="Q34" s="1"/>
      <c r="R34" s="1"/>
      <c r="S34" s="61" t="s">
        <v>495</v>
      </c>
      <c r="T34" s="1" t="s">
        <v>450</v>
      </c>
      <c r="U34" s="39"/>
      <c r="V34" s="39"/>
      <c r="W34" s="39"/>
      <c r="X34" s="39"/>
      <c r="Y34" s="1"/>
      <c r="Z34" s="1"/>
      <c r="AA34" s="1"/>
      <c r="AB34" s="1"/>
      <c r="AC34" s="1"/>
      <c r="AD34" s="1"/>
      <c r="AE34" s="39"/>
      <c r="AF34" s="39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39"/>
      <c r="AW34" s="39"/>
      <c r="AX34" s="1"/>
      <c r="AY34" s="1"/>
      <c r="AZ34" s="1"/>
    </row>
    <row r="35" spans="1:52" x14ac:dyDescent="0.3">
      <c r="A35" s="13" t="s">
        <v>61</v>
      </c>
      <c r="B35" s="14" t="s">
        <v>62</v>
      </c>
      <c r="C35" s="53" t="s">
        <v>621</v>
      </c>
      <c r="D35" s="53" t="s">
        <v>450</v>
      </c>
      <c r="E35" s="53"/>
      <c r="F35" s="53" t="s">
        <v>820</v>
      </c>
      <c r="G35" s="53" t="s">
        <v>997</v>
      </c>
      <c r="H35" s="39" t="s">
        <v>450</v>
      </c>
      <c r="I35" s="39"/>
      <c r="J35" s="39"/>
      <c r="K35" s="1"/>
      <c r="L35" s="1"/>
      <c r="M35" s="1"/>
      <c r="N35" s="1"/>
      <c r="O35" s="1"/>
      <c r="P35" s="1"/>
      <c r="Q35" s="1"/>
      <c r="R35" s="1"/>
      <c r="S35" s="1"/>
      <c r="T35" s="1"/>
      <c r="U35" s="39"/>
      <c r="V35" s="39"/>
      <c r="W35" s="39"/>
      <c r="X35" s="39"/>
      <c r="Y35" s="1"/>
      <c r="Z35" s="1"/>
      <c r="AA35" s="1"/>
      <c r="AB35" s="1"/>
      <c r="AC35" s="1"/>
      <c r="AD35" s="1"/>
      <c r="AE35" s="39"/>
      <c r="AF35" s="39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39"/>
      <c r="AW35" s="39"/>
      <c r="AX35" s="1"/>
      <c r="AY35" s="1"/>
      <c r="AZ35" s="1"/>
    </row>
    <row r="36" spans="1:52" x14ac:dyDescent="0.3">
      <c r="A36" s="2" t="s">
        <v>63</v>
      </c>
      <c r="B36" s="3" t="s">
        <v>64</v>
      </c>
      <c r="C36" s="53" t="s">
        <v>622</v>
      </c>
      <c r="D36" s="53" t="s">
        <v>450</v>
      </c>
      <c r="E36" s="53"/>
      <c r="F36" s="57" t="s">
        <v>530</v>
      </c>
      <c r="G36" s="53" t="s">
        <v>997</v>
      </c>
      <c r="H36" s="39" t="s">
        <v>450</v>
      </c>
      <c r="I36" s="39"/>
      <c r="J36" s="57" t="s">
        <v>530</v>
      </c>
      <c r="K36" s="1" t="s">
        <v>450</v>
      </c>
      <c r="L36" s="1"/>
      <c r="M36" s="1"/>
      <c r="N36" s="1"/>
      <c r="O36" s="1"/>
      <c r="P36" s="1"/>
      <c r="Q36" s="1"/>
      <c r="R36" s="1"/>
      <c r="S36" s="1"/>
      <c r="T36" s="1"/>
      <c r="U36" s="39"/>
      <c r="V36" s="39"/>
      <c r="W36" s="39"/>
      <c r="X36" s="39"/>
      <c r="Y36" s="1"/>
      <c r="Z36" s="1"/>
      <c r="AA36" s="1"/>
      <c r="AB36" s="1"/>
      <c r="AC36" s="1"/>
      <c r="AD36" s="1"/>
      <c r="AE36" s="39"/>
      <c r="AF36" s="39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39"/>
      <c r="AW36" s="39"/>
      <c r="AX36" s="1"/>
      <c r="AY36" s="1"/>
      <c r="AZ36" s="1"/>
    </row>
    <row r="37" spans="1:52" x14ac:dyDescent="0.3">
      <c r="A37" s="22" t="s">
        <v>65</v>
      </c>
      <c r="B37" s="23" t="s">
        <v>66</v>
      </c>
      <c r="C37" s="53" t="s">
        <v>623</v>
      </c>
      <c r="D37" s="53" t="s">
        <v>450</v>
      </c>
      <c r="E37" s="53"/>
      <c r="F37" s="53" t="s">
        <v>820</v>
      </c>
      <c r="G37" s="53" t="s">
        <v>997</v>
      </c>
      <c r="H37" s="39" t="s">
        <v>450</v>
      </c>
      <c r="I37" s="39"/>
      <c r="J37" s="57" t="s">
        <v>498</v>
      </c>
      <c r="K37" s="1" t="s">
        <v>450</v>
      </c>
      <c r="L37" s="1"/>
      <c r="M37" s="1"/>
      <c r="N37" s="1"/>
      <c r="O37" s="1"/>
      <c r="P37" s="1"/>
      <c r="Q37" s="1"/>
      <c r="R37" s="1"/>
      <c r="S37" s="1" t="s">
        <v>498</v>
      </c>
      <c r="T37" s="1" t="s">
        <v>450</v>
      </c>
      <c r="U37" s="39"/>
      <c r="V37" s="39"/>
      <c r="W37" s="39"/>
      <c r="X37" s="39"/>
      <c r="Y37" s="1"/>
      <c r="Z37" s="1"/>
      <c r="AA37" s="1"/>
      <c r="AB37" s="1"/>
      <c r="AC37" s="1"/>
      <c r="AD37" s="1"/>
      <c r="AE37" s="39"/>
      <c r="AF37" s="39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39"/>
      <c r="AW37" s="39"/>
      <c r="AX37" s="1"/>
      <c r="AY37" s="1"/>
      <c r="AZ37" s="1"/>
    </row>
    <row r="38" spans="1:52" x14ac:dyDescent="0.3">
      <c r="A38" s="22" t="s">
        <v>67</v>
      </c>
      <c r="B38" s="23" t="s">
        <v>68</v>
      </c>
      <c r="C38" s="53" t="s">
        <v>624</v>
      </c>
      <c r="D38" s="53" t="s">
        <v>450</v>
      </c>
      <c r="E38" s="53"/>
      <c r="F38" s="53" t="s">
        <v>821</v>
      </c>
      <c r="G38" s="53" t="s">
        <v>997</v>
      </c>
      <c r="H38" s="39" t="s">
        <v>450</v>
      </c>
      <c r="I38" s="39"/>
      <c r="J38" s="39"/>
      <c r="K38" s="1"/>
      <c r="L38" s="1"/>
      <c r="M38" s="1"/>
      <c r="N38" s="1"/>
      <c r="O38" s="1"/>
      <c r="P38" s="1"/>
      <c r="Q38" s="1"/>
      <c r="R38" s="1"/>
      <c r="S38" s="1"/>
      <c r="T38" s="1"/>
      <c r="U38" s="39"/>
      <c r="V38" s="39"/>
      <c r="W38" s="39"/>
      <c r="X38" s="39"/>
      <c r="Y38" s="1"/>
      <c r="Z38" s="1"/>
      <c r="AA38" s="1"/>
      <c r="AB38" s="1"/>
      <c r="AC38" s="1"/>
      <c r="AD38" s="1"/>
      <c r="AE38" s="39"/>
      <c r="AF38" s="39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39"/>
      <c r="AW38" s="39"/>
      <c r="AX38" s="1"/>
      <c r="AY38" s="1"/>
      <c r="AZ38" s="1"/>
    </row>
    <row r="39" spans="1:52" x14ac:dyDescent="0.3">
      <c r="A39" s="13" t="s">
        <v>69</v>
      </c>
      <c r="B39" s="14" t="s">
        <v>70</v>
      </c>
      <c r="C39" s="53" t="s">
        <v>625</v>
      </c>
      <c r="D39" s="53" t="s">
        <v>450</v>
      </c>
      <c r="E39" s="53"/>
      <c r="F39" s="53" t="s">
        <v>822</v>
      </c>
      <c r="G39" s="53" t="s">
        <v>997</v>
      </c>
      <c r="H39" s="39" t="s">
        <v>544</v>
      </c>
      <c r="I39" s="39" t="s">
        <v>450</v>
      </c>
      <c r="J39" s="57" t="s">
        <v>471</v>
      </c>
      <c r="K39" s="1" t="s">
        <v>450</v>
      </c>
      <c r="L39" s="1"/>
      <c r="M39" s="1"/>
      <c r="N39" s="1"/>
      <c r="O39" s="1"/>
      <c r="P39" s="1"/>
      <c r="Q39" s="1"/>
      <c r="R39" s="1"/>
      <c r="S39" s="57" t="s">
        <v>471</v>
      </c>
      <c r="T39" s="1" t="s">
        <v>450</v>
      </c>
      <c r="U39" s="39"/>
      <c r="V39" s="39"/>
      <c r="W39" s="39"/>
      <c r="X39" s="39"/>
      <c r="Y39" s="1"/>
      <c r="Z39" s="1"/>
      <c r="AA39" s="1"/>
      <c r="AB39" s="1"/>
      <c r="AC39" s="1"/>
      <c r="AD39" s="1"/>
      <c r="AE39" s="39"/>
      <c r="AF39" s="39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39"/>
      <c r="AW39" s="39"/>
      <c r="AX39" s="1"/>
      <c r="AY39" s="1"/>
      <c r="AZ39" s="1"/>
    </row>
    <row r="40" spans="1:52" x14ac:dyDescent="0.3">
      <c r="A40" s="9" t="s">
        <v>71</v>
      </c>
      <c r="B40" s="10" t="s">
        <v>72</v>
      </c>
      <c r="C40" s="53" t="s">
        <v>626</v>
      </c>
      <c r="D40" s="53" t="s">
        <v>450</v>
      </c>
      <c r="E40" s="56"/>
      <c r="F40" s="53" t="s">
        <v>823</v>
      </c>
      <c r="G40" s="53" t="s">
        <v>997</v>
      </c>
      <c r="H40" s="57" t="s">
        <v>564</v>
      </c>
      <c r="I40" s="57" t="s">
        <v>565</v>
      </c>
      <c r="J40" s="57" t="s">
        <v>450</v>
      </c>
      <c r="K40" s="58" t="s">
        <v>563</v>
      </c>
      <c r="L40" s="58" t="s">
        <v>565</v>
      </c>
      <c r="M40" s="58" t="s">
        <v>565</v>
      </c>
      <c r="N40" s="58" t="s">
        <v>565</v>
      </c>
      <c r="O40" s="58" t="s">
        <v>566</v>
      </c>
      <c r="P40" s="1" t="s">
        <v>450</v>
      </c>
      <c r="Q40" s="58" t="s">
        <v>565</v>
      </c>
      <c r="R40" s="58" t="s">
        <v>565</v>
      </c>
      <c r="S40" s="58" t="s">
        <v>565</v>
      </c>
      <c r="T40" s="58" t="s">
        <v>449</v>
      </c>
      <c r="U40" s="57" t="s">
        <v>457</v>
      </c>
      <c r="V40" s="39" t="s">
        <v>450</v>
      </c>
      <c r="W40" s="57" t="s">
        <v>557</v>
      </c>
      <c r="X40" s="39" t="s">
        <v>450</v>
      </c>
      <c r="Y40" s="1"/>
      <c r="Z40" s="1"/>
      <c r="AA40" s="57" t="s">
        <v>456</v>
      </c>
      <c r="AB40" s="1" t="s">
        <v>450</v>
      </c>
      <c r="AC40" s="57" t="s">
        <v>456</v>
      </c>
      <c r="AD40" s="1" t="s">
        <v>450</v>
      </c>
      <c r="AE40" s="39"/>
      <c r="AF40" s="39"/>
      <c r="AG40" s="1"/>
      <c r="AH40" s="1"/>
      <c r="AI40" s="57" t="s">
        <v>557</v>
      </c>
      <c r="AJ40" s="1" t="s">
        <v>450</v>
      </c>
      <c r="AK40" s="1"/>
      <c r="AL40" s="57" t="s">
        <v>554</v>
      </c>
      <c r="AM40" s="1" t="s">
        <v>450</v>
      </c>
      <c r="AN40" s="57" t="s">
        <v>456</v>
      </c>
      <c r="AO40" s="1" t="s">
        <v>450</v>
      </c>
      <c r="AP40" s="1"/>
      <c r="AQ40" s="57" t="s">
        <v>456</v>
      </c>
      <c r="AR40" s="1" t="s">
        <v>450</v>
      </c>
      <c r="AS40" s="1"/>
      <c r="AT40" s="1"/>
      <c r="AU40" s="1"/>
      <c r="AV40" s="39"/>
      <c r="AW40" s="39"/>
      <c r="AX40" s="1"/>
      <c r="AY40" s="1"/>
      <c r="AZ40" s="1"/>
    </row>
    <row r="41" spans="1:52" x14ac:dyDescent="0.3">
      <c r="A41" s="2" t="s">
        <v>73</v>
      </c>
      <c r="B41" s="3" t="s">
        <v>74</v>
      </c>
      <c r="C41" s="53" t="s">
        <v>627</v>
      </c>
      <c r="D41" s="53" t="s">
        <v>450</v>
      </c>
      <c r="E41" s="53"/>
      <c r="F41" s="53" t="s">
        <v>824</v>
      </c>
      <c r="G41" s="53" t="s">
        <v>997</v>
      </c>
      <c r="H41" s="39" t="s">
        <v>450</v>
      </c>
      <c r="I41" s="39"/>
      <c r="J41" s="39"/>
      <c r="K41" s="1"/>
      <c r="L41" s="1"/>
      <c r="M41" s="1"/>
      <c r="N41" s="1"/>
      <c r="O41" s="1"/>
      <c r="P41" s="1"/>
      <c r="Q41" s="1"/>
      <c r="R41" s="1"/>
      <c r="S41" s="1"/>
      <c r="T41" s="1"/>
      <c r="U41" s="39"/>
      <c r="V41" s="39"/>
      <c r="W41" s="39"/>
      <c r="X41" s="39"/>
      <c r="Y41" s="1"/>
      <c r="Z41" s="1"/>
      <c r="AA41" s="1"/>
      <c r="AB41" s="1"/>
      <c r="AC41" s="1"/>
      <c r="AD41" s="1"/>
      <c r="AE41" s="39"/>
      <c r="AF41" s="39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39"/>
      <c r="AW41" s="39"/>
      <c r="AX41" s="1"/>
      <c r="AY41" s="1"/>
      <c r="AZ41" s="1"/>
    </row>
    <row r="42" spans="1:52" x14ac:dyDescent="0.3">
      <c r="A42" s="22" t="s">
        <v>75</v>
      </c>
      <c r="B42" s="23" t="s">
        <v>76</v>
      </c>
      <c r="C42" s="53" t="s">
        <v>628</v>
      </c>
      <c r="D42" s="53" t="s">
        <v>450</v>
      </c>
      <c r="E42" s="53"/>
      <c r="F42" s="53" t="s">
        <v>825</v>
      </c>
      <c r="G42" s="53" t="s">
        <v>997</v>
      </c>
      <c r="H42" s="39" t="s">
        <v>450</v>
      </c>
      <c r="I42" s="39"/>
      <c r="J42" s="39"/>
      <c r="K42" s="1"/>
      <c r="L42" s="1"/>
      <c r="M42" s="1"/>
      <c r="N42" s="1"/>
      <c r="O42" s="1"/>
      <c r="P42" s="1"/>
      <c r="Q42" s="1"/>
      <c r="R42" s="1"/>
      <c r="S42" s="1"/>
      <c r="T42" s="1"/>
      <c r="U42" s="39"/>
      <c r="V42" s="39"/>
      <c r="W42" s="39"/>
      <c r="X42" s="39"/>
      <c r="Y42" s="1"/>
      <c r="Z42" s="1"/>
      <c r="AA42" s="1"/>
      <c r="AB42" s="1"/>
      <c r="AC42" s="1"/>
      <c r="AD42" s="1"/>
      <c r="AE42" s="39"/>
      <c r="AF42" s="39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39"/>
      <c r="AW42" s="39"/>
      <c r="AX42" s="1"/>
      <c r="AY42" s="1"/>
      <c r="AZ42" s="1"/>
    </row>
    <row r="43" spans="1:52" x14ac:dyDescent="0.3">
      <c r="A43" s="4" t="s">
        <v>77</v>
      </c>
      <c r="B43" s="5" t="s">
        <v>78</v>
      </c>
      <c r="C43" s="53" t="s">
        <v>629</v>
      </c>
      <c r="D43" s="53" t="s">
        <v>450</v>
      </c>
      <c r="E43" s="53"/>
      <c r="F43" s="53" t="s">
        <v>826</v>
      </c>
      <c r="G43" s="53" t="s">
        <v>997</v>
      </c>
      <c r="H43" s="39" t="s">
        <v>450</v>
      </c>
      <c r="I43" s="39"/>
      <c r="J43" s="39"/>
      <c r="K43" s="1"/>
      <c r="L43" s="1"/>
      <c r="M43" s="1"/>
      <c r="N43" s="1"/>
      <c r="O43" s="1"/>
      <c r="P43" s="1"/>
      <c r="Q43" s="1"/>
      <c r="R43" s="1"/>
      <c r="S43" s="1"/>
      <c r="T43" s="1"/>
      <c r="U43" s="39"/>
      <c r="V43" s="39"/>
      <c r="W43" s="39"/>
      <c r="X43" s="39"/>
      <c r="Y43" s="1"/>
      <c r="Z43" s="1"/>
      <c r="AA43" s="1"/>
      <c r="AB43" s="1"/>
      <c r="AC43" s="1"/>
      <c r="AD43" s="1"/>
      <c r="AE43" s="39"/>
      <c r="AF43" s="39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39"/>
      <c r="AW43" s="39"/>
      <c r="AX43" s="1"/>
      <c r="AY43" s="1"/>
      <c r="AZ43" s="1"/>
    </row>
    <row r="44" spans="1:52" x14ac:dyDescent="0.3">
      <c r="A44" s="22" t="s">
        <v>79</v>
      </c>
      <c r="B44" s="23" t="s">
        <v>80</v>
      </c>
      <c r="C44" s="53" t="s">
        <v>630</v>
      </c>
      <c r="D44" s="53" t="s">
        <v>450</v>
      </c>
      <c r="E44" s="53"/>
      <c r="F44" s="53" t="s">
        <v>827</v>
      </c>
      <c r="G44" s="53" t="s">
        <v>997</v>
      </c>
      <c r="H44" s="39" t="s">
        <v>450</v>
      </c>
      <c r="I44" s="39"/>
      <c r="J44" s="39"/>
      <c r="K44" s="1"/>
      <c r="L44" s="1"/>
      <c r="M44" s="1"/>
      <c r="N44" s="1"/>
      <c r="O44" s="1"/>
      <c r="P44" s="1"/>
      <c r="Q44" s="1"/>
      <c r="R44" s="1"/>
      <c r="S44" s="61" t="s">
        <v>493</v>
      </c>
      <c r="T44" s="1" t="s">
        <v>450</v>
      </c>
      <c r="U44" s="39"/>
      <c r="V44" s="39"/>
      <c r="W44" s="39"/>
      <c r="X44" s="39"/>
      <c r="Y44" s="1"/>
      <c r="Z44" s="1"/>
      <c r="AA44" s="1"/>
      <c r="AB44" s="1"/>
      <c r="AC44" s="1"/>
      <c r="AD44" s="1"/>
      <c r="AE44" s="39"/>
      <c r="AF44" s="39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39"/>
      <c r="AW44" s="39"/>
      <c r="AX44" s="1"/>
      <c r="AY44" s="1"/>
      <c r="AZ44" s="1"/>
    </row>
    <row r="45" spans="1:52" x14ac:dyDescent="0.3">
      <c r="A45" s="2" t="s">
        <v>81</v>
      </c>
      <c r="B45" s="3" t="s">
        <v>82</v>
      </c>
      <c r="C45" s="53" t="s">
        <v>631</v>
      </c>
      <c r="D45" s="53" t="s">
        <v>450</v>
      </c>
      <c r="E45" s="53"/>
      <c r="F45" s="53" t="s">
        <v>828</v>
      </c>
      <c r="G45" s="53" t="s">
        <v>997</v>
      </c>
      <c r="H45" s="39" t="s">
        <v>450</v>
      </c>
      <c r="I45" s="39"/>
      <c r="J45" s="39"/>
      <c r="K45" s="1"/>
      <c r="L45" s="1"/>
      <c r="M45" s="1"/>
      <c r="N45" s="1"/>
      <c r="O45" s="1"/>
      <c r="P45" s="1"/>
      <c r="Q45" s="1"/>
      <c r="R45" s="1"/>
      <c r="S45" s="1"/>
      <c r="T45" s="1"/>
      <c r="U45" s="39"/>
      <c r="V45" s="39"/>
      <c r="W45" s="39"/>
      <c r="X45" s="39"/>
      <c r="Y45" s="1"/>
      <c r="Z45" s="1"/>
      <c r="AA45" s="1"/>
      <c r="AB45" s="1"/>
      <c r="AC45" s="1"/>
      <c r="AD45" s="1"/>
      <c r="AE45" s="39"/>
      <c r="AF45" s="39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39"/>
      <c r="AW45" s="39"/>
      <c r="AX45" s="1"/>
      <c r="AY45" s="1"/>
      <c r="AZ45" s="1"/>
    </row>
    <row r="46" spans="1:52" x14ac:dyDescent="0.3">
      <c r="A46" s="2" t="s">
        <v>83</v>
      </c>
      <c r="B46" s="3" t="s">
        <v>84</v>
      </c>
      <c r="C46" s="53" t="s">
        <v>632</v>
      </c>
      <c r="D46" s="53" t="s">
        <v>450</v>
      </c>
      <c r="E46" s="53"/>
      <c r="F46" s="53" t="s">
        <v>829</v>
      </c>
      <c r="G46" s="53" t="s">
        <v>997</v>
      </c>
      <c r="H46" s="39" t="s">
        <v>450</v>
      </c>
      <c r="I46" s="39"/>
      <c r="J46" s="39"/>
      <c r="K46" s="1"/>
      <c r="L46" s="1"/>
      <c r="M46" s="1"/>
      <c r="N46" s="1"/>
      <c r="O46" s="1"/>
      <c r="P46" s="1"/>
      <c r="Q46" s="1"/>
      <c r="R46" s="1"/>
      <c r="S46" s="1"/>
      <c r="T46" s="1"/>
      <c r="U46" s="39"/>
      <c r="V46" s="39"/>
      <c r="W46" s="39"/>
      <c r="X46" s="39"/>
      <c r="Y46" s="1"/>
      <c r="Z46" s="1"/>
      <c r="AA46" s="1"/>
      <c r="AB46" s="1"/>
      <c r="AC46" s="1"/>
      <c r="AD46" s="1"/>
      <c r="AE46" s="39"/>
      <c r="AF46" s="39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39"/>
      <c r="AW46" s="39"/>
      <c r="AX46" s="1"/>
      <c r="AY46" s="1"/>
      <c r="AZ46" s="1"/>
    </row>
    <row r="47" spans="1:52" x14ac:dyDescent="0.3">
      <c r="A47" s="2" t="s">
        <v>85</v>
      </c>
      <c r="B47" s="3" t="s">
        <v>86</v>
      </c>
      <c r="C47" s="53" t="s">
        <v>633</v>
      </c>
      <c r="D47" s="53" t="s">
        <v>450</v>
      </c>
      <c r="E47" s="53"/>
      <c r="F47" s="53" t="s">
        <v>830</v>
      </c>
      <c r="G47" s="53" t="s">
        <v>997</v>
      </c>
      <c r="H47" s="57" t="s">
        <v>480</v>
      </c>
      <c r="I47" s="39" t="s">
        <v>450</v>
      </c>
      <c r="J47" s="57" t="s">
        <v>480</v>
      </c>
      <c r="K47" s="1" t="s">
        <v>450</v>
      </c>
      <c r="L47" s="1"/>
      <c r="M47" s="1"/>
      <c r="N47" s="1"/>
      <c r="O47" s="1"/>
      <c r="P47" s="1"/>
      <c r="Q47" s="1"/>
      <c r="R47" s="1"/>
      <c r="S47" s="1" t="s">
        <v>480</v>
      </c>
      <c r="T47" s="1" t="s">
        <v>480</v>
      </c>
      <c r="U47" s="39" t="s">
        <v>450</v>
      </c>
      <c r="V47" s="39"/>
      <c r="W47" s="39"/>
      <c r="X47" s="39"/>
      <c r="Y47" s="1"/>
      <c r="Z47" s="1"/>
      <c r="AA47" s="1"/>
      <c r="AB47" s="1"/>
      <c r="AC47" s="1"/>
      <c r="AD47" s="1"/>
      <c r="AE47" s="39"/>
      <c r="AF47" s="39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39"/>
      <c r="AW47" s="39"/>
      <c r="AX47" s="1"/>
      <c r="AY47" s="1"/>
      <c r="AZ47" s="1"/>
    </row>
    <row r="48" spans="1:52" x14ac:dyDescent="0.3">
      <c r="A48" s="2" t="s">
        <v>87</v>
      </c>
      <c r="B48" s="3" t="s">
        <v>88</v>
      </c>
      <c r="C48" s="53" t="s">
        <v>634</v>
      </c>
      <c r="D48" s="53" t="s">
        <v>450</v>
      </c>
      <c r="E48" s="53"/>
      <c r="F48" s="53" t="s">
        <v>831</v>
      </c>
      <c r="G48" s="53" t="s">
        <v>997</v>
      </c>
      <c r="H48" s="39" t="s">
        <v>450</v>
      </c>
      <c r="I48" s="39"/>
      <c r="J48" s="57" t="s">
        <v>518</v>
      </c>
      <c r="K48" s="1" t="s">
        <v>450</v>
      </c>
      <c r="L48" s="1"/>
      <c r="M48" s="1"/>
      <c r="N48" s="1"/>
      <c r="O48" s="1"/>
      <c r="P48" s="1"/>
      <c r="Q48" s="1"/>
      <c r="R48" s="1"/>
      <c r="S48" s="1"/>
      <c r="T48" s="1"/>
      <c r="U48" s="39"/>
      <c r="V48" s="39"/>
      <c r="W48" s="39"/>
      <c r="X48" s="39"/>
      <c r="Y48" s="1"/>
      <c r="Z48" s="1"/>
      <c r="AA48" s="1"/>
      <c r="AB48" s="1"/>
      <c r="AC48" s="1"/>
      <c r="AD48" s="1"/>
      <c r="AE48" s="39"/>
      <c r="AF48" s="39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39"/>
      <c r="AW48" s="39"/>
      <c r="AX48" s="1"/>
      <c r="AY48" s="1"/>
      <c r="AZ48" s="1"/>
    </row>
    <row r="49" spans="1:52" x14ac:dyDescent="0.3">
      <c r="A49" s="13" t="s">
        <v>89</v>
      </c>
      <c r="B49" s="14" t="s">
        <v>90</v>
      </c>
      <c r="C49" s="53" t="s">
        <v>635</v>
      </c>
      <c r="D49" s="53" t="s">
        <v>450</v>
      </c>
      <c r="E49" s="53"/>
      <c r="F49" s="53" t="s">
        <v>832</v>
      </c>
      <c r="G49" s="53" t="s">
        <v>997</v>
      </c>
      <c r="H49" s="39" t="s">
        <v>544</v>
      </c>
      <c r="I49" s="39" t="s">
        <v>450</v>
      </c>
      <c r="J49" s="57" t="s">
        <v>567</v>
      </c>
      <c r="K49" s="1" t="s">
        <v>450</v>
      </c>
      <c r="L49" s="1"/>
      <c r="M49" s="1"/>
      <c r="N49" s="1"/>
      <c r="O49" s="1"/>
      <c r="P49" s="1"/>
      <c r="Q49" s="61" t="s">
        <v>567</v>
      </c>
      <c r="R49" s="1" t="s">
        <v>450</v>
      </c>
      <c r="S49" s="1"/>
      <c r="T49" s="1"/>
      <c r="U49" s="39"/>
      <c r="V49" s="39"/>
      <c r="W49" s="39"/>
      <c r="X49" s="39"/>
      <c r="Y49" s="1"/>
      <c r="Z49" s="1"/>
      <c r="AA49" s="1"/>
      <c r="AB49" s="1"/>
      <c r="AC49" s="1"/>
      <c r="AD49" s="1"/>
      <c r="AE49" s="39"/>
      <c r="AF49" s="39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39"/>
      <c r="AW49" s="39"/>
      <c r="AX49" s="1"/>
      <c r="AY49" s="1"/>
      <c r="AZ49" s="1"/>
    </row>
    <row r="50" spans="1:52" x14ac:dyDescent="0.3">
      <c r="A50" s="9" t="s">
        <v>91</v>
      </c>
      <c r="B50" s="10" t="s">
        <v>92</v>
      </c>
      <c r="C50" s="53" t="s">
        <v>636</v>
      </c>
      <c r="D50" s="53" t="s">
        <v>450</v>
      </c>
      <c r="E50" s="53"/>
      <c r="F50" s="53" t="s">
        <v>833</v>
      </c>
      <c r="G50" s="53" t="s">
        <v>997</v>
      </c>
      <c r="H50" s="39" t="s">
        <v>544</v>
      </c>
      <c r="I50" s="39" t="s">
        <v>450</v>
      </c>
      <c r="J50" s="39"/>
      <c r="K50" s="61" t="s">
        <v>460</v>
      </c>
      <c r="L50" s="1" t="s">
        <v>450</v>
      </c>
      <c r="M50" s="1"/>
      <c r="N50" s="1"/>
      <c r="O50" s="1"/>
      <c r="P50" s="1"/>
      <c r="Q50" s="1"/>
      <c r="R50" s="1"/>
      <c r="S50" s="1" t="s">
        <v>460</v>
      </c>
      <c r="T50" s="1" t="s">
        <v>450</v>
      </c>
      <c r="U50" s="39"/>
      <c r="V50" s="39"/>
      <c r="W50" s="39"/>
      <c r="X50" s="39"/>
      <c r="Y50" s="61" t="s">
        <v>552</v>
      </c>
      <c r="Z50" s="1" t="s">
        <v>552</v>
      </c>
      <c r="AA50" s="1" t="s">
        <v>450</v>
      </c>
      <c r="AB50" s="1"/>
      <c r="AC50" s="1"/>
      <c r="AD50" s="1"/>
      <c r="AE50" s="39"/>
      <c r="AF50" s="39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39"/>
      <c r="AW50" s="39"/>
      <c r="AX50" s="1"/>
      <c r="AY50" s="1"/>
      <c r="AZ50" s="1"/>
    </row>
    <row r="51" spans="1:52" x14ac:dyDescent="0.3">
      <c r="A51" s="2" t="s">
        <v>93</v>
      </c>
      <c r="B51" s="3" t="s">
        <v>94</v>
      </c>
      <c r="C51" s="53" t="s">
        <v>637</v>
      </c>
      <c r="D51" s="53" t="s">
        <v>450</v>
      </c>
      <c r="E51" s="53"/>
      <c r="F51" s="53" t="s">
        <v>834</v>
      </c>
      <c r="G51" s="53" t="s">
        <v>997</v>
      </c>
      <c r="H51" s="39" t="s">
        <v>450</v>
      </c>
      <c r="I51" s="39"/>
      <c r="J51" s="57" t="s">
        <v>520</v>
      </c>
      <c r="K51" s="1" t="s">
        <v>450</v>
      </c>
      <c r="L51" s="1"/>
      <c r="M51" s="1"/>
      <c r="N51" s="1"/>
      <c r="O51" s="1"/>
      <c r="P51" s="1"/>
      <c r="Q51" s="1"/>
      <c r="R51" s="1"/>
      <c r="S51" s="1" t="s">
        <v>520</v>
      </c>
      <c r="T51" s="1" t="s">
        <v>450</v>
      </c>
      <c r="U51" s="39"/>
      <c r="V51" s="39"/>
      <c r="W51" s="39"/>
      <c r="X51" s="39"/>
      <c r="Y51" s="1"/>
      <c r="Z51" s="1"/>
      <c r="AA51" s="1"/>
      <c r="AB51" s="1"/>
      <c r="AC51" s="1"/>
      <c r="AD51" s="1"/>
      <c r="AE51" s="39"/>
      <c r="AF51" s="39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39"/>
      <c r="AW51" s="39"/>
      <c r="AX51" s="1"/>
      <c r="AY51" s="1"/>
      <c r="AZ51" s="1"/>
    </row>
    <row r="52" spans="1:52" x14ac:dyDescent="0.3">
      <c r="A52" s="2" t="s">
        <v>95</v>
      </c>
      <c r="B52" s="3" t="s">
        <v>96</v>
      </c>
      <c r="C52" s="53" t="s">
        <v>638</v>
      </c>
      <c r="D52" s="53" t="s">
        <v>450</v>
      </c>
      <c r="E52" s="53"/>
      <c r="F52" s="53" t="s">
        <v>835</v>
      </c>
      <c r="G52" s="53" t="s">
        <v>997</v>
      </c>
      <c r="H52" s="39" t="s">
        <v>450</v>
      </c>
      <c r="I52" s="39"/>
      <c r="J52" s="57" t="s">
        <v>519</v>
      </c>
      <c r="K52" s="1" t="s">
        <v>450</v>
      </c>
      <c r="L52" s="1"/>
      <c r="M52" s="1"/>
      <c r="N52" s="1"/>
      <c r="O52" s="1"/>
      <c r="P52" s="1"/>
      <c r="Q52" s="1"/>
      <c r="R52" s="1"/>
      <c r="S52" s="1"/>
      <c r="T52" s="1"/>
      <c r="U52" s="39"/>
      <c r="V52" s="39"/>
      <c r="W52" s="39"/>
      <c r="X52" s="39"/>
      <c r="Y52" s="1"/>
      <c r="Z52" s="1"/>
      <c r="AA52" s="1"/>
      <c r="AB52" s="1"/>
      <c r="AC52" s="1"/>
      <c r="AD52" s="1"/>
      <c r="AE52" s="39"/>
      <c r="AF52" s="39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39"/>
      <c r="AW52" s="39"/>
      <c r="AX52" s="1"/>
      <c r="AY52" s="1"/>
      <c r="AZ52" s="1"/>
    </row>
    <row r="53" spans="1:52" x14ac:dyDescent="0.3">
      <c r="A53" s="2" t="s">
        <v>97</v>
      </c>
      <c r="B53" s="3" t="s">
        <v>98</v>
      </c>
      <c r="C53" s="53" t="s">
        <v>639</v>
      </c>
      <c r="D53" s="53" t="s">
        <v>450</v>
      </c>
      <c r="E53" s="53"/>
      <c r="F53" s="53" t="s">
        <v>836</v>
      </c>
      <c r="G53" s="53" t="s">
        <v>997</v>
      </c>
      <c r="H53" s="39" t="s">
        <v>450</v>
      </c>
      <c r="I53" s="39"/>
      <c r="J53" s="39"/>
      <c r="K53" s="1"/>
      <c r="L53" s="1"/>
      <c r="M53" s="1"/>
      <c r="N53" s="1"/>
      <c r="O53" s="1"/>
      <c r="P53" s="1"/>
      <c r="Q53" s="1"/>
      <c r="R53" s="1"/>
      <c r="S53" s="61" t="s">
        <v>508</v>
      </c>
      <c r="T53" s="1" t="s">
        <v>450</v>
      </c>
      <c r="U53" s="39"/>
      <c r="V53" s="39"/>
      <c r="W53" s="39"/>
      <c r="X53" s="39"/>
      <c r="Y53" s="1"/>
      <c r="Z53" s="1"/>
      <c r="AA53" s="1"/>
      <c r="AB53" s="1"/>
      <c r="AC53" s="1"/>
      <c r="AD53" s="1"/>
      <c r="AE53" s="39"/>
      <c r="AF53" s="39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39"/>
      <c r="AW53" s="39"/>
      <c r="AX53" s="1"/>
      <c r="AY53" s="1"/>
      <c r="AZ53" s="1"/>
    </row>
    <row r="54" spans="1:52" x14ac:dyDescent="0.3">
      <c r="A54" s="24" t="s">
        <v>99</v>
      </c>
      <c r="B54" s="25" t="s">
        <v>100</v>
      </c>
      <c r="C54" s="53" t="s">
        <v>640</v>
      </c>
      <c r="D54" s="53" t="s">
        <v>450</v>
      </c>
      <c r="E54" s="53"/>
      <c r="F54" s="53" t="s">
        <v>837</v>
      </c>
      <c r="G54" s="53" t="s">
        <v>997</v>
      </c>
      <c r="H54" s="57" t="s">
        <v>502</v>
      </c>
      <c r="I54" s="39" t="s">
        <v>450</v>
      </c>
      <c r="J54" s="39" t="s">
        <v>502</v>
      </c>
      <c r="K54" s="1" t="s">
        <v>502</v>
      </c>
      <c r="L54" s="1" t="s">
        <v>450</v>
      </c>
      <c r="M54" s="1"/>
      <c r="N54" s="1"/>
      <c r="O54" s="1"/>
      <c r="P54" s="1"/>
      <c r="Q54" s="1"/>
      <c r="R54" s="1"/>
      <c r="S54" s="1" t="s">
        <v>502</v>
      </c>
      <c r="T54" s="1" t="s">
        <v>450</v>
      </c>
      <c r="U54" s="39"/>
      <c r="V54" s="39"/>
      <c r="W54" s="39"/>
      <c r="X54" s="39"/>
      <c r="Y54" s="1"/>
      <c r="Z54" s="1"/>
      <c r="AA54" s="1"/>
      <c r="AB54" s="1"/>
      <c r="AC54" s="1"/>
      <c r="AD54" s="1"/>
      <c r="AE54" s="39"/>
      <c r="AF54" s="39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39"/>
      <c r="AW54" s="39"/>
      <c r="AX54" s="1"/>
      <c r="AY54" s="1"/>
      <c r="AZ54" s="1"/>
    </row>
    <row r="55" spans="1:52" x14ac:dyDescent="0.3">
      <c r="A55" s="2" t="s">
        <v>101</v>
      </c>
      <c r="B55" s="3" t="s">
        <v>102</v>
      </c>
      <c r="C55" s="53" t="s">
        <v>641</v>
      </c>
      <c r="D55" s="53" t="s">
        <v>450</v>
      </c>
      <c r="E55" s="53"/>
      <c r="F55" s="53" t="s">
        <v>838</v>
      </c>
      <c r="G55" s="53" t="s">
        <v>997</v>
      </c>
      <c r="H55" s="39" t="s">
        <v>450</v>
      </c>
      <c r="I55" s="39"/>
      <c r="J55" s="39"/>
      <c r="K55" s="1"/>
      <c r="L55" s="1"/>
      <c r="M55" s="1"/>
      <c r="N55" s="1"/>
      <c r="O55" s="1"/>
      <c r="P55" s="1"/>
      <c r="Q55" s="1"/>
      <c r="R55" s="1"/>
      <c r="S55" s="61" t="s">
        <v>521</v>
      </c>
      <c r="T55" s="1" t="s">
        <v>450</v>
      </c>
      <c r="U55" s="39"/>
      <c r="V55" s="39"/>
      <c r="W55" s="39"/>
      <c r="X55" s="39"/>
      <c r="Y55" s="1"/>
      <c r="Z55" s="1"/>
      <c r="AA55" s="1"/>
      <c r="AB55" s="1"/>
      <c r="AC55" s="1"/>
      <c r="AD55" s="1"/>
      <c r="AE55" s="39"/>
      <c r="AF55" s="39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39"/>
      <c r="AW55" s="39"/>
      <c r="AX55" s="1"/>
      <c r="AY55" s="1"/>
      <c r="AZ55" s="1"/>
    </row>
    <row r="56" spans="1:52" x14ac:dyDescent="0.3">
      <c r="A56" s="17" t="s">
        <v>103</v>
      </c>
      <c r="B56" s="18" t="s">
        <v>104</v>
      </c>
      <c r="C56" s="53" t="s">
        <v>642</v>
      </c>
      <c r="D56" s="53" t="s">
        <v>450</v>
      </c>
      <c r="E56" s="53"/>
      <c r="F56" s="53" t="s">
        <v>839</v>
      </c>
      <c r="G56" s="53" t="s">
        <v>997</v>
      </c>
      <c r="H56" s="39" t="s">
        <v>544</v>
      </c>
      <c r="I56" s="39" t="s">
        <v>450</v>
      </c>
      <c r="J56" s="39"/>
      <c r="K56" s="1"/>
      <c r="L56" s="1"/>
      <c r="M56" s="1"/>
      <c r="N56" s="1"/>
      <c r="O56" s="1"/>
      <c r="P56" s="1"/>
      <c r="Q56" s="1"/>
      <c r="R56" s="1"/>
      <c r="S56" s="1"/>
      <c r="T56" s="1"/>
      <c r="U56" s="39"/>
      <c r="V56" s="39"/>
      <c r="W56" s="39"/>
      <c r="X56" s="39"/>
      <c r="Y56" s="1"/>
      <c r="Z56" s="1"/>
      <c r="AA56" s="1"/>
      <c r="AB56" s="1"/>
      <c r="AC56" s="1"/>
      <c r="AD56" s="1"/>
      <c r="AE56" s="39"/>
      <c r="AF56" s="39"/>
      <c r="AG56" s="1"/>
      <c r="AH56" s="1"/>
      <c r="AI56" s="1"/>
      <c r="AJ56" s="1"/>
      <c r="AK56" s="1"/>
      <c r="AL56" s="1" t="s">
        <v>486</v>
      </c>
      <c r="AM56" s="1" t="s">
        <v>450</v>
      </c>
      <c r="AN56" s="1"/>
      <c r="AO56" s="1"/>
      <c r="AP56" s="1" t="s">
        <v>486</v>
      </c>
      <c r="AQ56" s="1" t="s">
        <v>450</v>
      </c>
      <c r="AR56" s="1"/>
      <c r="AS56" s="1"/>
      <c r="AT56" s="1" t="s">
        <v>486</v>
      </c>
      <c r="AU56" s="1" t="s">
        <v>450</v>
      </c>
      <c r="AV56" s="39" t="s">
        <v>486</v>
      </c>
      <c r="AW56" s="39" t="s">
        <v>450</v>
      </c>
      <c r="AX56" s="1"/>
      <c r="AY56" s="1"/>
      <c r="AZ56" s="1"/>
    </row>
    <row r="57" spans="1:52" x14ac:dyDescent="0.3">
      <c r="A57" s="22" t="s">
        <v>105</v>
      </c>
      <c r="B57" s="23" t="s">
        <v>106</v>
      </c>
      <c r="C57" s="53" t="s">
        <v>643</v>
      </c>
      <c r="D57" s="53" t="s">
        <v>450</v>
      </c>
      <c r="E57" s="53"/>
      <c r="F57" s="53" t="s">
        <v>840</v>
      </c>
      <c r="G57" s="53" t="s">
        <v>997</v>
      </c>
      <c r="H57" s="39" t="s">
        <v>450</v>
      </c>
      <c r="I57" s="39"/>
      <c r="J57" s="57" t="s">
        <v>522</v>
      </c>
      <c r="K57" s="1" t="s">
        <v>522</v>
      </c>
      <c r="L57" s="1" t="s">
        <v>450</v>
      </c>
      <c r="M57" s="1"/>
      <c r="N57" s="1"/>
      <c r="O57" s="1"/>
      <c r="P57" s="1"/>
      <c r="Q57" s="1"/>
      <c r="R57" s="1"/>
      <c r="S57" s="1" t="s">
        <v>522</v>
      </c>
      <c r="T57" s="1" t="s">
        <v>450</v>
      </c>
      <c r="U57" s="39"/>
      <c r="V57" s="39"/>
      <c r="W57" s="39"/>
      <c r="X57" s="39"/>
      <c r="Y57" s="1"/>
      <c r="Z57" s="1"/>
      <c r="AA57" s="1"/>
      <c r="AB57" s="1"/>
      <c r="AC57" s="1"/>
      <c r="AD57" s="1"/>
      <c r="AE57" s="39"/>
      <c r="AF57" s="39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39"/>
      <c r="AW57" s="39"/>
      <c r="AX57" s="1"/>
      <c r="AY57" s="1"/>
      <c r="AZ57" s="1"/>
    </row>
    <row r="58" spans="1:52" x14ac:dyDescent="0.3">
      <c r="A58" s="2" t="s">
        <v>107</v>
      </c>
      <c r="B58" s="3" t="s">
        <v>108</v>
      </c>
      <c r="C58" s="53" t="s">
        <v>644</v>
      </c>
      <c r="D58" s="53" t="s">
        <v>450</v>
      </c>
      <c r="E58" s="53"/>
      <c r="F58" s="53" t="s">
        <v>841</v>
      </c>
      <c r="G58" s="53" t="s">
        <v>997</v>
      </c>
      <c r="H58" s="39" t="s">
        <v>450</v>
      </c>
      <c r="I58" s="39"/>
      <c r="J58" s="39"/>
      <c r="K58" s="1"/>
      <c r="L58" s="1"/>
      <c r="M58" s="1"/>
      <c r="N58" s="1"/>
      <c r="O58" s="1"/>
      <c r="P58" s="1"/>
      <c r="Q58" s="1"/>
      <c r="R58" s="1"/>
      <c r="S58" s="1"/>
      <c r="T58" s="1"/>
      <c r="U58" s="39"/>
      <c r="V58" s="39"/>
      <c r="W58" s="39"/>
      <c r="X58" s="39"/>
      <c r="Y58" s="1"/>
      <c r="Z58" s="1"/>
      <c r="AA58" s="1"/>
      <c r="AB58" s="1"/>
      <c r="AC58" s="1"/>
      <c r="AD58" s="1"/>
      <c r="AE58" s="39"/>
      <c r="AF58" s="39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39"/>
      <c r="AW58" s="39"/>
      <c r="AX58" s="1"/>
      <c r="AY58" s="1"/>
      <c r="AZ58" s="1"/>
    </row>
    <row r="59" spans="1:52" x14ac:dyDescent="0.3">
      <c r="A59" s="2" t="s">
        <v>109</v>
      </c>
      <c r="B59" s="3" t="s">
        <v>110</v>
      </c>
      <c r="C59" s="53" t="s">
        <v>645</v>
      </c>
      <c r="D59" s="53" t="s">
        <v>450</v>
      </c>
      <c r="E59" s="53"/>
      <c r="F59" s="53" t="s">
        <v>842</v>
      </c>
      <c r="G59" s="53" t="s">
        <v>997</v>
      </c>
      <c r="H59" s="39" t="s">
        <v>450</v>
      </c>
      <c r="I59" s="39"/>
      <c r="J59" s="39"/>
      <c r="K59" s="1"/>
      <c r="L59" s="1"/>
      <c r="M59" s="1"/>
      <c r="N59" s="1"/>
      <c r="O59" s="1"/>
      <c r="P59" s="1"/>
      <c r="Q59" s="1"/>
      <c r="R59" s="1"/>
      <c r="S59" s="1"/>
      <c r="T59" s="1"/>
      <c r="U59" s="39"/>
      <c r="V59" s="39"/>
      <c r="W59" s="39"/>
      <c r="X59" s="39"/>
      <c r="Y59" s="1"/>
      <c r="Z59" s="1"/>
      <c r="AA59" s="1"/>
      <c r="AB59" s="1"/>
      <c r="AC59" s="1"/>
      <c r="AD59" s="1"/>
      <c r="AE59" s="39"/>
      <c r="AF59" s="39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39"/>
      <c r="AW59" s="39"/>
      <c r="AX59" s="1"/>
      <c r="AY59" s="1"/>
      <c r="AZ59" s="1"/>
    </row>
    <row r="60" spans="1:52" x14ac:dyDescent="0.3">
      <c r="A60" s="2" t="s">
        <v>111</v>
      </c>
      <c r="B60" s="3" t="s">
        <v>112</v>
      </c>
      <c r="C60" s="53" t="s">
        <v>646</v>
      </c>
      <c r="D60" s="53" t="s">
        <v>450</v>
      </c>
      <c r="E60" s="53"/>
      <c r="F60" s="53" t="s">
        <v>843</v>
      </c>
      <c r="G60" s="53" t="s">
        <v>997</v>
      </c>
      <c r="H60" s="39" t="s">
        <v>450</v>
      </c>
      <c r="I60" s="39"/>
      <c r="J60" s="57" t="s">
        <v>531</v>
      </c>
      <c r="K60" s="1" t="s">
        <v>531</v>
      </c>
      <c r="L60" s="1" t="s">
        <v>450</v>
      </c>
      <c r="M60" s="1"/>
      <c r="N60" s="1"/>
      <c r="O60" s="1"/>
      <c r="P60" s="1"/>
      <c r="Q60" s="1"/>
      <c r="R60" s="1"/>
      <c r="S60" s="1" t="s">
        <v>531</v>
      </c>
      <c r="T60" s="1" t="s">
        <v>450</v>
      </c>
      <c r="U60" s="39"/>
      <c r="V60" s="39"/>
      <c r="W60" s="39"/>
      <c r="X60" s="39"/>
      <c r="Y60" s="1"/>
      <c r="Z60" s="1"/>
      <c r="AA60" s="1"/>
      <c r="AB60" s="1"/>
      <c r="AC60" s="1"/>
      <c r="AD60" s="1"/>
      <c r="AE60" s="39"/>
      <c r="AF60" s="39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39" t="s">
        <v>531</v>
      </c>
      <c r="AW60" s="39" t="s">
        <v>450</v>
      </c>
      <c r="AX60" s="1"/>
      <c r="AY60" s="1"/>
      <c r="AZ60" s="1"/>
    </row>
    <row r="61" spans="1:52" x14ac:dyDescent="0.3">
      <c r="A61" s="2" t="s">
        <v>113</v>
      </c>
      <c r="B61" s="5" t="s">
        <v>114</v>
      </c>
      <c r="C61" s="53" t="s">
        <v>647</v>
      </c>
      <c r="D61" s="53" t="s">
        <v>450</v>
      </c>
      <c r="E61" s="53"/>
      <c r="F61" s="53" t="s">
        <v>844</v>
      </c>
      <c r="G61" s="53" t="s">
        <v>997</v>
      </c>
      <c r="H61" s="39" t="s">
        <v>450</v>
      </c>
      <c r="I61" s="39"/>
      <c r="J61" s="57" t="s">
        <v>524</v>
      </c>
      <c r="K61" s="1" t="s">
        <v>450</v>
      </c>
      <c r="L61" s="1"/>
      <c r="M61" s="1"/>
      <c r="N61" s="1"/>
      <c r="O61" s="1"/>
      <c r="P61" s="1"/>
      <c r="Q61" s="1"/>
      <c r="R61" s="1"/>
      <c r="S61" s="1" t="s">
        <v>523</v>
      </c>
      <c r="T61" s="1" t="s">
        <v>450</v>
      </c>
      <c r="U61" s="39"/>
      <c r="V61" s="39"/>
      <c r="W61" s="39"/>
      <c r="X61" s="39"/>
      <c r="Y61" s="1"/>
      <c r="Z61" s="1"/>
      <c r="AA61" s="1"/>
      <c r="AB61" s="1"/>
      <c r="AC61" s="1"/>
      <c r="AD61" s="1"/>
      <c r="AE61" s="39"/>
      <c r="AF61" s="39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39"/>
      <c r="AW61" s="39"/>
      <c r="AX61" s="1"/>
      <c r="AY61" s="1"/>
      <c r="AZ61" s="1"/>
    </row>
    <row r="62" spans="1:52" x14ac:dyDescent="0.3">
      <c r="A62" s="22" t="s">
        <v>115</v>
      </c>
      <c r="B62" s="23" t="s">
        <v>116</v>
      </c>
      <c r="C62" s="53" t="s">
        <v>648</v>
      </c>
      <c r="D62" s="53" t="s">
        <v>450</v>
      </c>
      <c r="E62" s="53"/>
      <c r="F62" s="53" t="s">
        <v>845</v>
      </c>
      <c r="G62" s="53" t="s">
        <v>997</v>
      </c>
      <c r="H62" s="39" t="s">
        <v>450</v>
      </c>
      <c r="I62" s="39"/>
      <c r="J62" s="57" t="s">
        <v>497</v>
      </c>
      <c r="K62" s="1" t="s">
        <v>450</v>
      </c>
      <c r="L62" s="1"/>
      <c r="M62" s="1"/>
      <c r="N62" s="1"/>
      <c r="O62" s="1"/>
      <c r="P62" s="1"/>
      <c r="Q62" s="1"/>
      <c r="R62" s="1"/>
      <c r="S62" s="1" t="s">
        <v>497</v>
      </c>
      <c r="T62" s="1" t="s">
        <v>450</v>
      </c>
      <c r="U62" s="39"/>
      <c r="V62" s="39"/>
      <c r="W62" s="39"/>
      <c r="X62" s="39"/>
      <c r="Y62" s="1"/>
      <c r="Z62" s="1"/>
      <c r="AA62" s="1"/>
      <c r="AB62" s="1"/>
      <c r="AC62" s="1"/>
      <c r="AD62" s="1"/>
      <c r="AE62" s="39"/>
      <c r="AF62" s="39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39"/>
      <c r="AW62" s="39"/>
      <c r="AX62" s="1"/>
      <c r="AY62" s="1"/>
      <c r="AZ62" s="1"/>
    </row>
    <row r="63" spans="1:52" x14ac:dyDescent="0.3">
      <c r="A63" s="13" t="s">
        <v>117</v>
      </c>
      <c r="B63" s="14" t="s">
        <v>118</v>
      </c>
      <c r="C63" s="53" t="s">
        <v>649</v>
      </c>
      <c r="D63" s="53" t="s">
        <v>450</v>
      </c>
      <c r="E63" s="53"/>
      <c r="F63" s="53" t="s">
        <v>846</v>
      </c>
      <c r="G63" s="53" t="s">
        <v>997</v>
      </c>
      <c r="H63" s="39" t="s">
        <v>450</v>
      </c>
      <c r="I63" s="39"/>
      <c r="J63" s="39"/>
      <c r="K63" s="1"/>
      <c r="L63" s="1"/>
      <c r="M63" s="1"/>
      <c r="N63" s="1"/>
      <c r="O63" s="1"/>
      <c r="P63" s="1"/>
      <c r="Q63" s="1"/>
      <c r="R63" s="1"/>
      <c r="S63" s="1"/>
      <c r="T63" s="1"/>
      <c r="U63" s="39"/>
      <c r="V63" s="39"/>
      <c r="W63" s="39"/>
      <c r="X63" s="39"/>
      <c r="Y63" s="1"/>
      <c r="Z63" s="1"/>
      <c r="AA63" s="1"/>
      <c r="AB63" s="1"/>
      <c r="AC63" s="1"/>
      <c r="AD63" s="1"/>
      <c r="AE63" s="39"/>
      <c r="AF63" s="39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39"/>
      <c r="AW63" s="39"/>
      <c r="AX63" s="1"/>
      <c r="AY63" s="1"/>
      <c r="AZ63" s="1"/>
    </row>
    <row r="64" spans="1:52" x14ac:dyDescent="0.3">
      <c r="A64" s="17" t="s">
        <v>119</v>
      </c>
      <c r="B64" s="18" t="s">
        <v>120</v>
      </c>
      <c r="C64" s="53" t="s">
        <v>650</v>
      </c>
      <c r="D64" s="53" t="s">
        <v>450</v>
      </c>
      <c r="E64" s="53"/>
      <c r="F64" s="53" t="s">
        <v>847</v>
      </c>
      <c r="G64" s="53" t="s">
        <v>997</v>
      </c>
      <c r="H64" s="39" t="s">
        <v>450</v>
      </c>
      <c r="I64" s="39"/>
      <c r="J64" s="57" t="s">
        <v>532</v>
      </c>
      <c r="K64" s="1" t="s">
        <v>450</v>
      </c>
      <c r="L64" s="1"/>
      <c r="M64" s="1"/>
      <c r="N64" s="1"/>
      <c r="O64" s="1"/>
      <c r="P64" s="1"/>
      <c r="Q64" s="1"/>
      <c r="R64" s="1"/>
      <c r="S64" s="1" t="s">
        <v>533</v>
      </c>
      <c r="T64" s="1" t="s">
        <v>450</v>
      </c>
      <c r="U64" s="39"/>
      <c r="V64" s="39"/>
      <c r="W64" s="39"/>
      <c r="X64" s="39"/>
      <c r="Y64" s="1"/>
      <c r="Z64" s="1"/>
      <c r="AA64" s="1"/>
      <c r="AB64" s="1"/>
      <c r="AC64" s="1"/>
      <c r="AD64" s="1"/>
      <c r="AE64" s="39"/>
      <c r="AF64" s="39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39"/>
      <c r="AW64" s="39"/>
      <c r="AX64" s="1"/>
      <c r="AY64" s="1"/>
      <c r="AZ64" s="1"/>
    </row>
    <row r="65" spans="1:52" x14ac:dyDescent="0.3">
      <c r="A65" s="22" t="s">
        <v>121</v>
      </c>
      <c r="B65" s="23" t="s">
        <v>122</v>
      </c>
      <c r="C65" s="53" t="s">
        <v>651</v>
      </c>
      <c r="D65" s="53" t="s">
        <v>450</v>
      </c>
      <c r="E65" s="53"/>
      <c r="F65" s="53" t="s">
        <v>848</v>
      </c>
      <c r="G65" s="53" t="s">
        <v>997</v>
      </c>
      <c r="H65" s="39" t="s">
        <v>450</v>
      </c>
      <c r="I65" s="39"/>
      <c r="J65" s="39"/>
      <c r="K65" s="1"/>
      <c r="L65" s="1"/>
      <c r="M65" s="1"/>
      <c r="N65" s="1"/>
      <c r="O65" s="1"/>
      <c r="P65" s="1"/>
      <c r="Q65" s="1"/>
      <c r="R65" s="1"/>
      <c r="S65" s="1"/>
      <c r="T65" s="1"/>
      <c r="U65" s="39"/>
      <c r="V65" s="39"/>
      <c r="W65" s="39"/>
      <c r="X65" s="39"/>
      <c r="Y65" s="1"/>
      <c r="Z65" s="1"/>
      <c r="AA65" s="1"/>
      <c r="AB65" s="1"/>
      <c r="AC65" s="1"/>
      <c r="AD65" s="1"/>
      <c r="AE65" s="39"/>
      <c r="AF65" s="39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39"/>
      <c r="AW65" s="39"/>
      <c r="AX65" s="1"/>
      <c r="AY65" s="1"/>
      <c r="AZ65" s="1"/>
    </row>
    <row r="66" spans="1:52" x14ac:dyDescent="0.3">
      <c r="A66" s="4" t="s">
        <v>123</v>
      </c>
      <c r="B66" s="5" t="s">
        <v>124</v>
      </c>
      <c r="C66" s="53" t="s">
        <v>652</v>
      </c>
      <c r="D66" s="53" t="s">
        <v>450</v>
      </c>
      <c r="E66" s="53"/>
      <c r="F66" s="53" t="s">
        <v>849</v>
      </c>
      <c r="G66" s="53" t="s">
        <v>997</v>
      </c>
      <c r="H66" s="39" t="s">
        <v>450</v>
      </c>
      <c r="I66" s="39"/>
      <c r="J66" s="39"/>
      <c r="K66" s="1"/>
      <c r="L66" s="1"/>
      <c r="M66" s="1"/>
      <c r="N66" s="1"/>
      <c r="O66" s="1"/>
      <c r="P66" s="1"/>
      <c r="Q66" s="1"/>
      <c r="R66" s="1"/>
      <c r="S66" s="1"/>
      <c r="T66" s="1"/>
      <c r="U66" s="39"/>
      <c r="V66" s="39"/>
      <c r="W66" s="39"/>
      <c r="X66" s="39"/>
      <c r="Y66" s="1"/>
      <c r="Z66" s="1"/>
      <c r="AA66" s="1"/>
      <c r="AB66" s="1"/>
      <c r="AC66" s="1"/>
      <c r="AD66" s="1"/>
      <c r="AE66" s="39"/>
      <c r="AF66" s="39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39"/>
      <c r="AW66" s="39"/>
      <c r="AX66" s="1"/>
      <c r="AY66" s="1"/>
      <c r="AZ66" s="1"/>
    </row>
    <row r="67" spans="1:52" x14ac:dyDescent="0.3">
      <c r="A67" s="11" t="s">
        <v>125</v>
      </c>
      <c r="B67" s="12" t="s">
        <v>126</v>
      </c>
      <c r="C67" s="53" t="s">
        <v>653</v>
      </c>
      <c r="D67" s="53" t="s">
        <v>450</v>
      </c>
      <c r="E67" s="53"/>
      <c r="F67" s="53" t="s">
        <v>850</v>
      </c>
      <c r="G67" s="53" t="s">
        <v>997</v>
      </c>
      <c r="H67" s="61" t="s">
        <v>568</v>
      </c>
      <c r="I67" s="39" t="s">
        <v>450</v>
      </c>
      <c r="J67" s="61" t="s">
        <v>568</v>
      </c>
      <c r="K67" s="1" t="s">
        <v>450</v>
      </c>
      <c r="L67" s="1"/>
      <c r="M67" s="1"/>
      <c r="N67" s="1"/>
      <c r="O67" s="1"/>
      <c r="P67" s="1"/>
      <c r="Q67" s="1"/>
      <c r="R67" s="1"/>
      <c r="S67" s="61" t="s">
        <v>568</v>
      </c>
      <c r="T67" s="1" t="s">
        <v>450</v>
      </c>
      <c r="U67" s="39"/>
      <c r="V67" s="39"/>
      <c r="W67" s="39"/>
      <c r="X67" s="39"/>
      <c r="Y67" s="61"/>
      <c r="Z67" s="1" t="s">
        <v>450</v>
      </c>
      <c r="AA67" s="61" t="s">
        <v>551</v>
      </c>
      <c r="AB67" s="1" t="s">
        <v>450</v>
      </c>
      <c r="AC67" s="1"/>
      <c r="AD67" s="1"/>
      <c r="AE67" s="39"/>
      <c r="AF67" s="39"/>
      <c r="AG67" s="1"/>
      <c r="AH67" s="1"/>
      <c r="AI67" s="61" t="s">
        <v>551</v>
      </c>
      <c r="AJ67" s="1" t="s">
        <v>450</v>
      </c>
      <c r="AK67" s="1"/>
      <c r="AL67" s="1"/>
      <c r="AM67" s="1"/>
      <c r="AN67" s="1"/>
      <c r="AO67" s="1"/>
      <c r="AP67" s="1" t="s">
        <v>551</v>
      </c>
      <c r="AQ67" s="1" t="s">
        <v>450</v>
      </c>
      <c r="AR67" s="1" t="s">
        <v>551</v>
      </c>
      <c r="AS67" s="1" t="s">
        <v>450</v>
      </c>
      <c r="AT67" s="1"/>
      <c r="AU67" s="1"/>
      <c r="AV67" s="39"/>
      <c r="AW67" s="39"/>
      <c r="AX67" s="1"/>
      <c r="AY67" s="1"/>
      <c r="AZ67" s="1"/>
    </row>
    <row r="68" spans="1:52" x14ac:dyDescent="0.3">
      <c r="A68" s="2" t="s">
        <v>127</v>
      </c>
      <c r="B68" s="3" t="s">
        <v>128</v>
      </c>
      <c r="C68" s="53" t="s">
        <v>654</v>
      </c>
      <c r="D68" s="53" t="s">
        <v>450</v>
      </c>
      <c r="E68" s="53"/>
      <c r="F68" s="53" t="s">
        <v>851</v>
      </c>
      <c r="G68" s="53" t="s">
        <v>997</v>
      </c>
      <c r="H68" s="39" t="s">
        <v>450</v>
      </c>
      <c r="I68" s="39"/>
      <c r="J68" s="57" t="s">
        <v>479</v>
      </c>
      <c r="K68" s="1" t="s">
        <v>450</v>
      </c>
      <c r="L68" s="1"/>
      <c r="M68" s="1"/>
      <c r="N68" s="1"/>
      <c r="O68" s="1"/>
      <c r="P68" s="1"/>
      <c r="Q68" s="1" t="s">
        <v>479</v>
      </c>
      <c r="R68" s="1" t="s">
        <v>450</v>
      </c>
      <c r="S68" s="1" t="s">
        <v>479</v>
      </c>
      <c r="T68" s="1" t="s">
        <v>450</v>
      </c>
      <c r="U68" s="39"/>
      <c r="V68" s="39"/>
      <c r="W68" s="39"/>
      <c r="X68" s="39"/>
      <c r="Y68" s="1"/>
      <c r="Z68" s="1"/>
      <c r="AA68" s="1"/>
      <c r="AB68" s="1"/>
      <c r="AC68" s="1"/>
      <c r="AD68" s="1"/>
      <c r="AE68" s="39"/>
      <c r="AF68" s="39"/>
      <c r="AG68" s="1" t="s">
        <v>479</v>
      </c>
      <c r="AH68" s="1" t="s">
        <v>450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39"/>
      <c r="AW68" s="39"/>
      <c r="AX68" s="1"/>
      <c r="AY68" s="1"/>
      <c r="AZ68" s="1"/>
    </row>
    <row r="69" spans="1:52" x14ac:dyDescent="0.3">
      <c r="A69" s="17" t="s">
        <v>129</v>
      </c>
      <c r="B69" s="18" t="s">
        <v>130</v>
      </c>
      <c r="C69" s="53" t="s">
        <v>655</v>
      </c>
      <c r="D69" s="53" t="s">
        <v>450</v>
      </c>
      <c r="E69" s="53"/>
      <c r="F69" s="53" t="s">
        <v>852</v>
      </c>
      <c r="G69" s="53" t="s">
        <v>997</v>
      </c>
      <c r="H69" s="39" t="s">
        <v>450</v>
      </c>
      <c r="I69" s="39"/>
      <c r="J69" s="39"/>
      <c r="K69" s="1"/>
      <c r="L69" s="1"/>
      <c r="M69" s="1"/>
      <c r="N69" s="1"/>
      <c r="O69" s="1"/>
      <c r="P69" s="1"/>
      <c r="Q69" s="1"/>
      <c r="R69" s="1"/>
      <c r="S69" s="1"/>
      <c r="T69" s="1"/>
      <c r="U69" s="39"/>
      <c r="V69" s="39"/>
      <c r="W69" s="39"/>
      <c r="X69" s="39"/>
      <c r="Y69" s="1"/>
      <c r="Z69" s="1"/>
      <c r="AA69" s="1"/>
      <c r="AB69" s="1"/>
      <c r="AC69" s="1"/>
      <c r="AD69" s="1"/>
      <c r="AE69" s="39"/>
      <c r="AF69" s="39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39"/>
      <c r="AW69" s="39"/>
      <c r="AX69" s="1"/>
      <c r="AY69" s="1"/>
      <c r="AZ69" s="1"/>
    </row>
    <row r="70" spans="1:52" x14ac:dyDescent="0.3">
      <c r="A70" s="13" t="s">
        <v>131</v>
      </c>
      <c r="B70" s="14" t="s">
        <v>132</v>
      </c>
      <c r="C70" s="53" t="s">
        <v>656</v>
      </c>
      <c r="D70" s="53" t="s">
        <v>450</v>
      </c>
      <c r="E70" s="53"/>
      <c r="F70" s="53" t="s">
        <v>853</v>
      </c>
      <c r="G70" s="53" t="s">
        <v>997</v>
      </c>
      <c r="H70" s="39" t="s">
        <v>450</v>
      </c>
      <c r="I70" s="39"/>
      <c r="J70" s="57" t="s">
        <v>472</v>
      </c>
      <c r="K70" s="1" t="s">
        <v>450</v>
      </c>
      <c r="L70" s="1"/>
      <c r="M70" s="1"/>
      <c r="N70" s="1"/>
      <c r="O70" s="1"/>
      <c r="P70" s="1"/>
      <c r="Q70" s="1"/>
      <c r="R70" s="1"/>
      <c r="S70" s="1" t="s">
        <v>472</v>
      </c>
      <c r="T70" s="1" t="s">
        <v>450</v>
      </c>
      <c r="U70" s="39"/>
      <c r="V70" s="39"/>
      <c r="W70" s="39"/>
      <c r="X70" s="39"/>
      <c r="Y70" s="1"/>
      <c r="Z70" s="1"/>
      <c r="AA70" s="1"/>
      <c r="AB70" s="1"/>
      <c r="AC70" s="1"/>
      <c r="AD70" s="1"/>
      <c r="AE70" s="39"/>
      <c r="AF70" s="39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39"/>
      <c r="AW70" s="39"/>
      <c r="AX70" s="1"/>
      <c r="AY70" s="1"/>
      <c r="AZ70" s="1"/>
    </row>
    <row r="71" spans="1:52" x14ac:dyDescent="0.3">
      <c r="A71" s="2" t="s">
        <v>133</v>
      </c>
      <c r="B71" s="3" t="s">
        <v>134</v>
      </c>
      <c r="C71" s="53" t="s">
        <v>657</v>
      </c>
      <c r="D71" s="53" t="s">
        <v>450</v>
      </c>
      <c r="E71" s="53"/>
      <c r="F71" s="53" t="s">
        <v>854</v>
      </c>
      <c r="G71" s="53" t="s">
        <v>997</v>
      </c>
      <c r="H71" s="57" t="s">
        <v>501</v>
      </c>
      <c r="I71" s="39" t="s">
        <v>450</v>
      </c>
      <c r="J71" s="39"/>
      <c r="K71" s="1"/>
      <c r="L71" s="1"/>
      <c r="M71" s="1"/>
      <c r="N71" s="1"/>
      <c r="O71" s="1"/>
      <c r="P71" s="1"/>
      <c r="Q71" s="1"/>
      <c r="R71" s="1"/>
      <c r="S71" s="61" t="s">
        <v>500</v>
      </c>
      <c r="T71" s="1" t="s">
        <v>450</v>
      </c>
      <c r="U71" s="39"/>
      <c r="V71" s="39"/>
      <c r="W71" s="39"/>
      <c r="X71" s="39"/>
      <c r="Y71" s="1"/>
      <c r="Z71" s="1"/>
      <c r="AA71" s="1"/>
      <c r="AB71" s="1"/>
      <c r="AC71" s="1"/>
      <c r="AD71" s="1"/>
      <c r="AE71" s="39"/>
      <c r="AF71" s="39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39"/>
      <c r="AW71" s="39"/>
      <c r="AX71" s="1"/>
      <c r="AY71" s="1"/>
      <c r="AZ71" s="1"/>
    </row>
    <row r="72" spans="1:52" x14ac:dyDescent="0.3">
      <c r="A72" s="9" t="s">
        <v>135</v>
      </c>
      <c r="B72" s="10" t="s">
        <v>136</v>
      </c>
      <c r="C72" s="53" t="s">
        <v>658</v>
      </c>
      <c r="D72" s="53" t="s">
        <v>450</v>
      </c>
      <c r="E72" s="53"/>
      <c r="F72" s="53" t="s">
        <v>855</v>
      </c>
      <c r="G72" s="53" t="s">
        <v>997</v>
      </c>
      <c r="H72" s="39" t="s">
        <v>450</v>
      </c>
      <c r="I72" s="39"/>
      <c r="J72" s="39"/>
      <c r="K72" s="61" t="s">
        <v>569</v>
      </c>
      <c r="L72" s="1" t="s">
        <v>450</v>
      </c>
      <c r="M72" s="1"/>
      <c r="N72" s="1"/>
      <c r="O72" s="61" t="s">
        <v>569</v>
      </c>
      <c r="P72" s="1" t="s">
        <v>450</v>
      </c>
      <c r="Q72" s="61" t="s">
        <v>569</v>
      </c>
      <c r="R72" s="1" t="s">
        <v>450</v>
      </c>
      <c r="S72" s="61" t="s">
        <v>569</v>
      </c>
      <c r="T72" s="1" t="s">
        <v>450</v>
      </c>
      <c r="U72" s="39"/>
      <c r="V72" s="39"/>
      <c r="W72" s="39"/>
      <c r="X72" s="39"/>
      <c r="Y72" s="1"/>
      <c r="Z72" s="1"/>
      <c r="AA72" s="1"/>
      <c r="AB72" s="1"/>
      <c r="AC72" s="1"/>
      <c r="AD72" s="1"/>
      <c r="AE72" s="39"/>
      <c r="AF72" s="39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39"/>
      <c r="AW72" s="39"/>
      <c r="AX72" s="1"/>
      <c r="AY72" s="1"/>
      <c r="AZ72" s="1"/>
    </row>
    <row r="73" spans="1:52" x14ac:dyDescent="0.3">
      <c r="A73" s="4" t="s">
        <v>137</v>
      </c>
      <c r="B73" s="5" t="s">
        <v>138</v>
      </c>
      <c r="C73" s="53" t="s">
        <v>659</v>
      </c>
      <c r="D73" s="53" t="s">
        <v>450</v>
      </c>
      <c r="E73" s="53"/>
      <c r="F73" s="53" t="s">
        <v>856</v>
      </c>
      <c r="G73" s="53" t="s">
        <v>997</v>
      </c>
      <c r="H73" s="39" t="s">
        <v>450</v>
      </c>
      <c r="I73" s="39"/>
      <c r="J73" s="39"/>
      <c r="K73" s="1"/>
      <c r="L73" s="1"/>
      <c r="M73" s="1"/>
      <c r="N73" s="1"/>
      <c r="O73" s="1"/>
      <c r="P73" s="1"/>
      <c r="Q73" s="1"/>
      <c r="R73" s="1"/>
      <c r="S73" s="1"/>
      <c r="T73" s="1"/>
      <c r="U73" s="39"/>
      <c r="V73" s="39"/>
      <c r="W73" s="39"/>
      <c r="X73" s="39"/>
      <c r="Y73" s="1"/>
      <c r="Z73" s="1"/>
      <c r="AA73" s="1"/>
      <c r="AB73" s="1"/>
      <c r="AC73" s="1"/>
      <c r="AD73" s="1"/>
      <c r="AE73" s="39"/>
      <c r="AF73" s="39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39"/>
      <c r="AW73" s="39"/>
      <c r="AX73" s="1"/>
      <c r="AY73" s="1"/>
      <c r="AZ73" s="1"/>
    </row>
    <row r="74" spans="1:52" x14ac:dyDescent="0.3">
      <c r="A74" s="22" t="s">
        <v>139</v>
      </c>
      <c r="B74" s="23" t="s">
        <v>140</v>
      </c>
      <c r="C74" s="53" t="s">
        <v>660</v>
      </c>
      <c r="D74" s="53" t="s">
        <v>450</v>
      </c>
      <c r="E74" s="53"/>
      <c r="F74" s="53" t="s">
        <v>857</v>
      </c>
      <c r="G74" s="53" t="s">
        <v>997</v>
      </c>
      <c r="H74" s="39" t="s">
        <v>450</v>
      </c>
      <c r="I74" s="39"/>
      <c r="J74" s="57" t="s">
        <v>534</v>
      </c>
      <c r="K74" s="1" t="s">
        <v>450</v>
      </c>
      <c r="L74" s="1"/>
      <c r="M74" s="1"/>
      <c r="N74" s="1"/>
      <c r="O74" s="1"/>
      <c r="P74" s="1"/>
      <c r="Q74" s="1"/>
      <c r="R74" s="1"/>
      <c r="S74" s="1" t="s">
        <v>534</v>
      </c>
      <c r="T74" s="1" t="s">
        <v>450</v>
      </c>
      <c r="U74" s="39"/>
      <c r="V74" s="39"/>
      <c r="W74" s="39"/>
      <c r="X74" s="39"/>
      <c r="Y74" s="1"/>
      <c r="Z74" s="1"/>
      <c r="AA74" s="1"/>
      <c r="AB74" s="1"/>
      <c r="AC74" s="1"/>
      <c r="AD74" s="1"/>
      <c r="AE74" s="39"/>
      <c r="AF74" s="39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39"/>
      <c r="AW74" s="39"/>
      <c r="AX74" s="1"/>
      <c r="AY74" s="1"/>
      <c r="AZ74" s="1"/>
    </row>
    <row r="75" spans="1:52" x14ac:dyDescent="0.3">
      <c r="A75" s="4" t="s">
        <v>141</v>
      </c>
      <c r="B75" s="5" t="s">
        <v>142</v>
      </c>
      <c r="C75" s="53" t="s">
        <v>661</v>
      </c>
      <c r="D75" s="53" t="s">
        <v>450</v>
      </c>
      <c r="E75" s="53"/>
      <c r="F75" s="53" t="s">
        <v>858</v>
      </c>
      <c r="G75" s="53" t="s">
        <v>997</v>
      </c>
      <c r="H75" s="57" t="s">
        <v>514</v>
      </c>
      <c r="I75" s="39" t="s">
        <v>450</v>
      </c>
      <c r="J75" s="39"/>
      <c r="K75" s="1"/>
      <c r="L75" s="1"/>
      <c r="M75" s="1"/>
      <c r="N75" s="1"/>
      <c r="O75" s="1"/>
      <c r="P75" s="1"/>
      <c r="Q75" s="1"/>
      <c r="R75" s="1"/>
      <c r="S75" s="1"/>
      <c r="T75" s="1"/>
      <c r="U75" s="39"/>
      <c r="V75" s="39"/>
      <c r="W75" s="39"/>
      <c r="X75" s="39"/>
      <c r="Y75" s="1"/>
      <c r="Z75" s="1"/>
      <c r="AA75" s="1"/>
      <c r="AB75" s="1"/>
      <c r="AC75" s="1"/>
      <c r="AD75" s="1"/>
      <c r="AE75" s="39"/>
      <c r="AF75" s="39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39"/>
      <c r="AW75" s="39"/>
      <c r="AX75" s="1"/>
      <c r="AY75" s="1"/>
      <c r="AZ75" s="1"/>
    </row>
    <row r="76" spans="1:52" x14ac:dyDescent="0.3">
      <c r="A76" s="2" t="s">
        <v>143</v>
      </c>
      <c r="B76" s="3" t="s">
        <v>144</v>
      </c>
      <c r="C76" s="53" t="s">
        <v>662</v>
      </c>
      <c r="D76" s="53" t="s">
        <v>450</v>
      </c>
      <c r="E76" s="53"/>
      <c r="F76" s="53" t="s">
        <v>859</v>
      </c>
      <c r="G76" s="53" t="s">
        <v>997</v>
      </c>
      <c r="H76" s="39" t="s">
        <v>450</v>
      </c>
      <c r="I76" s="39"/>
      <c r="J76" s="39"/>
      <c r="K76" s="1"/>
      <c r="L76" s="1"/>
      <c r="M76" s="1"/>
      <c r="N76" s="1"/>
      <c r="O76" s="1"/>
      <c r="P76" s="1"/>
      <c r="Q76" s="1"/>
      <c r="R76" s="1"/>
      <c r="S76" s="1"/>
      <c r="T76" s="1"/>
      <c r="U76" s="39"/>
      <c r="V76" s="39"/>
      <c r="W76" s="39"/>
      <c r="X76" s="39"/>
      <c r="Y76" s="1"/>
      <c r="Z76" s="1"/>
      <c r="AA76" s="1"/>
      <c r="AB76" s="1"/>
      <c r="AC76" s="1"/>
      <c r="AD76" s="1"/>
      <c r="AE76" s="39"/>
      <c r="AF76" s="39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39"/>
      <c r="AW76" s="39"/>
      <c r="AX76" s="1"/>
      <c r="AY76" s="1"/>
      <c r="AZ76" s="1"/>
    </row>
    <row r="77" spans="1:52" x14ac:dyDescent="0.3">
      <c r="A77" s="9" t="s">
        <v>145</v>
      </c>
      <c r="B77" s="10" t="s">
        <v>146</v>
      </c>
      <c r="C77" s="53" t="s">
        <v>663</v>
      </c>
      <c r="D77" s="53" t="s">
        <v>450</v>
      </c>
      <c r="E77" s="53"/>
      <c r="F77" s="53" t="s">
        <v>860</v>
      </c>
      <c r="G77" s="53" t="s">
        <v>997</v>
      </c>
      <c r="H77" s="39" t="s">
        <v>450</v>
      </c>
      <c r="I77" s="39"/>
      <c r="J77" s="57" t="s">
        <v>570</v>
      </c>
      <c r="K77" s="1" t="s">
        <v>450</v>
      </c>
      <c r="L77" s="1"/>
      <c r="M77" s="1"/>
      <c r="N77" s="1"/>
      <c r="O77" s="1"/>
      <c r="P77" s="1"/>
      <c r="Q77" s="1"/>
      <c r="R77" s="1"/>
      <c r="S77" s="61" t="s">
        <v>570</v>
      </c>
      <c r="T77" s="1" t="s">
        <v>450</v>
      </c>
      <c r="U77" s="39" t="s">
        <v>550</v>
      </c>
      <c r="V77" s="57" t="s">
        <v>550</v>
      </c>
      <c r="W77" s="39" t="s">
        <v>450</v>
      </c>
      <c r="X77" s="39"/>
      <c r="Y77" s="1" t="s">
        <v>550</v>
      </c>
      <c r="Z77" s="1" t="s">
        <v>550</v>
      </c>
      <c r="AA77" s="1" t="s">
        <v>450</v>
      </c>
      <c r="AB77" s="1"/>
      <c r="AC77" s="1"/>
      <c r="AD77" s="1"/>
      <c r="AE77" s="39"/>
      <c r="AF77" s="39"/>
      <c r="AG77" s="1"/>
      <c r="AH77" s="1"/>
      <c r="AI77" s="1"/>
      <c r="AJ77" s="1"/>
      <c r="AK77" s="1"/>
      <c r="AL77" s="1"/>
      <c r="AM77" s="1"/>
      <c r="AN77" s="1"/>
      <c r="AO77" s="1"/>
      <c r="AP77" s="1" t="s">
        <v>550</v>
      </c>
      <c r="AQ77" s="1" t="s">
        <v>550</v>
      </c>
      <c r="AR77" s="1" t="s">
        <v>550</v>
      </c>
      <c r="AS77" s="1" t="s">
        <v>550</v>
      </c>
      <c r="AT77" s="1" t="s">
        <v>450</v>
      </c>
      <c r="AU77" s="1"/>
      <c r="AV77" s="39"/>
      <c r="AW77" s="39"/>
      <c r="AX77" s="1"/>
      <c r="AY77" s="1"/>
      <c r="AZ77" s="1"/>
    </row>
    <row r="78" spans="1:52" x14ac:dyDescent="0.3">
      <c r="A78" s="2" t="s">
        <v>147</v>
      </c>
      <c r="B78" s="3" t="s">
        <v>148</v>
      </c>
      <c r="C78" s="53" t="s">
        <v>664</v>
      </c>
      <c r="D78" s="53" t="s">
        <v>450</v>
      </c>
      <c r="E78" s="53"/>
      <c r="F78" s="53" t="s">
        <v>861</v>
      </c>
      <c r="G78" s="53" t="s">
        <v>997</v>
      </c>
      <c r="H78" s="39" t="s">
        <v>450</v>
      </c>
      <c r="I78" s="39"/>
      <c r="J78" s="39"/>
      <c r="K78" s="1"/>
      <c r="L78" s="1"/>
      <c r="M78" s="1"/>
      <c r="N78" s="1"/>
      <c r="O78" s="1"/>
      <c r="P78" s="1"/>
      <c r="Q78" s="1"/>
      <c r="R78" s="1"/>
      <c r="S78" s="1"/>
      <c r="T78" s="1"/>
      <c r="U78" s="39"/>
      <c r="V78" s="39"/>
      <c r="W78" s="39"/>
      <c r="X78" s="39"/>
      <c r="Y78" s="1"/>
      <c r="Z78" s="1"/>
      <c r="AA78" s="1"/>
      <c r="AB78" s="1"/>
      <c r="AC78" s="1"/>
      <c r="AD78" s="1"/>
      <c r="AE78" s="39"/>
      <c r="AF78" s="39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39"/>
      <c r="AW78" s="39"/>
      <c r="AX78" s="1"/>
      <c r="AY78" s="1"/>
      <c r="AZ78" s="1"/>
    </row>
    <row r="79" spans="1:52" x14ac:dyDescent="0.3">
      <c r="A79" s="4" t="s">
        <v>149</v>
      </c>
      <c r="B79" s="5" t="s">
        <v>150</v>
      </c>
      <c r="C79" s="53" t="s">
        <v>665</v>
      </c>
      <c r="D79" s="53" t="s">
        <v>450</v>
      </c>
      <c r="E79" s="53"/>
      <c r="F79" s="53" t="s">
        <v>862</v>
      </c>
      <c r="G79" s="53" t="s">
        <v>997</v>
      </c>
      <c r="H79" s="39" t="s">
        <v>450</v>
      </c>
      <c r="I79" s="39"/>
      <c r="J79" s="39"/>
      <c r="K79" s="1"/>
      <c r="L79" s="1"/>
      <c r="M79" s="1"/>
      <c r="N79" s="1"/>
      <c r="O79" s="1"/>
      <c r="P79" s="1"/>
      <c r="Q79" s="1"/>
      <c r="R79" s="1"/>
      <c r="S79" s="1"/>
      <c r="T79" s="1"/>
      <c r="U79" s="39"/>
      <c r="V79" s="39"/>
      <c r="W79" s="39"/>
      <c r="X79" s="39"/>
      <c r="Y79" s="1"/>
      <c r="Z79" s="1"/>
      <c r="AA79" s="1"/>
      <c r="AB79" s="1"/>
      <c r="AC79" s="1"/>
      <c r="AD79" s="1"/>
      <c r="AE79" s="39"/>
      <c r="AF79" s="39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39"/>
      <c r="AW79" s="39"/>
      <c r="AX79" s="1"/>
      <c r="AY79" s="1"/>
      <c r="AZ79" s="1"/>
    </row>
    <row r="80" spans="1:52" x14ac:dyDescent="0.3">
      <c r="A80" s="22" t="s">
        <v>151</v>
      </c>
      <c r="B80" s="23" t="s">
        <v>152</v>
      </c>
      <c r="C80" s="53" t="s">
        <v>666</v>
      </c>
      <c r="D80" s="53" t="s">
        <v>450</v>
      </c>
      <c r="E80" s="53"/>
      <c r="F80" s="53" t="s">
        <v>863</v>
      </c>
      <c r="G80" s="53" t="s">
        <v>997</v>
      </c>
      <c r="H80" s="39" t="s">
        <v>450</v>
      </c>
      <c r="I80" s="39"/>
      <c r="J80" s="39"/>
      <c r="K80" s="1"/>
      <c r="L80" s="1"/>
      <c r="M80" s="1"/>
      <c r="N80" s="1"/>
      <c r="O80" s="1"/>
      <c r="P80" s="1"/>
      <c r="Q80" s="1"/>
      <c r="R80" s="1"/>
      <c r="S80" s="1"/>
      <c r="T80" s="1"/>
      <c r="U80" s="39"/>
      <c r="V80" s="39"/>
      <c r="W80" s="39"/>
      <c r="X80" s="39"/>
      <c r="Y80" s="1"/>
      <c r="Z80" s="1"/>
      <c r="AA80" s="1"/>
      <c r="AB80" s="1"/>
      <c r="AC80" s="1"/>
      <c r="AD80" s="1"/>
      <c r="AE80" s="39"/>
      <c r="AF80" s="39"/>
      <c r="AG80" s="1"/>
      <c r="AH80" s="1"/>
      <c r="AI80" s="1"/>
      <c r="AJ80" s="1"/>
      <c r="AK80" s="1"/>
      <c r="AL80" s="1" t="s">
        <v>486</v>
      </c>
      <c r="AM80" s="1" t="s">
        <v>450</v>
      </c>
      <c r="AN80" s="1"/>
      <c r="AO80" s="1"/>
      <c r="AP80" s="1" t="s">
        <v>486</v>
      </c>
      <c r="AQ80" s="1" t="s">
        <v>450</v>
      </c>
      <c r="AR80" s="1"/>
      <c r="AS80" s="1"/>
      <c r="AT80" s="1" t="s">
        <v>486</v>
      </c>
      <c r="AU80" s="1" t="s">
        <v>450</v>
      </c>
      <c r="AV80" s="39" t="s">
        <v>486</v>
      </c>
      <c r="AW80" s="39" t="s">
        <v>450</v>
      </c>
      <c r="AX80" s="1"/>
      <c r="AY80" s="1"/>
      <c r="AZ80" s="1"/>
    </row>
    <row r="81" spans="1:52" x14ac:dyDescent="0.3">
      <c r="A81" s="19" t="s">
        <v>153</v>
      </c>
      <c r="B81" s="20" t="s">
        <v>154</v>
      </c>
      <c r="C81" s="53" t="s">
        <v>667</v>
      </c>
      <c r="D81" s="53" t="s">
        <v>450</v>
      </c>
      <c r="E81" s="53"/>
      <c r="F81" s="53" t="s">
        <v>864</v>
      </c>
      <c r="G81" s="53" t="s">
        <v>997</v>
      </c>
      <c r="H81" s="39" t="s">
        <v>450</v>
      </c>
      <c r="I81" s="39"/>
      <c r="J81" s="39"/>
      <c r="K81" s="1"/>
      <c r="L81" s="1"/>
      <c r="M81" s="1"/>
      <c r="N81" s="1"/>
      <c r="O81" s="1"/>
      <c r="P81" s="1"/>
      <c r="Q81" s="1"/>
      <c r="R81" s="1"/>
      <c r="S81" s="1"/>
      <c r="T81" s="1"/>
      <c r="U81" s="39"/>
      <c r="V81" s="39"/>
      <c r="W81" s="39"/>
      <c r="X81" s="39"/>
      <c r="Y81" s="1"/>
      <c r="Z81" s="1"/>
      <c r="AA81" s="1"/>
      <c r="AB81" s="1"/>
      <c r="AC81" s="1"/>
      <c r="AD81" s="1"/>
      <c r="AE81" s="39"/>
      <c r="AF81" s="39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39"/>
      <c r="AW81" s="39"/>
      <c r="AX81" s="1"/>
      <c r="AY81" s="1"/>
      <c r="AZ81" s="1"/>
    </row>
    <row r="82" spans="1:52" x14ac:dyDescent="0.3">
      <c r="A82" s="2" t="s">
        <v>155</v>
      </c>
      <c r="B82" s="3" t="s">
        <v>156</v>
      </c>
      <c r="C82" s="53" t="s">
        <v>668</v>
      </c>
      <c r="D82" s="53" t="s">
        <v>450</v>
      </c>
      <c r="E82" s="53"/>
      <c r="F82" s="53" t="s">
        <v>865</v>
      </c>
      <c r="G82" s="53" t="s">
        <v>997</v>
      </c>
      <c r="H82" s="39" t="s">
        <v>450</v>
      </c>
      <c r="I82" s="39"/>
      <c r="J82" s="39"/>
      <c r="K82" s="1"/>
      <c r="L82" s="1"/>
      <c r="M82" s="1"/>
      <c r="N82" s="1"/>
      <c r="O82" s="1"/>
      <c r="P82" s="1"/>
      <c r="Q82" s="1"/>
      <c r="R82" s="1"/>
      <c r="S82" s="1"/>
      <c r="T82" s="1"/>
      <c r="U82" s="39"/>
      <c r="V82" s="39"/>
      <c r="W82" s="39"/>
      <c r="X82" s="39"/>
      <c r="Y82" s="1"/>
      <c r="Z82" s="1"/>
      <c r="AA82" s="1"/>
      <c r="AB82" s="1"/>
      <c r="AC82" s="1"/>
      <c r="AD82" s="1"/>
      <c r="AE82" s="39"/>
      <c r="AF82" s="39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39"/>
      <c r="AW82" s="39"/>
      <c r="AX82" s="1"/>
      <c r="AY82" s="1"/>
      <c r="AZ82" s="1"/>
    </row>
    <row r="83" spans="1:52" x14ac:dyDescent="0.3">
      <c r="A83" s="2" t="s">
        <v>157</v>
      </c>
      <c r="B83" s="3" t="s">
        <v>158</v>
      </c>
      <c r="C83" s="53" t="s">
        <v>669</v>
      </c>
      <c r="D83" s="53" t="s">
        <v>450</v>
      </c>
      <c r="E83" s="53"/>
      <c r="F83" s="53" t="s">
        <v>866</v>
      </c>
      <c r="G83" s="53" t="s">
        <v>997</v>
      </c>
      <c r="H83" s="39" t="s">
        <v>450</v>
      </c>
      <c r="I83" s="39"/>
      <c r="J83" s="39"/>
      <c r="K83" s="1"/>
      <c r="L83" s="1"/>
      <c r="M83" s="1"/>
      <c r="N83" s="1"/>
      <c r="O83" s="1"/>
      <c r="P83" s="1"/>
      <c r="Q83" s="1"/>
      <c r="R83" s="1"/>
      <c r="S83" s="1"/>
      <c r="T83" s="1"/>
      <c r="U83" s="39"/>
      <c r="V83" s="39"/>
      <c r="W83" s="39"/>
      <c r="X83" s="39"/>
      <c r="Y83" s="1"/>
      <c r="Z83" s="1"/>
      <c r="AA83" s="1"/>
      <c r="AB83" s="1"/>
      <c r="AC83" s="1"/>
      <c r="AD83" s="1"/>
      <c r="AE83" s="39"/>
      <c r="AF83" s="39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39"/>
      <c r="AW83" s="39"/>
      <c r="AX83" s="1"/>
      <c r="AY83" s="1"/>
      <c r="AZ83" s="1"/>
    </row>
    <row r="84" spans="1:52" x14ac:dyDescent="0.3">
      <c r="A84" s="17" t="s">
        <v>159</v>
      </c>
      <c r="B84" s="18" t="s">
        <v>160</v>
      </c>
      <c r="C84" s="53" t="s">
        <v>670</v>
      </c>
      <c r="D84" s="53" t="s">
        <v>450</v>
      </c>
      <c r="E84" s="53"/>
      <c r="F84" s="53" t="s">
        <v>867</v>
      </c>
      <c r="G84" s="53" t="s">
        <v>997</v>
      </c>
      <c r="H84" s="39" t="s">
        <v>450</v>
      </c>
      <c r="I84" s="39"/>
      <c r="J84" s="39" t="s">
        <v>499</v>
      </c>
      <c r="K84" s="1" t="s">
        <v>450</v>
      </c>
      <c r="L84" s="1"/>
      <c r="M84" s="1"/>
      <c r="N84" s="1"/>
      <c r="O84" s="1"/>
      <c r="P84" s="1"/>
      <c r="Q84" s="1"/>
      <c r="R84" s="1"/>
      <c r="S84" s="61" t="s">
        <v>499</v>
      </c>
      <c r="T84" s="1" t="s">
        <v>450</v>
      </c>
      <c r="U84" s="39"/>
      <c r="V84" s="39"/>
      <c r="W84" s="39"/>
      <c r="X84" s="39"/>
      <c r="Y84" s="1"/>
      <c r="Z84" s="1"/>
      <c r="AA84" s="1"/>
      <c r="AB84" s="1"/>
      <c r="AC84" s="1"/>
      <c r="AD84" s="1"/>
      <c r="AE84" s="39"/>
      <c r="AF84" s="39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39"/>
      <c r="AW84" s="39"/>
      <c r="AX84" s="1"/>
      <c r="AY84" s="1"/>
      <c r="AZ84" s="1"/>
    </row>
    <row r="85" spans="1:52" x14ac:dyDescent="0.3">
      <c r="A85" s="2" t="s">
        <v>161</v>
      </c>
      <c r="B85" s="3" t="s">
        <v>162</v>
      </c>
      <c r="C85" s="53" t="s">
        <v>671</v>
      </c>
      <c r="D85" s="53" t="s">
        <v>450</v>
      </c>
      <c r="E85" s="53"/>
      <c r="F85" s="53" t="s">
        <v>868</v>
      </c>
      <c r="G85" s="53" t="s">
        <v>997</v>
      </c>
      <c r="H85" s="39" t="s">
        <v>450</v>
      </c>
      <c r="I85" s="39"/>
      <c r="J85" s="57" t="s">
        <v>571</v>
      </c>
      <c r="K85" s="1" t="s">
        <v>450</v>
      </c>
      <c r="L85" s="1"/>
      <c r="M85" s="1"/>
      <c r="N85" s="1"/>
      <c r="O85" s="1"/>
      <c r="P85" s="1"/>
      <c r="Q85" s="1"/>
      <c r="R85" s="1"/>
      <c r="S85" s="1"/>
      <c r="T85" s="1"/>
      <c r="U85" s="39"/>
      <c r="V85" s="39"/>
      <c r="W85" s="39"/>
      <c r="X85" s="39"/>
      <c r="Y85" s="1"/>
      <c r="Z85" s="1"/>
      <c r="AA85" s="1"/>
      <c r="AB85" s="1"/>
      <c r="AC85" s="1"/>
      <c r="AD85" s="1"/>
      <c r="AE85" s="39"/>
      <c r="AF85" s="39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39"/>
      <c r="AW85" s="39"/>
      <c r="AX85" s="1"/>
      <c r="AY85" s="1"/>
      <c r="AZ85" s="1"/>
    </row>
    <row r="86" spans="1:52" x14ac:dyDescent="0.3">
      <c r="A86" s="2" t="s">
        <v>163</v>
      </c>
      <c r="B86" s="3" t="s">
        <v>164</v>
      </c>
      <c r="C86" s="53" t="s">
        <v>672</v>
      </c>
      <c r="D86" s="53" t="s">
        <v>450</v>
      </c>
      <c r="E86" s="53"/>
      <c r="F86" s="53" t="s">
        <v>869</v>
      </c>
      <c r="G86" s="53" t="s">
        <v>997</v>
      </c>
      <c r="H86" s="39" t="s">
        <v>450</v>
      </c>
      <c r="I86" s="39"/>
      <c r="J86" s="39"/>
      <c r="K86" s="1"/>
      <c r="L86" s="1"/>
      <c r="M86" s="1"/>
      <c r="N86" s="1"/>
      <c r="O86" s="1"/>
      <c r="P86" s="1"/>
      <c r="Q86" s="1"/>
      <c r="R86" s="1"/>
      <c r="S86" s="1"/>
      <c r="T86" s="1"/>
      <c r="U86" s="39"/>
      <c r="V86" s="39"/>
      <c r="W86" s="39"/>
      <c r="X86" s="39"/>
      <c r="Y86" s="1"/>
      <c r="Z86" s="1"/>
      <c r="AA86" s="1"/>
      <c r="AB86" s="1"/>
      <c r="AC86" s="1"/>
      <c r="AD86" s="1"/>
      <c r="AE86" s="39"/>
      <c r="AF86" s="39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39"/>
      <c r="AW86" s="39"/>
      <c r="AX86" s="1"/>
      <c r="AY86" s="1"/>
      <c r="AZ86" s="1"/>
    </row>
    <row r="87" spans="1:52" x14ac:dyDescent="0.3">
      <c r="A87" s="4" t="s">
        <v>165</v>
      </c>
      <c r="B87" s="5" t="s">
        <v>166</v>
      </c>
      <c r="C87" s="53" t="s">
        <v>673</v>
      </c>
      <c r="D87" s="53" t="s">
        <v>450</v>
      </c>
      <c r="E87" s="53"/>
      <c r="F87" s="53" t="s">
        <v>870</v>
      </c>
      <c r="G87" s="53" t="s">
        <v>997</v>
      </c>
      <c r="H87" s="39" t="s">
        <v>450</v>
      </c>
      <c r="I87" s="39"/>
      <c r="J87" s="39"/>
      <c r="K87" s="1"/>
      <c r="L87" s="1"/>
      <c r="M87" s="1"/>
      <c r="N87" s="1"/>
      <c r="O87" s="1"/>
      <c r="P87" s="1"/>
      <c r="Q87" s="1"/>
      <c r="R87" s="1"/>
      <c r="S87" s="1"/>
      <c r="T87" s="1"/>
      <c r="U87" s="39"/>
      <c r="V87" s="39"/>
      <c r="W87" s="39"/>
      <c r="X87" s="39"/>
      <c r="Y87" s="1"/>
      <c r="Z87" s="1"/>
      <c r="AA87" s="1"/>
      <c r="AB87" s="1"/>
      <c r="AC87" s="1"/>
      <c r="AD87" s="1"/>
      <c r="AE87" s="39"/>
      <c r="AF87" s="39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39"/>
      <c r="AW87" s="39"/>
      <c r="AX87" s="1"/>
      <c r="AY87" s="1"/>
      <c r="AZ87" s="1"/>
    </row>
    <row r="88" spans="1:52" x14ac:dyDescent="0.3">
      <c r="A88" s="4" t="s">
        <v>167</v>
      </c>
      <c r="B88" s="5" t="s">
        <v>168</v>
      </c>
      <c r="C88" s="53" t="s">
        <v>674</v>
      </c>
      <c r="D88" s="53" t="s">
        <v>450</v>
      </c>
      <c r="E88" s="53"/>
      <c r="F88" s="53" t="s">
        <v>871</v>
      </c>
      <c r="G88" s="53" t="s">
        <v>997</v>
      </c>
      <c r="H88" s="39" t="s">
        <v>450</v>
      </c>
      <c r="I88" s="39"/>
      <c r="J88" s="39"/>
      <c r="K88" s="1"/>
      <c r="L88" s="1"/>
      <c r="M88" s="1"/>
      <c r="N88" s="1"/>
      <c r="O88" s="1"/>
      <c r="P88" s="1"/>
      <c r="Q88" s="1"/>
      <c r="R88" s="1"/>
      <c r="S88" s="1"/>
      <c r="T88" s="1"/>
      <c r="U88" s="39"/>
      <c r="V88" s="39"/>
      <c r="W88" s="39"/>
      <c r="X88" s="39"/>
      <c r="Y88" s="1"/>
      <c r="Z88" s="1"/>
      <c r="AA88" s="1"/>
      <c r="AB88" s="1"/>
      <c r="AC88" s="1"/>
      <c r="AD88" s="1"/>
      <c r="AE88" s="39"/>
      <c r="AF88" s="39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39"/>
      <c r="AW88" s="39"/>
      <c r="AX88" s="1"/>
      <c r="AY88" s="1"/>
      <c r="AZ88" s="1"/>
    </row>
    <row r="89" spans="1:52" x14ac:dyDescent="0.3">
      <c r="A89" s="15" t="s">
        <v>169</v>
      </c>
      <c r="B89" s="16" t="s">
        <v>170</v>
      </c>
      <c r="C89" s="53" t="s">
        <v>675</v>
      </c>
      <c r="D89" s="53" t="s">
        <v>450</v>
      </c>
      <c r="E89" s="53"/>
      <c r="F89" s="53" t="s">
        <v>872</v>
      </c>
      <c r="G89" s="53" t="s">
        <v>997</v>
      </c>
      <c r="H89" s="39" t="s">
        <v>450</v>
      </c>
      <c r="I89" s="39"/>
      <c r="J89" s="39"/>
      <c r="K89" s="1"/>
      <c r="L89" s="1"/>
      <c r="M89" s="1"/>
      <c r="N89" s="1"/>
      <c r="O89" s="1"/>
      <c r="P89" s="1"/>
      <c r="Q89" s="1"/>
      <c r="R89" s="1"/>
      <c r="S89" s="1"/>
      <c r="T89" s="1"/>
      <c r="U89" s="39"/>
      <c r="V89" s="39"/>
      <c r="W89" s="39"/>
      <c r="X89" s="39"/>
      <c r="Y89" s="1"/>
      <c r="Z89" s="1"/>
      <c r="AA89" s="1"/>
      <c r="AB89" s="1"/>
      <c r="AC89" s="1"/>
      <c r="AD89" s="1"/>
      <c r="AE89" s="39"/>
      <c r="AF89" s="39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39"/>
      <c r="AW89" s="39"/>
      <c r="AX89" s="1"/>
      <c r="AY89" s="1"/>
      <c r="AZ89" s="1"/>
    </row>
    <row r="90" spans="1:52" x14ac:dyDescent="0.3">
      <c r="A90" s="17" t="s">
        <v>171</v>
      </c>
      <c r="B90" s="18" t="s">
        <v>172</v>
      </c>
      <c r="C90" s="53" t="s">
        <v>676</v>
      </c>
      <c r="D90" s="53" t="s">
        <v>450</v>
      </c>
      <c r="E90" s="53"/>
      <c r="F90" s="53" t="s">
        <v>873</v>
      </c>
      <c r="G90" s="53" t="s">
        <v>997</v>
      </c>
      <c r="H90" s="39" t="s">
        <v>544</v>
      </c>
      <c r="I90" s="39" t="s">
        <v>450</v>
      </c>
      <c r="J90" s="61" t="s">
        <v>482</v>
      </c>
      <c r="K90" s="1" t="s">
        <v>450</v>
      </c>
      <c r="L90" s="1"/>
      <c r="M90" s="1"/>
      <c r="N90" s="1"/>
      <c r="O90" s="1"/>
      <c r="P90" s="1"/>
      <c r="Q90" s="1"/>
      <c r="R90" s="1"/>
      <c r="S90" s="1" t="s">
        <v>482</v>
      </c>
      <c r="T90" s="1" t="s">
        <v>450</v>
      </c>
      <c r="U90" s="39"/>
      <c r="V90" s="39"/>
      <c r="W90" s="39"/>
      <c r="X90" s="39"/>
      <c r="Y90" s="1"/>
      <c r="Z90" s="1"/>
      <c r="AA90" s="1"/>
      <c r="AB90" s="1"/>
      <c r="AC90" s="1"/>
      <c r="AD90" s="1"/>
      <c r="AE90" s="39"/>
      <c r="AF90" s="39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39"/>
      <c r="AW90" s="39"/>
      <c r="AX90" s="1"/>
      <c r="AY90" s="1"/>
      <c r="AZ90" s="1"/>
    </row>
    <row r="91" spans="1:52" x14ac:dyDescent="0.3">
      <c r="A91" s="2" t="s">
        <v>173</v>
      </c>
      <c r="B91" s="3" t="s">
        <v>174</v>
      </c>
      <c r="C91" s="53" t="s">
        <v>785</v>
      </c>
      <c r="D91" s="53" t="s">
        <v>450</v>
      </c>
      <c r="E91" s="53"/>
      <c r="F91" s="53" t="s">
        <v>874</v>
      </c>
      <c r="G91" s="53" t="s">
        <v>997</v>
      </c>
      <c r="H91" s="39" t="s">
        <v>450</v>
      </c>
      <c r="I91" s="39"/>
      <c r="J91" s="61" t="s">
        <v>535</v>
      </c>
      <c r="K91" s="1" t="s">
        <v>450</v>
      </c>
      <c r="L91" s="1"/>
      <c r="M91" s="1"/>
      <c r="N91" s="1"/>
      <c r="O91" s="1"/>
      <c r="P91" s="1"/>
      <c r="Q91" s="1"/>
      <c r="R91" s="1"/>
      <c r="S91" s="61" t="s">
        <v>535</v>
      </c>
      <c r="T91" s="1" t="s">
        <v>450</v>
      </c>
      <c r="U91" s="39"/>
      <c r="V91" s="39"/>
      <c r="W91" s="39"/>
      <c r="X91" s="39"/>
      <c r="Y91" s="1"/>
      <c r="Z91" s="1"/>
      <c r="AA91" s="1"/>
      <c r="AB91" s="1"/>
      <c r="AC91" s="1"/>
      <c r="AD91" s="1"/>
      <c r="AE91" s="39"/>
      <c r="AF91" s="39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39"/>
      <c r="AW91" s="39"/>
      <c r="AX91" s="1"/>
      <c r="AY91" s="1"/>
      <c r="AZ91" s="1"/>
    </row>
    <row r="92" spans="1:52" x14ac:dyDescent="0.3">
      <c r="A92" s="2" t="s">
        <v>175</v>
      </c>
      <c r="B92" s="3" t="s">
        <v>176</v>
      </c>
      <c r="C92" s="53" t="s">
        <v>677</v>
      </c>
      <c r="D92" s="53" t="s">
        <v>450</v>
      </c>
      <c r="E92" s="53"/>
      <c r="F92" s="53" t="s">
        <v>875</v>
      </c>
      <c r="G92" s="53" t="s">
        <v>997</v>
      </c>
      <c r="H92" s="39" t="s">
        <v>450</v>
      </c>
      <c r="I92" s="39"/>
      <c r="J92" s="39"/>
      <c r="K92" s="1"/>
      <c r="L92" s="1"/>
      <c r="M92" s="1"/>
      <c r="N92" s="1"/>
      <c r="O92" s="1"/>
      <c r="P92" s="1"/>
      <c r="Q92" s="1"/>
      <c r="R92" s="1"/>
      <c r="S92" s="1"/>
      <c r="T92" s="1"/>
      <c r="U92" s="39"/>
      <c r="V92" s="39"/>
      <c r="W92" s="39"/>
      <c r="X92" s="39"/>
      <c r="Y92" s="1"/>
      <c r="Z92" s="1"/>
      <c r="AA92" s="1"/>
      <c r="AB92" s="1"/>
      <c r="AC92" s="1"/>
      <c r="AD92" s="1"/>
      <c r="AE92" s="39"/>
      <c r="AF92" s="39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39"/>
      <c r="AW92" s="39"/>
      <c r="AX92" s="1"/>
      <c r="AY92" s="1"/>
      <c r="AZ92" s="1"/>
    </row>
    <row r="93" spans="1:52" x14ac:dyDescent="0.3">
      <c r="A93" s="2" t="s">
        <v>177</v>
      </c>
      <c r="B93" s="3" t="s">
        <v>178</v>
      </c>
      <c r="C93" s="53" t="s">
        <v>678</v>
      </c>
      <c r="D93" s="53" t="s">
        <v>450</v>
      </c>
      <c r="E93" s="53"/>
      <c r="F93" s="53" t="s">
        <v>876</v>
      </c>
      <c r="G93" s="53" t="s">
        <v>997</v>
      </c>
      <c r="H93" s="39" t="s">
        <v>450</v>
      </c>
      <c r="I93" s="39"/>
      <c r="J93" s="39"/>
      <c r="K93" s="1"/>
      <c r="L93" s="1"/>
      <c r="M93" s="1"/>
      <c r="N93" s="1"/>
      <c r="O93" s="1"/>
      <c r="P93" s="1"/>
      <c r="Q93" s="1"/>
      <c r="R93" s="1"/>
      <c r="S93" s="1"/>
      <c r="T93" s="1"/>
      <c r="U93" s="39"/>
      <c r="V93" s="39"/>
      <c r="W93" s="39"/>
      <c r="X93" s="39"/>
      <c r="Y93" s="1"/>
      <c r="Z93" s="1"/>
      <c r="AA93" s="1"/>
      <c r="AB93" s="1"/>
      <c r="AC93" s="1"/>
      <c r="AD93" s="1"/>
      <c r="AE93" s="39"/>
      <c r="AF93" s="39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39"/>
      <c r="AW93" s="39"/>
      <c r="AX93" s="1"/>
      <c r="AY93" s="1"/>
      <c r="AZ93" s="1"/>
    </row>
    <row r="94" spans="1:52" x14ac:dyDescent="0.3">
      <c r="A94" s="4" t="s">
        <v>179</v>
      </c>
      <c r="B94" s="5" t="s">
        <v>180</v>
      </c>
      <c r="C94" s="53" t="s">
        <v>679</v>
      </c>
      <c r="D94" s="53" t="s">
        <v>450</v>
      </c>
      <c r="E94" s="53"/>
      <c r="F94" s="53" t="s">
        <v>877</v>
      </c>
      <c r="G94" s="53" t="s">
        <v>997</v>
      </c>
      <c r="H94" s="39" t="s">
        <v>450</v>
      </c>
      <c r="I94" s="39"/>
      <c r="J94" s="39"/>
      <c r="K94" s="1"/>
      <c r="L94" s="1"/>
      <c r="M94" s="1"/>
      <c r="N94" s="1"/>
      <c r="O94" s="1"/>
      <c r="P94" s="1"/>
      <c r="Q94" s="1"/>
      <c r="R94" s="1"/>
      <c r="S94" s="1"/>
      <c r="T94" s="1"/>
      <c r="U94" s="39"/>
      <c r="V94" s="39"/>
      <c r="W94" s="39"/>
      <c r="X94" s="39"/>
      <c r="Y94" s="1"/>
      <c r="Z94" s="1"/>
      <c r="AA94" s="1"/>
      <c r="AB94" s="1"/>
      <c r="AC94" s="1"/>
      <c r="AD94" s="1"/>
      <c r="AE94" s="39"/>
      <c r="AF94" s="39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39"/>
      <c r="AW94" s="39"/>
      <c r="AX94" s="1"/>
      <c r="AY94" s="1"/>
      <c r="AZ94" s="1"/>
    </row>
    <row r="95" spans="1:52" x14ac:dyDescent="0.3">
      <c r="A95" s="2" t="s">
        <v>181</v>
      </c>
      <c r="B95" s="3" t="s">
        <v>182</v>
      </c>
      <c r="C95" s="53" t="s">
        <v>680</v>
      </c>
      <c r="D95" s="53" t="s">
        <v>450</v>
      </c>
      <c r="E95" s="53"/>
      <c r="F95" s="53" t="s">
        <v>878</v>
      </c>
      <c r="G95" s="53" t="s">
        <v>997</v>
      </c>
      <c r="H95" s="39" t="s">
        <v>544</v>
      </c>
      <c r="I95" s="39" t="s">
        <v>450</v>
      </c>
      <c r="J95" s="57" t="s">
        <v>572</v>
      </c>
      <c r="K95" s="1" t="s">
        <v>450</v>
      </c>
      <c r="L95" s="1"/>
      <c r="M95" s="1"/>
      <c r="N95" s="1"/>
      <c r="O95" s="1"/>
      <c r="P95" s="1"/>
      <c r="Q95" s="1"/>
      <c r="R95" s="1"/>
      <c r="S95" s="61" t="s">
        <v>572</v>
      </c>
      <c r="T95" s="1" t="s">
        <v>450</v>
      </c>
      <c r="U95" s="39"/>
      <c r="V95" s="39"/>
      <c r="W95" s="39"/>
      <c r="X95" s="39"/>
      <c r="Y95" s="1"/>
      <c r="Z95" s="1"/>
      <c r="AA95" s="1"/>
      <c r="AB95" s="1"/>
      <c r="AC95" s="1"/>
      <c r="AD95" s="1"/>
      <c r="AE95" s="39"/>
      <c r="AF95" s="39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39"/>
      <c r="AW95" s="39"/>
      <c r="AX95" s="1"/>
      <c r="AY95" s="1"/>
      <c r="AZ95" s="1"/>
    </row>
    <row r="96" spans="1:52" x14ac:dyDescent="0.3">
      <c r="A96" s="22" t="s">
        <v>183</v>
      </c>
      <c r="B96" s="23" t="s">
        <v>184</v>
      </c>
      <c r="C96" s="53" t="s">
        <v>681</v>
      </c>
      <c r="D96" s="53" t="s">
        <v>450</v>
      </c>
      <c r="E96" s="53"/>
      <c r="F96" s="53" t="s">
        <v>879</v>
      </c>
      <c r="G96" s="53" t="s">
        <v>997</v>
      </c>
      <c r="H96" s="39" t="s">
        <v>450</v>
      </c>
      <c r="I96" s="39"/>
      <c r="J96" s="39"/>
      <c r="K96" s="1"/>
      <c r="L96" s="1"/>
      <c r="M96" s="1"/>
      <c r="N96" s="1"/>
      <c r="O96" s="1"/>
      <c r="P96" s="1"/>
      <c r="Q96" s="1"/>
      <c r="R96" s="1"/>
      <c r="S96" s="1"/>
      <c r="T96" s="1"/>
      <c r="U96" s="39"/>
      <c r="V96" s="39"/>
      <c r="W96" s="39"/>
      <c r="X96" s="39"/>
      <c r="Y96" s="1"/>
      <c r="Z96" s="1"/>
      <c r="AA96" s="1"/>
      <c r="AB96" s="1"/>
      <c r="AC96" s="1"/>
      <c r="AD96" s="1"/>
      <c r="AE96" s="39"/>
      <c r="AF96" s="39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39"/>
      <c r="AW96" s="39"/>
      <c r="AX96" s="1"/>
      <c r="AY96" s="1"/>
      <c r="AZ96" s="1"/>
    </row>
    <row r="97" spans="1:52" x14ac:dyDescent="0.3">
      <c r="A97" s="2" t="s">
        <v>185</v>
      </c>
      <c r="B97" s="3" t="s">
        <v>186</v>
      </c>
      <c r="C97" s="53" t="s">
        <v>682</v>
      </c>
      <c r="D97" s="53" t="s">
        <v>450</v>
      </c>
      <c r="E97" s="53"/>
      <c r="F97" s="53" t="s">
        <v>880</v>
      </c>
      <c r="G97" s="53" t="s">
        <v>997</v>
      </c>
      <c r="H97" s="39" t="s">
        <v>450</v>
      </c>
      <c r="I97" s="39"/>
      <c r="J97" s="39"/>
      <c r="K97" s="1"/>
      <c r="L97" s="1"/>
      <c r="M97" s="1"/>
      <c r="N97" s="1"/>
      <c r="O97" s="1"/>
      <c r="P97" s="1"/>
      <c r="Q97" s="1"/>
      <c r="R97" s="1"/>
      <c r="S97" s="1"/>
      <c r="T97" s="1"/>
      <c r="U97" s="39"/>
      <c r="V97" s="39"/>
      <c r="W97" s="39"/>
      <c r="X97" s="39"/>
      <c r="Y97" s="1"/>
      <c r="Z97" s="1"/>
      <c r="AA97" s="1"/>
      <c r="AB97" s="1"/>
      <c r="AC97" s="1"/>
      <c r="AD97" s="1"/>
      <c r="AE97" s="39"/>
      <c r="AF97" s="39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39"/>
      <c r="AW97" s="39"/>
      <c r="AX97" s="1"/>
      <c r="AY97" s="1"/>
      <c r="AZ97" s="1"/>
    </row>
    <row r="98" spans="1:52" x14ac:dyDescent="0.3">
      <c r="A98" s="2" t="s">
        <v>187</v>
      </c>
      <c r="B98" s="3" t="s">
        <v>188</v>
      </c>
      <c r="C98" s="53" t="s">
        <v>683</v>
      </c>
      <c r="D98" s="53" t="s">
        <v>450</v>
      </c>
      <c r="E98" s="53"/>
      <c r="F98" s="53" t="s">
        <v>881</v>
      </c>
      <c r="G98" s="53" t="s">
        <v>997</v>
      </c>
      <c r="H98" s="39" t="s">
        <v>450</v>
      </c>
      <c r="I98" s="39"/>
      <c r="J98" s="39"/>
      <c r="K98" s="1"/>
      <c r="L98" s="1"/>
      <c r="M98" s="1"/>
      <c r="N98" s="1"/>
      <c r="O98" s="1"/>
      <c r="P98" s="1"/>
      <c r="Q98" s="1"/>
      <c r="R98" s="1"/>
      <c r="S98" s="1"/>
      <c r="T98" s="1"/>
      <c r="U98" s="39"/>
      <c r="V98" s="39"/>
      <c r="W98" s="39"/>
      <c r="X98" s="39"/>
      <c r="Y98" s="1"/>
      <c r="Z98" s="1"/>
      <c r="AA98" s="1"/>
      <c r="AB98" s="1"/>
      <c r="AC98" s="1"/>
      <c r="AD98" s="1"/>
      <c r="AE98" s="39"/>
      <c r="AF98" s="39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39"/>
      <c r="AW98" s="39"/>
      <c r="AX98" s="1"/>
      <c r="AY98" s="1"/>
      <c r="AZ98" s="1"/>
    </row>
    <row r="99" spans="1:52" x14ac:dyDescent="0.3">
      <c r="A99" s="4" t="s">
        <v>189</v>
      </c>
      <c r="B99" s="5" t="s">
        <v>190</v>
      </c>
      <c r="C99" s="53" t="s">
        <v>782</v>
      </c>
      <c r="D99" s="53" t="s">
        <v>450</v>
      </c>
      <c r="E99" s="53"/>
      <c r="F99" s="53" t="s">
        <v>882</v>
      </c>
      <c r="G99" s="53" t="s">
        <v>997</v>
      </c>
      <c r="H99" s="39" t="s">
        <v>450</v>
      </c>
      <c r="I99" s="39"/>
      <c r="J99" s="39"/>
      <c r="K99" s="1"/>
      <c r="L99" s="1"/>
      <c r="M99" s="1"/>
      <c r="N99" s="1"/>
      <c r="O99" s="1"/>
      <c r="P99" s="1"/>
      <c r="Q99" s="1"/>
      <c r="R99" s="1"/>
      <c r="S99" s="1"/>
      <c r="T99" s="1"/>
      <c r="U99" s="39"/>
      <c r="V99" s="39"/>
      <c r="W99" s="39"/>
      <c r="X99" s="39"/>
      <c r="Y99" s="1"/>
      <c r="Z99" s="1"/>
      <c r="AA99" s="1"/>
      <c r="AB99" s="1"/>
      <c r="AC99" s="1"/>
      <c r="AD99" s="1"/>
      <c r="AE99" s="39"/>
      <c r="AF99" s="39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39"/>
      <c r="AW99" s="39"/>
      <c r="AX99" s="1"/>
      <c r="AY99" s="1"/>
      <c r="AZ99" s="1"/>
    </row>
    <row r="100" spans="1:52" x14ac:dyDescent="0.3">
      <c r="A100" s="2" t="s">
        <v>191</v>
      </c>
      <c r="B100" s="3" t="s">
        <v>192</v>
      </c>
      <c r="C100" s="53" t="s">
        <v>684</v>
      </c>
      <c r="D100" s="53" t="s">
        <v>450</v>
      </c>
      <c r="E100" s="53"/>
      <c r="F100" s="53" t="s">
        <v>883</v>
      </c>
      <c r="G100" s="53" t="s">
        <v>997</v>
      </c>
      <c r="H100" s="39" t="s">
        <v>544</v>
      </c>
      <c r="I100" s="39" t="s">
        <v>450</v>
      </c>
      <c r="J100" s="39"/>
      <c r="K100" s="1"/>
      <c r="L100" s="1"/>
      <c r="M100" s="1"/>
      <c r="N100" s="1"/>
      <c r="O100" s="1"/>
      <c r="P100" s="1"/>
      <c r="Q100" s="1"/>
      <c r="R100" s="1"/>
      <c r="S100" s="61" t="s">
        <v>573</v>
      </c>
      <c r="T100" s="1" t="s">
        <v>450</v>
      </c>
      <c r="U100" s="39"/>
      <c r="V100" s="39"/>
      <c r="W100" s="39"/>
      <c r="X100" s="39"/>
      <c r="Y100" s="1"/>
      <c r="Z100" s="1"/>
      <c r="AA100" s="1"/>
      <c r="AB100" s="1"/>
      <c r="AC100" s="1"/>
      <c r="AD100" s="1"/>
      <c r="AE100" s="39"/>
      <c r="AF100" s="39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39"/>
      <c r="AW100" s="39"/>
      <c r="AX100" s="1"/>
      <c r="AY100" s="1"/>
      <c r="AZ100" s="1"/>
    </row>
    <row r="101" spans="1:52" x14ac:dyDescent="0.3">
      <c r="A101" s="13" t="s">
        <v>193</v>
      </c>
      <c r="B101" s="14" t="s">
        <v>194</v>
      </c>
      <c r="C101" s="53" t="s">
        <v>685</v>
      </c>
      <c r="D101" s="53" t="s">
        <v>450</v>
      </c>
      <c r="E101" s="53"/>
      <c r="F101" s="53" t="s">
        <v>884</v>
      </c>
      <c r="G101" s="53" t="s">
        <v>997</v>
      </c>
      <c r="H101" s="39" t="s">
        <v>544</v>
      </c>
      <c r="I101" s="39" t="s">
        <v>450</v>
      </c>
      <c r="J101" s="39"/>
      <c r="K101" s="1"/>
      <c r="L101" s="1"/>
      <c r="M101" s="1"/>
      <c r="N101" s="1"/>
      <c r="O101" s="1"/>
      <c r="P101" s="1"/>
      <c r="Q101" s="1"/>
      <c r="R101" s="1"/>
      <c r="S101" s="1" t="s">
        <v>992</v>
      </c>
      <c r="T101" s="1" t="s">
        <v>450</v>
      </c>
      <c r="U101" s="39"/>
      <c r="V101" s="39"/>
      <c r="W101" s="39"/>
      <c r="X101" s="39"/>
      <c r="Y101" s="1"/>
      <c r="Z101" s="1"/>
      <c r="AA101" s="1"/>
      <c r="AB101" s="1"/>
      <c r="AC101" s="1"/>
      <c r="AD101" s="1"/>
      <c r="AE101" s="39"/>
      <c r="AF101" s="39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39"/>
      <c r="AW101" s="39"/>
      <c r="AX101" s="1"/>
      <c r="AY101" s="1"/>
      <c r="AZ101" s="1"/>
    </row>
    <row r="102" spans="1:52" x14ac:dyDescent="0.3">
      <c r="A102" s="2" t="s">
        <v>195</v>
      </c>
      <c r="B102" s="3" t="s">
        <v>196</v>
      </c>
      <c r="C102" s="53" t="s">
        <v>686</v>
      </c>
      <c r="D102" s="53" t="s">
        <v>450</v>
      </c>
      <c r="E102" s="53"/>
      <c r="F102" s="53" t="s">
        <v>885</v>
      </c>
      <c r="G102" s="53" t="s">
        <v>997</v>
      </c>
      <c r="H102" s="39" t="s">
        <v>450</v>
      </c>
      <c r="I102" s="39"/>
      <c r="J102" s="39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39"/>
      <c r="V102" s="39"/>
      <c r="W102" s="39"/>
      <c r="X102" s="39"/>
      <c r="Y102" s="1"/>
      <c r="Z102" s="1"/>
      <c r="AA102" s="1"/>
      <c r="AB102" s="1"/>
      <c r="AC102" s="1"/>
      <c r="AD102" s="1"/>
      <c r="AE102" s="39"/>
      <c r="AF102" s="39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39"/>
      <c r="AW102" s="39"/>
      <c r="AX102" s="1"/>
      <c r="AY102" s="1"/>
      <c r="AZ102" s="1"/>
    </row>
    <row r="103" spans="1:52" x14ac:dyDescent="0.3">
      <c r="A103" s="4" t="s">
        <v>197</v>
      </c>
      <c r="B103" s="5" t="s">
        <v>198</v>
      </c>
      <c r="C103" s="53" t="s">
        <v>687</v>
      </c>
      <c r="D103" s="53" t="s">
        <v>450</v>
      </c>
      <c r="E103" s="53"/>
      <c r="F103" s="53" t="s">
        <v>886</v>
      </c>
      <c r="G103" s="53" t="s">
        <v>997</v>
      </c>
      <c r="H103" s="39" t="s">
        <v>450</v>
      </c>
      <c r="I103" s="39"/>
      <c r="J103" s="39"/>
      <c r="K103" s="1"/>
      <c r="L103" s="1"/>
      <c r="M103" s="1"/>
      <c r="N103" s="1"/>
      <c r="O103" s="1"/>
      <c r="P103" s="1"/>
      <c r="Q103" s="1"/>
      <c r="R103" s="1"/>
      <c r="S103" s="61" t="s">
        <v>536</v>
      </c>
      <c r="T103" s="1" t="s">
        <v>450</v>
      </c>
      <c r="U103" s="39"/>
      <c r="V103" s="39"/>
      <c r="W103" s="39"/>
      <c r="X103" s="39"/>
      <c r="Y103" s="1"/>
      <c r="Z103" s="1"/>
      <c r="AA103" s="1"/>
      <c r="AB103" s="1"/>
      <c r="AC103" s="1"/>
      <c r="AD103" s="1"/>
      <c r="AE103" s="39"/>
      <c r="AF103" s="39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39"/>
      <c r="AW103" s="39"/>
      <c r="AX103" s="1"/>
      <c r="AY103" s="1"/>
      <c r="AZ103" s="1"/>
    </row>
    <row r="104" spans="1:52" x14ac:dyDescent="0.3">
      <c r="A104" s="13" t="s">
        <v>199</v>
      </c>
      <c r="B104" s="14" t="s">
        <v>200</v>
      </c>
      <c r="C104" s="53" t="s">
        <v>688</v>
      </c>
      <c r="D104" s="53" t="s">
        <v>450</v>
      </c>
      <c r="E104" s="53"/>
      <c r="F104" s="53" t="s">
        <v>887</v>
      </c>
      <c r="G104" s="53" t="s">
        <v>997</v>
      </c>
      <c r="H104" s="39" t="s">
        <v>450</v>
      </c>
      <c r="I104" s="39"/>
      <c r="J104" s="39"/>
      <c r="K104" s="1"/>
      <c r="L104" s="1"/>
      <c r="M104" s="1"/>
      <c r="N104" s="1"/>
      <c r="O104" s="1"/>
      <c r="P104" s="1"/>
      <c r="Q104" s="1"/>
      <c r="R104" s="1"/>
      <c r="S104" s="1" t="s">
        <v>546</v>
      </c>
      <c r="T104" s="1" t="s">
        <v>450</v>
      </c>
      <c r="U104" s="39"/>
      <c r="V104" s="39"/>
      <c r="W104" s="39"/>
      <c r="X104" s="39"/>
      <c r="Y104" s="1"/>
      <c r="Z104" s="1"/>
      <c r="AA104" s="1"/>
      <c r="AB104" s="1"/>
      <c r="AC104" s="61" t="s">
        <v>546</v>
      </c>
      <c r="AD104" s="1" t="s">
        <v>450</v>
      </c>
      <c r="AE104" s="39"/>
      <c r="AF104" s="39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39"/>
      <c r="AW104" s="39"/>
      <c r="AX104" s="1"/>
      <c r="AY104" s="1"/>
      <c r="AZ104" s="1"/>
    </row>
    <row r="105" spans="1:52" x14ac:dyDescent="0.3">
      <c r="A105" s="4" t="s">
        <v>201</v>
      </c>
      <c r="B105" s="5" t="s">
        <v>202</v>
      </c>
      <c r="C105" s="53" t="s">
        <v>689</v>
      </c>
      <c r="D105" s="53" t="s">
        <v>450</v>
      </c>
      <c r="E105" s="53"/>
      <c r="F105" s="53" t="s">
        <v>888</v>
      </c>
      <c r="G105" s="53" t="s">
        <v>997</v>
      </c>
      <c r="H105" s="39" t="s">
        <v>450</v>
      </c>
      <c r="I105" s="39"/>
      <c r="J105" s="39"/>
      <c r="K105" s="1"/>
      <c r="L105" s="1"/>
      <c r="M105" s="1"/>
      <c r="N105" s="1"/>
      <c r="O105" s="1"/>
      <c r="P105" s="1"/>
      <c r="Q105" s="1"/>
      <c r="R105" s="1"/>
      <c r="S105" s="61" t="s">
        <v>537</v>
      </c>
      <c r="T105" s="1" t="s">
        <v>450</v>
      </c>
      <c r="U105" s="39"/>
      <c r="V105" s="39"/>
      <c r="W105" s="39"/>
      <c r="X105" s="39"/>
      <c r="Y105" s="1"/>
      <c r="Z105" s="1"/>
      <c r="AA105" s="1"/>
      <c r="AB105" s="1"/>
      <c r="AC105" s="1"/>
      <c r="AD105" s="1"/>
      <c r="AE105" s="39"/>
      <c r="AF105" s="39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39"/>
      <c r="AW105" s="39"/>
      <c r="AX105" s="1"/>
      <c r="AY105" s="1"/>
      <c r="AZ105" s="1"/>
    </row>
    <row r="106" spans="1:52" x14ac:dyDescent="0.3">
      <c r="A106" s="2" t="s">
        <v>203</v>
      </c>
      <c r="B106" s="3" t="s">
        <v>204</v>
      </c>
      <c r="C106" s="53" t="s">
        <v>690</v>
      </c>
      <c r="D106" s="53" t="s">
        <v>450</v>
      </c>
      <c r="E106" s="53"/>
      <c r="F106" s="53" t="s">
        <v>889</v>
      </c>
      <c r="G106" s="53" t="s">
        <v>997</v>
      </c>
      <c r="H106" s="39" t="s">
        <v>450</v>
      </c>
      <c r="I106" s="39"/>
      <c r="J106" s="39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39"/>
      <c r="V106" s="39"/>
      <c r="W106" s="39"/>
      <c r="X106" s="39"/>
      <c r="Y106" s="1"/>
      <c r="Z106" s="1"/>
      <c r="AA106" s="1"/>
      <c r="AB106" s="1"/>
      <c r="AC106" s="1"/>
      <c r="AD106" s="1"/>
      <c r="AE106" s="39"/>
      <c r="AF106" s="39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39"/>
      <c r="AW106" s="39"/>
      <c r="AX106" s="1"/>
      <c r="AY106" s="1"/>
      <c r="AZ106" s="1"/>
    </row>
    <row r="107" spans="1:52" x14ac:dyDescent="0.3">
      <c r="A107" s="22" t="s">
        <v>205</v>
      </c>
      <c r="B107" s="23" t="s">
        <v>206</v>
      </c>
      <c r="C107" s="53" t="s">
        <v>691</v>
      </c>
      <c r="D107" s="53" t="s">
        <v>450</v>
      </c>
      <c r="E107" s="53"/>
      <c r="F107" s="53" t="s">
        <v>890</v>
      </c>
      <c r="G107" s="53" t="s">
        <v>997</v>
      </c>
      <c r="H107" s="39" t="s">
        <v>544</v>
      </c>
      <c r="I107" s="39" t="s">
        <v>450</v>
      </c>
      <c r="J107" s="57" t="s">
        <v>473</v>
      </c>
      <c r="K107" s="1" t="s">
        <v>450</v>
      </c>
      <c r="L107" s="1"/>
      <c r="M107" s="1"/>
      <c r="N107" s="1"/>
      <c r="O107" s="1"/>
      <c r="P107" s="1"/>
      <c r="Q107" s="1"/>
      <c r="R107" s="1"/>
      <c r="S107" s="1" t="s">
        <v>473</v>
      </c>
      <c r="T107" s="1" t="s">
        <v>450</v>
      </c>
      <c r="U107" s="39"/>
      <c r="V107" s="39"/>
      <c r="W107" s="39"/>
      <c r="X107" s="39"/>
      <c r="Y107" s="1"/>
      <c r="Z107" s="1"/>
      <c r="AA107" s="1"/>
      <c r="AB107" s="1"/>
      <c r="AC107" s="1"/>
      <c r="AD107" s="1"/>
      <c r="AE107" s="39"/>
      <c r="AF107" s="39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39"/>
      <c r="AW107" s="39"/>
      <c r="AX107" s="1"/>
      <c r="AY107" s="1"/>
      <c r="AZ107" s="1"/>
    </row>
    <row r="108" spans="1:52" x14ac:dyDescent="0.3">
      <c r="A108" s="22" t="s">
        <v>207</v>
      </c>
      <c r="B108" s="23" t="s">
        <v>208</v>
      </c>
      <c r="C108" s="53" t="s">
        <v>692</v>
      </c>
      <c r="D108" s="53" t="s">
        <v>450</v>
      </c>
      <c r="E108" s="53"/>
      <c r="F108" s="53" t="s">
        <v>891</v>
      </c>
      <c r="G108" s="53" t="s">
        <v>997</v>
      </c>
      <c r="H108" s="39" t="s">
        <v>450</v>
      </c>
      <c r="I108" s="39"/>
      <c r="J108" s="39"/>
      <c r="K108" s="1"/>
      <c r="L108" s="1"/>
      <c r="M108" s="1"/>
      <c r="N108" s="1"/>
      <c r="O108" s="1"/>
      <c r="P108" s="1"/>
      <c r="Q108" s="1"/>
      <c r="R108" s="1"/>
      <c r="T108" s="1" t="s">
        <v>450</v>
      </c>
      <c r="U108" s="39"/>
      <c r="V108" s="39"/>
      <c r="W108" s="39"/>
      <c r="X108" s="39"/>
      <c r="Y108" s="1"/>
      <c r="Z108" s="1"/>
      <c r="AA108" s="1"/>
      <c r="AB108" s="1"/>
      <c r="AC108" s="1"/>
      <c r="AD108" s="1"/>
      <c r="AE108" s="39"/>
      <c r="AF108" s="39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39"/>
      <c r="AW108" s="39"/>
      <c r="AX108" s="1"/>
      <c r="AY108" s="1"/>
      <c r="AZ108" s="1"/>
    </row>
    <row r="109" spans="1:52" x14ac:dyDescent="0.3">
      <c r="A109" s="2" t="s">
        <v>209</v>
      </c>
      <c r="B109" s="3" t="s">
        <v>210</v>
      </c>
      <c r="C109" s="53" t="s">
        <v>693</v>
      </c>
      <c r="D109" s="53" t="s">
        <v>450</v>
      </c>
      <c r="E109" s="53"/>
      <c r="F109" s="53" t="s">
        <v>892</v>
      </c>
      <c r="G109" s="53" t="s">
        <v>997</v>
      </c>
      <c r="H109" s="39" t="s">
        <v>450</v>
      </c>
      <c r="I109" s="39"/>
      <c r="J109" s="39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39"/>
      <c r="V109" s="39"/>
      <c r="W109" s="39"/>
      <c r="X109" s="39"/>
      <c r="Y109" s="1"/>
      <c r="Z109" s="1"/>
      <c r="AA109" s="1"/>
      <c r="AB109" s="1"/>
      <c r="AC109" s="1"/>
      <c r="AD109" s="1"/>
      <c r="AE109" s="39"/>
      <c r="AF109" s="39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39"/>
      <c r="AW109" s="39"/>
      <c r="AX109" s="1"/>
      <c r="AY109" s="1"/>
      <c r="AZ109" s="1"/>
    </row>
    <row r="110" spans="1:52" x14ac:dyDescent="0.3">
      <c r="A110" s="2" t="s">
        <v>211</v>
      </c>
      <c r="B110" s="3" t="s">
        <v>212</v>
      </c>
      <c r="C110" s="53" t="s">
        <v>694</v>
      </c>
      <c r="D110" s="53" t="s">
        <v>450</v>
      </c>
      <c r="E110" s="53"/>
      <c r="F110" s="53" t="s">
        <v>893</v>
      </c>
      <c r="G110" s="53" t="s">
        <v>997</v>
      </c>
      <c r="H110" s="39" t="s">
        <v>450</v>
      </c>
      <c r="I110" s="39"/>
      <c r="J110" s="39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39"/>
      <c r="V110" s="39"/>
      <c r="W110" s="39"/>
      <c r="X110" s="39"/>
      <c r="Y110" s="1"/>
      <c r="Z110" s="1"/>
      <c r="AA110" s="1"/>
      <c r="AB110" s="1"/>
      <c r="AC110" s="1"/>
      <c r="AD110" s="1"/>
      <c r="AE110" s="39"/>
      <c r="AF110" s="39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39"/>
      <c r="AW110" s="39"/>
      <c r="AX110" s="1"/>
      <c r="AY110" s="1"/>
      <c r="AZ110" s="1"/>
    </row>
    <row r="111" spans="1:52" x14ac:dyDescent="0.3">
      <c r="A111" s="17" t="s">
        <v>213</v>
      </c>
      <c r="B111" s="18" t="s">
        <v>214</v>
      </c>
      <c r="C111" s="53" t="s">
        <v>695</v>
      </c>
      <c r="D111" s="53" t="s">
        <v>450</v>
      </c>
      <c r="E111" s="53"/>
      <c r="F111" s="53" t="s">
        <v>894</v>
      </c>
      <c r="G111" s="53" t="s">
        <v>997</v>
      </c>
      <c r="H111" s="57" t="s">
        <v>538</v>
      </c>
      <c r="I111" s="39" t="s">
        <v>450</v>
      </c>
      <c r="J111" s="39" t="s">
        <v>538</v>
      </c>
      <c r="K111" s="1" t="s">
        <v>450</v>
      </c>
      <c r="L111" s="1"/>
      <c r="M111" s="1"/>
      <c r="N111" s="1"/>
      <c r="O111" s="1"/>
      <c r="P111" s="1"/>
      <c r="Q111" s="1"/>
      <c r="R111" s="1"/>
      <c r="S111" s="1" t="s">
        <v>538</v>
      </c>
      <c r="T111" s="1" t="s">
        <v>450</v>
      </c>
      <c r="U111" s="39"/>
      <c r="V111" s="39"/>
      <c r="W111" s="39"/>
      <c r="X111" s="39"/>
      <c r="Y111" s="1"/>
      <c r="Z111" s="1"/>
      <c r="AA111" s="1"/>
      <c r="AB111" s="1"/>
      <c r="AC111" s="1"/>
      <c r="AD111" s="1"/>
      <c r="AE111" s="39"/>
      <c r="AF111" s="39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39"/>
      <c r="AW111" s="39"/>
      <c r="AX111" s="1"/>
      <c r="AY111" s="1"/>
      <c r="AZ111" s="1"/>
    </row>
    <row r="112" spans="1:52" x14ac:dyDescent="0.3">
      <c r="A112" s="2" t="s">
        <v>215</v>
      </c>
      <c r="B112" s="3" t="s">
        <v>216</v>
      </c>
      <c r="C112" s="53" t="s">
        <v>696</v>
      </c>
      <c r="D112" s="53" t="s">
        <v>450</v>
      </c>
      <c r="E112" s="53"/>
      <c r="F112" s="53" t="s">
        <v>895</v>
      </c>
      <c r="G112" s="53" t="s">
        <v>997</v>
      </c>
      <c r="H112" s="39" t="s">
        <v>450</v>
      </c>
      <c r="I112" s="39"/>
      <c r="J112" s="39" t="s">
        <v>488</v>
      </c>
      <c r="K112" s="1" t="s">
        <v>450</v>
      </c>
      <c r="L112" s="1"/>
      <c r="M112" s="1"/>
      <c r="N112" s="1"/>
      <c r="O112" s="1"/>
      <c r="P112" s="1"/>
      <c r="Q112" s="1"/>
      <c r="R112" s="1"/>
      <c r="S112" s="61" t="s">
        <v>488</v>
      </c>
      <c r="T112" s="1" t="s">
        <v>488</v>
      </c>
      <c r="U112" s="39" t="s">
        <v>450</v>
      </c>
      <c r="V112" s="39"/>
      <c r="W112" s="39"/>
      <c r="X112" s="39"/>
      <c r="Y112" s="1"/>
      <c r="Z112" s="1"/>
      <c r="AA112" s="1"/>
      <c r="AB112" s="1"/>
      <c r="AC112" s="1"/>
      <c r="AD112" s="1"/>
      <c r="AE112" s="39"/>
      <c r="AF112" s="39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39"/>
      <c r="AW112" s="39"/>
      <c r="AX112" s="1"/>
      <c r="AY112" s="1"/>
      <c r="AZ112" s="1"/>
    </row>
    <row r="113" spans="1:52" x14ac:dyDescent="0.3">
      <c r="A113" s="19" t="s">
        <v>217</v>
      </c>
      <c r="B113" s="20" t="s">
        <v>218</v>
      </c>
      <c r="C113" s="53" t="s">
        <v>697</v>
      </c>
      <c r="D113" s="53" t="s">
        <v>450</v>
      </c>
      <c r="E113" s="53"/>
      <c r="F113" s="53" t="s">
        <v>896</v>
      </c>
      <c r="G113" s="53" t="s">
        <v>997</v>
      </c>
      <c r="H113" s="39" t="s">
        <v>450</v>
      </c>
      <c r="I113" s="39"/>
      <c r="J113" s="39"/>
      <c r="K113" s="1"/>
      <c r="L113" s="1"/>
      <c r="M113" s="1"/>
      <c r="N113" s="1"/>
      <c r="O113" s="1"/>
      <c r="P113" s="1"/>
      <c r="Q113" s="1"/>
      <c r="R113" s="1"/>
      <c r="S113" s="61" t="s">
        <v>490</v>
      </c>
      <c r="T113" s="1" t="s">
        <v>450</v>
      </c>
      <c r="U113" s="39"/>
      <c r="V113" s="39"/>
      <c r="W113" s="39"/>
      <c r="X113" s="39"/>
      <c r="Y113" s="1"/>
      <c r="Z113" s="1"/>
      <c r="AA113" s="1"/>
      <c r="AB113" s="1"/>
      <c r="AC113" s="1"/>
      <c r="AD113" s="1"/>
      <c r="AE113" s="39"/>
      <c r="AF113" s="39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39"/>
      <c r="AW113" s="39"/>
      <c r="AX113" s="1"/>
      <c r="AY113" s="1"/>
      <c r="AZ113" s="1"/>
    </row>
    <row r="114" spans="1:52" x14ac:dyDescent="0.3">
      <c r="A114" s="2" t="s">
        <v>219</v>
      </c>
      <c r="B114" s="3" t="s">
        <v>220</v>
      </c>
      <c r="C114" s="53" t="s">
        <v>698</v>
      </c>
      <c r="D114" s="53" t="s">
        <v>450</v>
      </c>
      <c r="E114" s="53"/>
      <c r="F114" s="53" t="s">
        <v>897</v>
      </c>
      <c r="G114" s="53" t="s">
        <v>997</v>
      </c>
      <c r="H114" s="39" t="s">
        <v>450</v>
      </c>
      <c r="I114" s="39"/>
      <c r="J114" s="39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39"/>
      <c r="V114" s="39"/>
      <c r="W114" s="39"/>
      <c r="X114" s="39"/>
      <c r="Y114" s="1"/>
      <c r="Z114" s="1"/>
      <c r="AA114" s="1"/>
      <c r="AB114" s="1"/>
      <c r="AC114" s="1"/>
      <c r="AD114" s="1"/>
      <c r="AE114" s="39"/>
      <c r="AF114" s="39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39"/>
      <c r="AW114" s="39"/>
      <c r="AX114" s="1"/>
      <c r="AY114" s="1"/>
      <c r="AZ114" s="1"/>
    </row>
    <row r="115" spans="1:52" x14ac:dyDescent="0.3">
      <c r="A115" s="2" t="s">
        <v>221</v>
      </c>
      <c r="B115" s="3" t="s">
        <v>222</v>
      </c>
      <c r="C115" s="53" t="s">
        <v>699</v>
      </c>
      <c r="D115" s="53" t="s">
        <v>450</v>
      </c>
      <c r="E115" s="53"/>
      <c r="F115" s="53" t="s">
        <v>898</v>
      </c>
      <c r="G115" s="53" t="s">
        <v>997</v>
      </c>
      <c r="H115" s="39" t="s">
        <v>450</v>
      </c>
      <c r="I115" s="39"/>
      <c r="J115" s="57" t="s">
        <v>509</v>
      </c>
      <c r="K115" s="1" t="s">
        <v>450</v>
      </c>
      <c r="L115" s="1"/>
      <c r="M115" s="1"/>
      <c r="N115" s="1"/>
      <c r="O115" s="1"/>
      <c r="P115" s="1"/>
      <c r="Q115" s="1"/>
      <c r="R115" s="1"/>
      <c r="S115" s="1" t="s">
        <v>509</v>
      </c>
      <c r="T115" s="1" t="s">
        <v>450</v>
      </c>
      <c r="U115" s="39"/>
      <c r="V115" s="39"/>
      <c r="W115" s="39"/>
      <c r="X115" s="39"/>
      <c r="Y115" s="1"/>
      <c r="Z115" s="1"/>
      <c r="AA115" s="1"/>
      <c r="AB115" s="1"/>
      <c r="AC115" s="1"/>
      <c r="AD115" s="1"/>
      <c r="AE115" s="39"/>
      <c r="AF115" s="39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39"/>
      <c r="AW115" s="39"/>
      <c r="AX115" s="1"/>
      <c r="AY115" s="1"/>
      <c r="AZ115" s="1"/>
    </row>
    <row r="116" spans="1:52" x14ac:dyDescent="0.3">
      <c r="A116" s="2" t="s">
        <v>223</v>
      </c>
      <c r="B116" s="3" t="s">
        <v>224</v>
      </c>
      <c r="C116" s="53" t="s">
        <v>783</v>
      </c>
      <c r="D116" s="53" t="s">
        <v>450</v>
      </c>
      <c r="E116" s="53"/>
      <c r="F116" s="53" t="s">
        <v>899</v>
      </c>
      <c r="G116" s="53" t="s">
        <v>997</v>
      </c>
      <c r="H116" s="39" t="s">
        <v>450</v>
      </c>
      <c r="I116" s="39"/>
      <c r="J116" s="39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39"/>
      <c r="V116" s="39"/>
      <c r="W116" s="39"/>
      <c r="X116" s="39"/>
      <c r="Y116" s="1"/>
      <c r="Z116" s="1"/>
      <c r="AA116" s="1"/>
      <c r="AB116" s="1"/>
      <c r="AC116" s="1"/>
      <c r="AD116" s="1"/>
      <c r="AE116" s="39"/>
      <c r="AF116" s="39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39"/>
      <c r="AW116" s="39"/>
      <c r="AX116" s="1"/>
      <c r="AY116" s="1"/>
      <c r="AZ116" s="1"/>
    </row>
    <row r="117" spans="1:52" x14ac:dyDescent="0.3">
      <c r="A117" s="4" t="s">
        <v>225</v>
      </c>
      <c r="B117" s="5" t="s">
        <v>226</v>
      </c>
      <c r="C117" s="53" t="s">
        <v>700</v>
      </c>
      <c r="D117" s="53" t="s">
        <v>450</v>
      </c>
      <c r="E117" s="53"/>
      <c r="F117" s="53" t="s">
        <v>900</v>
      </c>
      <c r="G117" s="53" t="s">
        <v>997</v>
      </c>
      <c r="H117" s="39" t="s">
        <v>450</v>
      </c>
      <c r="I117" s="39"/>
      <c r="J117" s="39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39"/>
      <c r="V117" s="39"/>
      <c r="W117" s="39"/>
      <c r="X117" s="39"/>
      <c r="Y117" s="1"/>
      <c r="Z117" s="1"/>
      <c r="AA117" s="1"/>
      <c r="AB117" s="1"/>
      <c r="AC117" s="1"/>
      <c r="AD117" s="1"/>
      <c r="AE117" s="39"/>
      <c r="AF117" s="39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39"/>
      <c r="AW117" s="39"/>
      <c r="AX117" s="1"/>
      <c r="AY117" s="1"/>
      <c r="AZ117" s="1"/>
    </row>
    <row r="118" spans="1:52" x14ac:dyDescent="0.3">
      <c r="A118" s="4" t="s">
        <v>227</v>
      </c>
      <c r="B118" s="5" t="s">
        <v>228</v>
      </c>
      <c r="C118" s="53" t="s">
        <v>701</v>
      </c>
      <c r="D118" s="53" t="s">
        <v>450</v>
      </c>
      <c r="E118" s="53"/>
      <c r="F118" s="53" t="s">
        <v>901</v>
      </c>
      <c r="G118" s="53" t="s">
        <v>997</v>
      </c>
      <c r="H118" s="39" t="s">
        <v>450</v>
      </c>
      <c r="I118" s="39"/>
      <c r="J118" s="39"/>
      <c r="K118" s="1"/>
      <c r="L118" s="1"/>
      <c r="M118" s="1"/>
      <c r="N118" s="1"/>
      <c r="O118" s="1"/>
      <c r="P118" s="1"/>
      <c r="Q118" s="1"/>
      <c r="R118" s="1"/>
      <c r="S118" s="61" t="s">
        <v>489</v>
      </c>
      <c r="T118" s="1" t="s">
        <v>489</v>
      </c>
      <c r="U118" s="39" t="s">
        <v>450</v>
      </c>
      <c r="V118" s="39"/>
      <c r="W118" s="39"/>
      <c r="X118" s="39"/>
      <c r="Y118" s="1"/>
      <c r="Z118" s="1"/>
      <c r="AA118" s="1"/>
      <c r="AB118" s="1"/>
      <c r="AC118" s="1"/>
      <c r="AD118" s="1"/>
      <c r="AE118" s="39"/>
      <c r="AF118" s="39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39"/>
      <c r="AW118" s="39"/>
      <c r="AX118" s="1"/>
      <c r="AY118" s="1"/>
      <c r="AZ118" s="1"/>
    </row>
    <row r="119" spans="1:52" x14ac:dyDescent="0.3">
      <c r="A119" s="24" t="s">
        <v>229</v>
      </c>
      <c r="B119" s="25" t="s">
        <v>230</v>
      </c>
      <c r="C119" s="53" t="s">
        <v>702</v>
      </c>
      <c r="D119" s="53" t="s">
        <v>450</v>
      </c>
      <c r="E119" s="53"/>
      <c r="F119" s="53" t="s">
        <v>902</v>
      </c>
      <c r="G119" s="53" t="s">
        <v>997</v>
      </c>
      <c r="H119" s="39" t="s">
        <v>450</v>
      </c>
      <c r="I119" s="39"/>
      <c r="J119" s="39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39"/>
      <c r="V119" s="39"/>
      <c r="W119" s="39"/>
      <c r="X119" s="39"/>
      <c r="Y119" s="1"/>
      <c r="Z119" s="1"/>
      <c r="AA119" s="1"/>
      <c r="AB119" s="1"/>
      <c r="AC119" s="1"/>
      <c r="AD119" s="1"/>
      <c r="AE119" s="39"/>
      <c r="AF119" s="39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39"/>
      <c r="AW119" s="39"/>
      <c r="AX119" s="1"/>
      <c r="AY119" s="1"/>
      <c r="AZ119" s="1"/>
    </row>
    <row r="120" spans="1:52" x14ac:dyDescent="0.3">
      <c r="A120" s="2" t="s">
        <v>231</v>
      </c>
      <c r="B120" s="3" t="s">
        <v>232</v>
      </c>
      <c r="C120" s="53" t="s">
        <v>703</v>
      </c>
      <c r="D120" s="53" t="s">
        <v>450</v>
      </c>
      <c r="E120" s="53"/>
      <c r="F120" s="53" t="s">
        <v>903</v>
      </c>
      <c r="G120" s="53" t="s">
        <v>997</v>
      </c>
      <c r="H120" s="39" t="s">
        <v>450</v>
      </c>
      <c r="I120" s="39"/>
      <c r="J120" s="39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39"/>
      <c r="V120" s="39"/>
      <c r="W120" s="39"/>
      <c r="X120" s="39"/>
      <c r="Y120" s="1"/>
      <c r="Z120" s="1"/>
      <c r="AA120" s="1"/>
      <c r="AB120" s="1"/>
      <c r="AC120" s="1"/>
      <c r="AD120" s="1"/>
      <c r="AE120" s="39"/>
      <c r="AF120" s="39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39"/>
      <c r="AW120" s="39"/>
      <c r="AX120" s="1"/>
      <c r="AY120" s="1"/>
      <c r="AZ120" s="1"/>
    </row>
    <row r="121" spans="1:52" x14ac:dyDescent="0.3">
      <c r="A121" s="4" t="s">
        <v>233</v>
      </c>
      <c r="B121" s="5" t="s">
        <v>234</v>
      </c>
      <c r="C121" s="53" t="s">
        <v>704</v>
      </c>
      <c r="D121" s="53" t="s">
        <v>450</v>
      </c>
      <c r="E121" s="53"/>
      <c r="F121" s="53" t="s">
        <v>904</v>
      </c>
      <c r="G121" s="53" t="s">
        <v>997</v>
      </c>
      <c r="H121" s="39" t="s">
        <v>450</v>
      </c>
      <c r="I121" s="39"/>
      <c r="J121" s="39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39"/>
      <c r="V121" s="39"/>
      <c r="W121" s="39"/>
      <c r="X121" s="39"/>
      <c r="Y121" s="1"/>
      <c r="Z121" s="1"/>
      <c r="AA121" s="1"/>
      <c r="AB121" s="1"/>
      <c r="AC121" s="1"/>
      <c r="AD121" s="1"/>
      <c r="AE121" s="39"/>
      <c r="AF121" s="39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39"/>
      <c r="AW121" s="39"/>
      <c r="AX121" s="1"/>
      <c r="AY121" s="1"/>
      <c r="AZ121" s="1"/>
    </row>
    <row r="122" spans="1:52" x14ac:dyDescent="0.3">
      <c r="A122" s="2" t="s">
        <v>235</v>
      </c>
      <c r="B122" s="3" t="s">
        <v>236</v>
      </c>
      <c r="C122" s="53" t="s">
        <v>705</v>
      </c>
      <c r="D122" s="53" t="s">
        <v>450</v>
      </c>
      <c r="E122" s="53"/>
      <c r="F122" s="53" t="s">
        <v>905</v>
      </c>
      <c r="G122" s="53" t="s">
        <v>997</v>
      </c>
      <c r="H122" s="39" t="s">
        <v>450</v>
      </c>
      <c r="I122" s="39"/>
      <c r="J122" s="39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39"/>
      <c r="V122" s="39"/>
      <c r="W122" s="39"/>
      <c r="X122" s="39"/>
      <c r="Y122" s="1"/>
      <c r="Z122" s="1"/>
      <c r="AA122" s="1"/>
      <c r="AB122" s="1"/>
      <c r="AC122" s="1"/>
      <c r="AD122" s="1"/>
      <c r="AE122" s="39"/>
      <c r="AF122" s="39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39"/>
      <c r="AW122" s="39"/>
      <c r="AX122" s="1"/>
      <c r="AY122" s="1"/>
      <c r="AZ122" s="1"/>
    </row>
    <row r="123" spans="1:52" x14ac:dyDescent="0.3">
      <c r="A123" s="2" t="s">
        <v>237</v>
      </c>
      <c r="B123" s="3" t="s">
        <v>238</v>
      </c>
      <c r="C123" s="53" t="s">
        <v>706</v>
      </c>
      <c r="D123" s="53" t="s">
        <v>450</v>
      </c>
      <c r="E123" s="53"/>
      <c r="F123" s="53" t="s">
        <v>906</v>
      </c>
      <c r="G123" s="53" t="s">
        <v>997</v>
      </c>
      <c r="H123" s="39" t="s">
        <v>450</v>
      </c>
      <c r="I123" s="39"/>
      <c r="J123" s="39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39"/>
      <c r="V123" s="39"/>
      <c r="W123" s="39"/>
      <c r="X123" s="39"/>
      <c r="Y123" s="1"/>
      <c r="Z123" s="1"/>
      <c r="AA123" s="1"/>
      <c r="AB123" s="1"/>
      <c r="AC123" s="1"/>
      <c r="AD123" s="1"/>
      <c r="AE123" s="39"/>
      <c r="AF123" s="39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39"/>
      <c r="AW123" s="39"/>
      <c r="AX123" s="1"/>
      <c r="AY123" s="1"/>
      <c r="AZ123" s="1"/>
    </row>
    <row r="124" spans="1:52" x14ac:dyDescent="0.3">
      <c r="A124" s="11" t="s">
        <v>239</v>
      </c>
      <c r="B124" s="12" t="s">
        <v>240</v>
      </c>
      <c r="C124" s="53" t="s">
        <v>707</v>
      </c>
      <c r="D124" s="53" t="s">
        <v>450</v>
      </c>
      <c r="E124" s="53"/>
      <c r="F124" s="53" t="s">
        <v>907</v>
      </c>
      <c r="G124" s="53" t="s">
        <v>997</v>
      </c>
      <c r="H124" s="39" t="s">
        <v>450</v>
      </c>
      <c r="I124" s="39"/>
      <c r="J124" s="61" t="s">
        <v>574</v>
      </c>
      <c r="K124" s="1" t="s">
        <v>450</v>
      </c>
      <c r="L124" s="1"/>
      <c r="M124" s="1"/>
      <c r="N124" s="1"/>
      <c r="O124" s="1"/>
      <c r="P124" s="1"/>
      <c r="Q124" s="1"/>
      <c r="R124" s="1"/>
      <c r="S124" s="61" t="s">
        <v>574</v>
      </c>
      <c r="T124" s="1" t="s">
        <v>450</v>
      </c>
      <c r="U124" s="39"/>
      <c r="V124" s="39"/>
      <c r="W124" s="39"/>
      <c r="X124" s="39"/>
      <c r="Y124" s="1"/>
      <c r="Z124" s="1"/>
      <c r="AA124" s="1"/>
      <c r="AB124" s="1"/>
      <c r="AC124" s="1"/>
      <c r="AD124" s="1"/>
      <c r="AE124" s="39"/>
      <c r="AF124" s="39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39"/>
      <c r="AW124" s="39"/>
      <c r="AX124" s="1"/>
      <c r="AY124" s="1"/>
      <c r="AZ124" s="1"/>
    </row>
    <row r="125" spans="1:52" x14ac:dyDescent="0.3">
      <c r="A125" s="2" t="s">
        <v>241</v>
      </c>
      <c r="B125" s="3" t="s">
        <v>242</v>
      </c>
      <c r="C125" s="53" t="s">
        <v>708</v>
      </c>
      <c r="D125" s="53" t="s">
        <v>450</v>
      </c>
      <c r="E125" s="53"/>
      <c r="F125" s="53" t="s">
        <v>908</v>
      </c>
      <c r="G125" s="53" t="s">
        <v>997</v>
      </c>
      <c r="H125" s="39" t="s">
        <v>450</v>
      </c>
      <c r="I125" s="39"/>
      <c r="J125" s="39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39"/>
      <c r="V125" s="39"/>
      <c r="W125" s="39"/>
      <c r="X125" s="39"/>
      <c r="Y125" s="1"/>
      <c r="Z125" s="1"/>
      <c r="AA125" s="1"/>
      <c r="AB125" s="1"/>
      <c r="AC125" s="1"/>
      <c r="AD125" s="1"/>
      <c r="AE125" s="39"/>
      <c r="AF125" s="39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39"/>
      <c r="AW125" s="39"/>
      <c r="AX125" s="1"/>
      <c r="AY125" s="1"/>
      <c r="AZ125" s="1"/>
    </row>
    <row r="126" spans="1:52" x14ac:dyDescent="0.3">
      <c r="A126" s="11" t="s">
        <v>243</v>
      </c>
      <c r="B126" s="12" t="s">
        <v>244</v>
      </c>
      <c r="C126" s="53" t="s">
        <v>709</v>
      </c>
      <c r="D126" s="53" t="s">
        <v>450</v>
      </c>
      <c r="E126" s="53"/>
      <c r="F126" s="53" t="s">
        <v>909</v>
      </c>
      <c r="G126" s="53" t="s">
        <v>997</v>
      </c>
      <c r="H126" s="57" t="s">
        <v>462</v>
      </c>
      <c r="I126" s="39" t="s">
        <v>450</v>
      </c>
      <c r="J126" s="39"/>
      <c r="K126" s="1"/>
      <c r="L126" s="1"/>
      <c r="M126" s="1"/>
      <c r="N126" s="1"/>
      <c r="O126" s="1"/>
      <c r="P126" s="1"/>
      <c r="Q126" s="1"/>
      <c r="R126" s="1"/>
      <c r="S126" s="1" t="s">
        <v>992</v>
      </c>
      <c r="T126" s="1" t="s">
        <v>450</v>
      </c>
      <c r="U126" s="57" t="s">
        <v>462</v>
      </c>
      <c r="V126" s="39" t="s">
        <v>450</v>
      </c>
      <c r="W126" s="39"/>
      <c r="X126" s="39"/>
      <c r="Y126" s="61" t="s">
        <v>549</v>
      </c>
      <c r="Z126" s="1" t="s">
        <v>549</v>
      </c>
      <c r="AA126" s="1" t="s">
        <v>450</v>
      </c>
      <c r="AB126" s="1"/>
      <c r="AC126" s="1"/>
      <c r="AD126" s="1"/>
      <c r="AE126" s="39"/>
      <c r="AF126" s="39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59" t="s">
        <v>462</v>
      </c>
      <c r="AW126" s="39" t="s">
        <v>450</v>
      </c>
      <c r="AX126" s="1"/>
      <c r="AY126" s="1"/>
      <c r="AZ126" s="1"/>
    </row>
    <row r="127" spans="1:52" x14ac:dyDescent="0.3">
      <c r="A127" s="2" t="s">
        <v>245</v>
      </c>
      <c r="B127" s="3" t="s">
        <v>246</v>
      </c>
      <c r="C127" s="53" t="s">
        <v>710</v>
      </c>
      <c r="D127" s="53" t="s">
        <v>450</v>
      </c>
      <c r="E127" s="53"/>
      <c r="F127" s="53" t="s">
        <v>910</v>
      </c>
      <c r="G127" s="53" t="s">
        <v>997</v>
      </c>
      <c r="H127" s="39" t="s">
        <v>450</v>
      </c>
      <c r="I127" s="39"/>
      <c r="J127" s="39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39"/>
      <c r="V127" s="39"/>
      <c r="W127" s="39"/>
      <c r="X127" s="39"/>
      <c r="Y127" s="1"/>
      <c r="Z127" s="1"/>
      <c r="AA127" s="1"/>
      <c r="AB127" s="1"/>
      <c r="AC127" s="1"/>
      <c r="AD127" s="1"/>
      <c r="AE127" s="39"/>
      <c r="AF127" s="39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39"/>
      <c r="AW127" s="39"/>
      <c r="AX127" s="1"/>
      <c r="AY127" s="1"/>
      <c r="AZ127" s="1"/>
    </row>
    <row r="128" spans="1:52" x14ac:dyDescent="0.3">
      <c r="A128" s="24" t="s">
        <v>247</v>
      </c>
      <c r="B128" s="25" t="s">
        <v>248</v>
      </c>
      <c r="C128" s="53" t="s">
        <v>711</v>
      </c>
      <c r="D128" s="53" t="s">
        <v>450</v>
      </c>
      <c r="E128" s="53"/>
      <c r="F128" s="53" t="s">
        <v>911</v>
      </c>
      <c r="G128" s="53" t="s">
        <v>997</v>
      </c>
      <c r="H128" s="39" t="s">
        <v>450</v>
      </c>
      <c r="I128" s="39"/>
      <c r="J128" s="39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39"/>
      <c r="V128" s="39"/>
      <c r="W128" s="39"/>
      <c r="X128" s="39"/>
      <c r="Y128" s="1"/>
      <c r="Z128" s="1"/>
      <c r="AA128" s="1"/>
      <c r="AB128" s="1"/>
      <c r="AC128" s="1"/>
      <c r="AD128" s="1"/>
      <c r="AE128" s="39"/>
      <c r="AF128" s="39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39"/>
      <c r="AW128" s="39"/>
      <c r="AX128" s="1"/>
      <c r="AY128" s="1"/>
      <c r="AZ128" s="1"/>
    </row>
    <row r="129" spans="1:52" x14ac:dyDescent="0.3">
      <c r="A129" s="4" t="s">
        <v>249</v>
      </c>
      <c r="B129" s="5" t="s">
        <v>250</v>
      </c>
      <c r="C129" s="53"/>
      <c r="D129" s="53" t="s">
        <v>450</v>
      </c>
      <c r="E129" s="53"/>
      <c r="F129" s="53" t="s">
        <v>912</v>
      </c>
      <c r="G129" s="53" t="s">
        <v>997</v>
      </c>
      <c r="H129" s="39" t="s">
        <v>450</v>
      </c>
      <c r="I129" s="39"/>
      <c r="J129" s="39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39"/>
      <c r="V129" s="39"/>
      <c r="W129" s="39"/>
      <c r="X129" s="39"/>
      <c r="Y129" s="1"/>
      <c r="Z129" s="1"/>
      <c r="AA129" s="1"/>
      <c r="AB129" s="1"/>
      <c r="AC129" s="1"/>
      <c r="AD129" s="1"/>
      <c r="AE129" s="39"/>
      <c r="AF129" s="39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39"/>
      <c r="AW129" s="39"/>
      <c r="AX129" s="1"/>
      <c r="AY129" s="1"/>
      <c r="AZ129" s="1"/>
    </row>
    <row r="130" spans="1:52" x14ac:dyDescent="0.3">
      <c r="A130" s="13" t="s">
        <v>251</v>
      </c>
      <c r="B130" s="14" t="s">
        <v>252</v>
      </c>
      <c r="C130" s="53" t="s">
        <v>712</v>
      </c>
      <c r="D130" s="53" t="s">
        <v>450</v>
      </c>
      <c r="E130" s="53"/>
      <c r="F130" s="53" t="s">
        <v>913</v>
      </c>
      <c r="G130" s="53" t="s">
        <v>997</v>
      </c>
      <c r="H130" s="57" t="s">
        <v>545</v>
      </c>
      <c r="I130" s="39" t="s">
        <v>450</v>
      </c>
      <c r="J130" s="39"/>
      <c r="K130" s="1" t="s">
        <v>545</v>
      </c>
      <c r="L130" s="1" t="s">
        <v>450</v>
      </c>
      <c r="M130" s="1" t="s">
        <v>545</v>
      </c>
      <c r="N130" s="1" t="s">
        <v>450</v>
      </c>
      <c r="O130" s="1" t="s">
        <v>545</v>
      </c>
      <c r="P130" s="1" t="s">
        <v>450</v>
      </c>
      <c r="Q130" s="1" t="s">
        <v>545</v>
      </c>
      <c r="R130" s="1" t="s">
        <v>450</v>
      </c>
      <c r="S130" s="1" t="s">
        <v>992</v>
      </c>
      <c r="T130" s="1" t="s">
        <v>450</v>
      </c>
      <c r="U130" s="39" t="s">
        <v>545</v>
      </c>
      <c r="V130" s="39" t="s">
        <v>450</v>
      </c>
      <c r="W130" s="39"/>
      <c r="X130" s="39"/>
      <c r="Y130" s="1" t="s">
        <v>545</v>
      </c>
      <c r="Z130" s="1" t="s">
        <v>450</v>
      </c>
      <c r="AA130" s="1"/>
      <c r="AB130" s="1"/>
      <c r="AC130" s="1" t="s">
        <v>545</v>
      </c>
      <c r="AD130" s="1" t="s">
        <v>450</v>
      </c>
      <c r="AE130" s="39"/>
      <c r="AF130" s="39"/>
      <c r="AG130" s="1"/>
      <c r="AH130" s="1"/>
      <c r="AI130" s="1"/>
      <c r="AJ130" s="1"/>
      <c r="AK130" s="1"/>
      <c r="AL130" s="1" t="s">
        <v>545</v>
      </c>
      <c r="AM130" s="1" t="s">
        <v>450</v>
      </c>
      <c r="AN130" s="1"/>
      <c r="AO130" s="1"/>
      <c r="AP130" s="1" t="s">
        <v>545</v>
      </c>
      <c r="AQ130" s="1" t="s">
        <v>450</v>
      </c>
      <c r="AR130" s="1"/>
      <c r="AS130" s="1"/>
      <c r="AT130" s="1"/>
      <c r="AU130" s="1"/>
      <c r="AV130" s="39" t="s">
        <v>545</v>
      </c>
      <c r="AW130" s="39" t="s">
        <v>450</v>
      </c>
      <c r="AX130" s="1"/>
      <c r="AY130" s="1"/>
      <c r="AZ130" s="1"/>
    </row>
    <row r="131" spans="1:52" x14ac:dyDescent="0.3">
      <c r="A131" s="24" t="s">
        <v>253</v>
      </c>
      <c r="B131" s="25" t="s">
        <v>254</v>
      </c>
      <c r="C131" s="53" t="s">
        <v>713</v>
      </c>
      <c r="D131" s="53" t="s">
        <v>450</v>
      </c>
      <c r="E131" s="53"/>
      <c r="F131" s="53" t="s">
        <v>914</v>
      </c>
      <c r="G131" s="53" t="s">
        <v>997</v>
      </c>
      <c r="H131" s="39" t="s">
        <v>575</v>
      </c>
      <c r="I131" s="39" t="s">
        <v>450</v>
      </c>
      <c r="J131" s="39" t="s">
        <v>575</v>
      </c>
      <c r="K131" s="1" t="s">
        <v>450</v>
      </c>
      <c r="L131" s="1"/>
      <c r="M131" s="1"/>
      <c r="N131" s="1"/>
      <c r="O131" s="1"/>
      <c r="P131" s="1"/>
      <c r="Q131" s="1"/>
      <c r="R131" s="1"/>
      <c r="S131" s="61" t="s">
        <v>576</v>
      </c>
      <c r="T131" s="1" t="s">
        <v>450</v>
      </c>
      <c r="U131" s="39"/>
      <c r="V131" s="39"/>
      <c r="W131" s="39" t="s">
        <v>575</v>
      </c>
      <c r="X131" s="39" t="s">
        <v>450</v>
      </c>
      <c r="Y131" s="1"/>
      <c r="Z131" s="1"/>
      <c r="AA131" s="1"/>
      <c r="AB131" s="1"/>
      <c r="AC131" s="1"/>
      <c r="AD131" s="1"/>
      <c r="AE131" s="39"/>
      <c r="AF131" s="39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39" t="s">
        <v>575</v>
      </c>
      <c r="AW131" s="39" t="s">
        <v>450</v>
      </c>
      <c r="AX131" s="1"/>
      <c r="AY131" s="1"/>
      <c r="AZ131" s="1"/>
    </row>
    <row r="132" spans="1:52" x14ac:dyDescent="0.3">
      <c r="A132" s="4" t="s">
        <v>255</v>
      </c>
      <c r="B132" s="5" t="s">
        <v>256</v>
      </c>
      <c r="C132" s="53" t="s">
        <v>714</v>
      </c>
      <c r="D132" s="53" t="s">
        <v>450</v>
      </c>
      <c r="E132" s="54"/>
      <c r="F132" s="53" t="s">
        <v>915</v>
      </c>
      <c r="G132" s="53" t="s">
        <v>997</v>
      </c>
      <c r="H132" s="57" t="s">
        <v>474</v>
      </c>
      <c r="I132" s="39" t="s">
        <v>474</v>
      </c>
      <c r="J132" s="39" t="s">
        <v>474</v>
      </c>
      <c r="K132" s="1" t="s">
        <v>474</v>
      </c>
      <c r="L132" s="1" t="s">
        <v>450</v>
      </c>
      <c r="M132" s="1" t="s">
        <v>474</v>
      </c>
      <c r="N132" s="1" t="s">
        <v>450</v>
      </c>
      <c r="O132" s="1"/>
      <c r="P132" s="1"/>
      <c r="Q132" s="1" t="s">
        <v>474</v>
      </c>
      <c r="R132" s="1" t="s">
        <v>450</v>
      </c>
      <c r="S132" s="1" t="s">
        <v>474</v>
      </c>
      <c r="T132" s="1" t="s">
        <v>450</v>
      </c>
      <c r="U132" s="39" t="s">
        <v>474</v>
      </c>
      <c r="V132" s="39" t="s">
        <v>450</v>
      </c>
      <c r="W132" s="39"/>
      <c r="X132" s="39"/>
      <c r="Y132" s="1" t="s">
        <v>474</v>
      </c>
      <c r="Z132" s="1" t="s">
        <v>450</v>
      </c>
      <c r="AA132" s="1" t="s">
        <v>474</v>
      </c>
      <c r="AB132" s="1" t="s">
        <v>450</v>
      </c>
      <c r="AC132" s="1"/>
      <c r="AD132" s="1"/>
      <c r="AE132" s="39"/>
      <c r="AF132" s="39"/>
      <c r="AG132" s="1"/>
      <c r="AH132" s="1"/>
      <c r="AI132" s="1"/>
      <c r="AJ132" s="1"/>
      <c r="AK132" s="1"/>
      <c r="AL132" s="1"/>
      <c r="AM132" s="1"/>
      <c r="AN132" s="1"/>
      <c r="AO132" s="1"/>
      <c r="AP132" s="1" t="s">
        <v>474</v>
      </c>
      <c r="AQ132" s="1" t="s">
        <v>450</v>
      </c>
      <c r="AR132" s="1"/>
      <c r="AS132" s="1"/>
      <c r="AT132" s="1"/>
      <c r="AU132" s="1"/>
      <c r="AV132" s="39"/>
      <c r="AW132" s="39"/>
      <c r="AX132" s="1"/>
      <c r="AY132" s="1"/>
      <c r="AZ132" s="1"/>
    </row>
    <row r="133" spans="1:52" x14ac:dyDescent="0.3">
      <c r="A133" s="22" t="s">
        <v>257</v>
      </c>
      <c r="B133" s="23" t="s">
        <v>258</v>
      </c>
      <c r="C133" s="53" t="s">
        <v>715</v>
      </c>
      <c r="D133" s="53" t="s">
        <v>450</v>
      </c>
      <c r="E133" s="53"/>
      <c r="F133" s="53" t="s">
        <v>916</v>
      </c>
      <c r="G133" s="53" t="s">
        <v>997</v>
      </c>
      <c r="H133" s="39" t="s">
        <v>450</v>
      </c>
      <c r="I133" s="39"/>
      <c r="J133" s="39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39"/>
      <c r="V133" s="39"/>
      <c r="W133" s="39"/>
      <c r="X133" s="39"/>
      <c r="Y133" s="1"/>
      <c r="Z133" s="1"/>
      <c r="AA133" s="1"/>
      <c r="AB133" s="1"/>
      <c r="AC133" s="1"/>
      <c r="AD133" s="1"/>
      <c r="AE133" s="39"/>
      <c r="AF133" s="39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39"/>
      <c r="AW133" s="39"/>
      <c r="AX133" s="1"/>
      <c r="AY133" s="1"/>
      <c r="AZ133" s="1"/>
    </row>
    <row r="134" spans="1:52" x14ac:dyDescent="0.3">
      <c r="A134" s="2" t="s">
        <v>259</v>
      </c>
      <c r="B134" s="3" t="s">
        <v>260</v>
      </c>
      <c r="C134" s="53" t="s">
        <v>716</v>
      </c>
      <c r="D134" s="53" t="s">
        <v>450</v>
      </c>
      <c r="E134" s="53"/>
      <c r="F134" s="53" t="s">
        <v>917</v>
      </c>
      <c r="G134" s="53" t="s">
        <v>997</v>
      </c>
      <c r="H134" s="39" t="s">
        <v>450</v>
      </c>
      <c r="I134" s="39"/>
      <c r="J134" s="39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39"/>
      <c r="V134" s="39"/>
      <c r="W134" s="39"/>
      <c r="X134" s="39"/>
      <c r="Y134" s="1"/>
      <c r="Z134" s="1"/>
      <c r="AA134" s="1"/>
      <c r="AB134" s="1"/>
      <c r="AC134" s="1"/>
      <c r="AD134" s="1"/>
      <c r="AE134" s="39"/>
      <c r="AF134" s="39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39"/>
      <c r="AW134" s="39"/>
      <c r="AX134" s="1"/>
      <c r="AY134" s="1"/>
      <c r="AZ134" s="1"/>
    </row>
    <row r="135" spans="1:52" x14ac:dyDescent="0.3">
      <c r="A135" s="22" t="s">
        <v>261</v>
      </c>
      <c r="B135" s="23" t="s">
        <v>262</v>
      </c>
      <c r="C135" s="53" t="s">
        <v>717</v>
      </c>
      <c r="D135" s="53" t="s">
        <v>450</v>
      </c>
      <c r="E135" s="53"/>
      <c r="F135" s="53" t="s">
        <v>918</v>
      </c>
      <c r="G135" s="53" t="s">
        <v>997</v>
      </c>
      <c r="H135" s="39" t="s">
        <v>450</v>
      </c>
      <c r="I135" s="39"/>
      <c r="J135" s="39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39"/>
      <c r="V135" s="39"/>
      <c r="W135" s="39"/>
      <c r="X135" s="39"/>
      <c r="Y135" s="1"/>
      <c r="Z135" s="1"/>
      <c r="AA135" s="1"/>
      <c r="AB135" s="1"/>
      <c r="AC135" s="1"/>
      <c r="AD135" s="1"/>
      <c r="AE135" s="39"/>
      <c r="AF135" s="39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39"/>
      <c r="AW135" s="39"/>
      <c r="AX135" s="1"/>
      <c r="AY135" s="1"/>
      <c r="AZ135" s="1"/>
    </row>
    <row r="136" spans="1:52" x14ac:dyDescent="0.3">
      <c r="A136" s="2" t="s">
        <v>263</v>
      </c>
      <c r="B136" s="3" t="s">
        <v>264</v>
      </c>
      <c r="C136" s="53" t="s">
        <v>718</v>
      </c>
      <c r="D136" s="53" t="s">
        <v>450</v>
      </c>
      <c r="E136" s="53"/>
      <c r="F136" s="53" t="s">
        <v>919</v>
      </c>
      <c r="G136" s="53" t="s">
        <v>997</v>
      </c>
      <c r="H136" s="39" t="s">
        <v>450</v>
      </c>
      <c r="I136" s="39"/>
      <c r="J136" s="39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39"/>
      <c r="V136" s="39"/>
      <c r="W136" s="39"/>
      <c r="X136" s="39"/>
      <c r="Y136" s="1"/>
      <c r="Z136" s="1"/>
      <c r="AA136" s="1"/>
      <c r="AB136" s="1"/>
      <c r="AC136" s="1"/>
      <c r="AD136" s="1"/>
      <c r="AE136" s="39"/>
      <c r="AF136" s="39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39"/>
      <c r="AW136" s="39"/>
      <c r="AX136" s="1"/>
      <c r="AY136" s="1"/>
      <c r="AZ136" s="1"/>
    </row>
    <row r="137" spans="1:52" x14ac:dyDescent="0.3">
      <c r="A137" s="4" t="s">
        <v>265</v>
      </c>
      <c r="B137" s="5" t="s">
        <v>266</v>
      </c>
      <c r="C137" s="53" t="s">
        <v>719</v>
      </c>
      <c r="D137" s="53" t="s">
        <v>450</v>
      </c>
      <c r="E137" s="53"/>
      <c r="F137" s="53" t="s">
        <v>920</v>
      </c>
      <c r="G137" s="53" t="s">
        <v>997</v>
      </c>
      <c r="H137" s="39" t="s">
        <v>450</v>
      </c>
      <c r="I137" s="39"/>
      <c r="J137" s="39"/>
      <c r="K137" s="1"/>
      <c r="L137" s="1"/>
      <c r="M137" s="1"/>
      <c r="N137" s="1"/>
      <c r="O137" s="1"/>
      <c r="P137" s="1"/>
      <c r="Q137" s="1"/>
      <c r="R137" s="1"/>
      <c r="S137" s="61" t="s">
        <v>492</v>
      </c>
      <c r="T137" s="1" t="s">
        <v>450</v>
      </c>
      <c r="U137" s="39"/>
      <c r="V137" s="39"/>
      <c r="W137" s="39"/>
      <c r="X137" s="39"/>
      <c r="Y137" s="1"/>
      <c r="Z137" s="1"/>
      <c r="AA137" s="1"/>
      <c r="AB137" s="1"/>
      <c r="AC137" s="1"/>
      <c r="AD137" s="1"/>
      <c r="AE137" s="39"/>
      <c r="AF137" s="39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39"/>
      <c r="AW137" s="39"/>
      <c r="AX137" s="1"/>
      <c r="AY137" s="1"/>
      <c r="AZ137" s="1"/>
    </row>
    <row r="138" spans="1:52" x14ac:dyDescent="0.3">
      <c r="A138" s="19" t="s">
        <v>267</v>
      </c>
      <c r="B138" s="20" t="s">
        <v>268</v>
      </c>
      <c r="C138" s="53" t="s">
        <v>720</v>
      </c>
      <c r="D138" s="53" t="s">
        <v>450</v>
      </c>
      <c r="E138" s="53"/>
      <c r="F138" s="53" t="s">
        <v>921</v>
      </c>
      <c r="G138" s="53" t="s">
        <v>997</v>
      </c>
      <c r="H138" s="39" t="s">
        <v>450</v>
      </c>
      <c r="I138" s="39"/>
      <c r="J138" s="57" t="s">
        <v>539</v>
      </c>
      <c r="K138" s="1" t="s">
        <v>450</v>
      </c>
      <c r="L138" s="1"/>
      <c r="M138" s="1"/>
      <c r="N138" s="1"/>
      <c r="O138" s="1"/>
      <c r="P138" s="1"/>
      <c r="Q138" s="1"/>
      <c r="R138" s="1"/>
      <c r="S138" s="1" t="s">
        <v>539</v>
      </c>
      <c r="T138" s="1" t="s">
        <v>450</v>
      </c>
      <c r="U138" s="39"/>
      <c r="V138" s="39"/>
      <c r="W138" s="39"/>
      <c r="X138" s="39"/>
      <c r="Y138" s="1"/>
      <c r="Z138" s="1"/>
      <c r="AA138" s="1"/>
      <c r="AB138" s="1"/>
      <c r="AC138" s="1"/>
      <c r="AD138" s="1"/>
      <c r="AE138" s="39"/>
      <c r="AF138" s="39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39"/>
      <c r="AW138" s="39"/>
      <c r="AX138" s="1"/>
      <c r="AY138" s="1"/>
      <c r="AZ138" s="1"/>
    </row>
    <row r="139" spans="1:52" x14ac:dyDescent="0.3">
      <c r="A139" s="17" t="s">
        <v>269</v>
      </c>
      <c r="B139" s="18" t="s">
        <v>270</v>
      </c>
      <c r="C139" s="53" t="s">
        <v>721</v>
      </c>
      <c r="D139" s="53" t="s">
        <v>450</v>
      </c>
      <c r="E139" s="53"/>
      <c r="F139" s="53" t="s">
        <v>922</v>
      </c>
      <c r="G139" s="53" t="s">
        <v>997</v>
      </c>
      <c r="H139" s="39" t="s">
        <v>450</v>
      </c>
      <c r="I139" s="39"/>
      <c r="J139" s="39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39"/>
      <c r="V139" s="39"/>
      <c r="W139" s="39"/>
      <c r="X139" s="39"/>
      <c r="Y139" s="1"/>
      <c r="Z139" s="1"/>
      <c r="AA139" s="1"/>
      <c r="AB139" s="1"/>
      <c r="AC139" s="1"/>
      <c r="AD139" s="1"/>
      <c r="AE139" s="39"/>
      <c r="AF139" s="39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39"/>
      <c r="AW139" s="39"/>
      <c r="AX139" s="1"/>
      <c r="AY139" s="1"/>
      <c r="AZ139" s="1"/>
    </row>
    <row r="140" spans="1:52" x14ac:dyDescent="0.3">
      <c r="A140" s="15" t="s">
        <v>271</v>
      </c>
      <c r="B140" s="16" t="s">
        <v>272</v>
      </c>
      <c r="C140" s="53" t="s">
        <v>722</v>
      </c>
      <c r="D140" s="53" t="s">
        <v>450</v>
      </c>
      <c r="E140" s="53"/>
      <c r="F140" s="53" t="s">
        <v>923</v>
      </c>
      <c r="G140" s="53" t="s">
        <v>997</v>
      </c>
      <c r="H140" s="39" t="s">
        <v>450</v>
      </c>
      <c r="I140" s="39"/>
      <c r="J140" s="39"/>
      <c r="K140" s="1"/>
      <c r="L140" s="1"/>
      <c r="M140" s="1"/>
      <c r="N140" s="1"/>
      <c r="O140" s="1"/>
      <c r="P140" s="1"/>
      <c r="Q140" s="1"/>
      <c r="R140" s="1"/>
      <c r="S140" s="61" t="s">
        <v>475</v>
      </c>
      <c r="T140" s="1" t="s">
        <v>475</v>
      </c>
      <c r="U140" s="39" t="s">
        <v>450</v>
      </c>
      <c r="V140" s="39"/>
      <c r="W140" s="39"/>
      <c r="X140" s="39"/>
      <c r="Y140" s="1"/>
      <c r="Z140" s="1"/>
      <c r="AA140" s="1"/>
      <c r="AB140" s="1"/>
      <c r="AC140" s="1"/>
      <c r="AD140" s="1"/>
      <c r="AE140" s="39"/>
      <c r="AF140" s="39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39"/>
      <c r="AW140" s="39"/>
      <c r="AX140" s="1"/>
      <c r="AY140" s="1"/>
      <c r="AZ140" s="1"/>
    </row>
    <row r="141" spans="1:52" x14ac:dyDescent="0.3">
      <c r="A141" s="13" t="s">
        <v>273</v>
      </c>
      <c r="B141" s="14" t="s">
        <v>274</v>
      </c>
      <c r="C141" s="53" t="s">
        <v>723</v>
      </c>
      <c r="D141" s="53" t="s">
        <v>450</v>
      </c>
      <c r="E141" s="53"/>
      <c r="F141" s="53" t="s">
        <v>924</v>
      </c>
      <c r="G141" s="53" t="s">
        <v>997</v>
      </c>
      <c r="H141" s="59" t="s">
        <v>476</v>
      </c>
      <c r="I141" s="39" t="s">
        <v>450</v>
      </c>
      <c r="J141" s="39"/>
      <c r="K141" s="1"/>
      <c r="L141" s="1"/>
      <c r="M141" s="1"/>
      <c r="N141" s="1"/>
      <c r="O141" s="1"/>
      <c r="P141" s="1"/>
      <c r="Q141" s="1"/>
      <c r="R141" s="1"/>
      <c r="S141" s="59" t="s">
        <v>476</v>
      </c>
      <c r="T141" s="1" t="s">
        <v>450</v>
      </c>
      <c r="U141" s="39"/>
      <c r="V141" s="39"/>
      <c r="W141" s="39"/>
      <c r="X141" s="39"/>
      <c r="Y141" s="1"/>
      <c r="Z141" s="1"/>
      <c r="AA141" s="1"/>
      <c r="AB141" s="1"/>
      <c r="AC141" s="1"/>
      <c r="AD141" s="1"/>
      <c r="AE141" s="39"/>
      <c r="AF141" s="39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39"/>
      <c r="AW141" s="39"/>
      <c r="AX141" s="1"/>
      <c r="AY141" s="1"/>
      <c r="AZ141" s="1"/>
    </row>
    <row r="142" spans="1:52" x14ac:dyDescent="0.3">
      <c r="A142" s="4" t="s">
        <v>275</v>
      </c>
      <c r="B142" s="5" t="s">
        <v>276</v>
      </c>
      <c r="C142" s="53" t="s">
        <v>724</v>
      </c>
      <c r="D142" s="53" t="s">
        <v>450</v>
      </c>
      <c r="E142" s="53"/>
      <c r="F142" s="53" t="s">
        <v>925</v>
      </c>
      <c r="G142" s="53" t="s">
        <v>997</v>
      </c>
      <c r="H142" s="39" t="s">
        <v>450</v>
      </c>
      <c r="I142" s="39"/>
      <c r="J142" s="39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39"/>
      <c r="V142" s="39"/>
      <c r="W142" s="39"/>
      <c r="X142" s="39"/>
      <c r="Y142" s="1"/>
      <c r="Z142" s="1"/>
      <c r="AA142" s="1"/>
      <c r="AB142" s="1"/>
      <c r="AC142" s="1"/>
      <c r="AD142" s="1"/>
      <c r="AE142" s="39"/>
      <c r="AF142" s="39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39"/>
      <c r="AW142" s="39"/>
      <c r="AX142" s="1"/>
      <c r="AY142" s="1"/>
      <c r="AZ142" s="1"/>
    </row>
    <row r="143" spans="1:52" x14ac:dyDescent="0.3">
      <c r="A143" s="13" t="s">
        <v>277</v>
      </c>
      <c r="B143" s="14" t="s">
        <v>278</v>
      </c>
      <c r="C143" s="53" t="s">
        <v>725</v>
      </c>
      <c r="D143" s="53" t="s">
        <v>450</v>
      </c>
      <c r="E143" s="53"/>
      <c r="F143" s="53" t="s">
        <v>926</v>
      </c>
      <c r="G143" s="53" t="s">
        <v>997</v>
      </c>
      <c r="H143" s="39" t="s">
        <v>544</v>
      </c>
      <c r="I143" s="39" t="s">
        <v>450</v>
      </c>
      <c r="J143" s="57" t="s">
        <v>540</v>
      </c>
      <c r="K143" s="1" t="s">
        <v>450</v>
      </c>
      <c r="L143" s="1"/>
      <c r="M143" s="1"/>
      <c r="N143" s="1"/>
      <c r="O143" s="1"/>
      <c r="P143" s="1"/>
      <c r="Q143" s="1"/>
      <c r="R143" s="1"/>
      <c r="S143" s="1" t="s">
        <v>540</v>
      </c>
      <c r="T143" s="1" t="s">
        <v>450</v>
      </c>
      <c r="U143" s="39"/>
      <c r="V143" s="39"/>
      <c r="W143" s="39"/>
      <c r="X143" s="39"/>
      <c r="Y143" s="1"/>
      <c r="Z143" s="1"/>
      <c r="AA143" s="1"/>
      <c r="AB143" s="1"/>
      <c r="AC143" s="1"/>
      <c r="AD143" s="1"/>
      <c r="AE143" s="39"/>
      <c r="AF143" s="39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39"/>
      <c r="AW143" s="39"/>
      <c r="AX143" s="1"/>
      <c r="AY143" s="1"/>
      <c r="AZ143" s="1"/>
    </row>
    <row r="144" spans="1:52" x14ac:dyDescent="0.3">
      <c r="A144" s="2" t="s">
        <v>279</v>
      </c>
      <c r="B144" s="3" t="s">
        <v>280</v>
      </c>
      <c r="C144" s="53" t="s">
        <v>726</v>
      </c>
      <c r="D144" s="53" t="s">
        <v>450</v>
      </c>
      <c r="E144" s="53"/>
      <c r="F144" s="53" t="s">
        <v>927</v>
      </c>
      <c r="G144" s="53" t="s">
        <v>997</v>
      </c>
      <c r="H144" s="39" t="s">
        <v>450</v>
      </c>
      <c r="I144" s="39"/>
      <c r="J144" s="39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39"/>
      <c r="V144" s="39"/>
      <c r="W144" s="39"/>
      <c r="X144" s="39"/>
      <c r="Y144" s="1"/>
      <c r="Z144" s="1"/>
      <c r="AA144" s="1"/>
      <c r="AB144" s="1"/>
      <c r="AC144" s="1"/>
      <c r="AD144" s="1"/>
      <c r="AE144" s="39"/>
      <c r="AF144" s="39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39"/>
      <c r="AW144" s="39"/>
      <c r="AX144" s="1"/>
      <c r="AY144" s="1"/>
      <c r="AZ144" s="1"/>
    </row>
    <row r="145" spans="1:52" x14ac:dyDescent="0.3">
      <c r="A145" s="2" t="s">
        <v>281</v>
      </c>
      <c r="B145" s="3" t="s">
        <v>282</v>
      </c>
      <c r="C145" s="53" t="s">
        <v>727</v>
      </c>
      <c r="D145" s="53" t="s">
        <v>450</v>
      </c>
      <c r="E145" s="53"/>
      <c r="F145" s="53" t="s">
        <v>928</v>
      </c>
      <c r="G145" s="53" t="s">
        <v>997</v>
      </c>
      <c r="H145" s="39" t="s">
        <v>450</v>
      </c>
      <c r="I145" s="39"/>
      <c r="J145" s="39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39"/>
      <c r="V145" s="39"/>
      <c r="W145" s="39"/>
      <c r="X145" s="39"/>
      <c r="Y145" s="1"/>
      <c r="Z145" s="1"/>
      <c r="AA145" s="1"/>
      <c r="AB145" s="1"/>
      <c r="AC145" s="1"/>
      <c r="AD145" s="1"/>
      <c r="AE145" s="39"/>
      <c r="AF145" s="39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39"/>
      <c r="AW145" s="39"/>
      <c r="AX145" s="1"/>
      <c r="AY145" s="1"/>
      <c r="AZ145" s="1"/>
    </row>
    <row r="146" spans="1:52" x14ac:dyDescent="0.3">
      <c r="A146" s="22" t="s">
        <v>283</v>
      </c>
      <c r="B146" s="23" t="s">
        <v>284</v>
      </c>
      <c r="C146" s="53" t="s">
        <v>728</v>
      </c>
      <c r="D146" s="53" t="s">
        <v>450</v>
      </c>
      <c r="E146" s="53"/>
      <c r="F146" s="53" t="s">
        <v>929</v>
      </c>
      <c r="G146" s="53" t="s">
        <v>997</v>
      </c>
      <c r="H146" s="39" t="s">
        <v>450</v>
      </c>
      <c r="I146" s="39"/>
      <c r="J146" s="39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39"/>
      <c r="V146" s="39"/>
      <c r="W146" s="39"/>
      <c r="X146" s="39"/>
      <c r="Y146" s="1"/>
      <c r="Z146" s="1"/>
      <c r="AA146" s="1"/>
      <c r="AB146" s="1"/>
      <c r="AC146" s="1"/>
      <c r="AD146" s="1"/>
      <c r="AE146" s="39"/>
      <c r="AF146" s="39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39"/>
      <c r="AW146" s="39"/>
      <c r="AX146" s="1"/>
      <c r="AY146" s="1"/>
      <c r="AZ146" s="1"/>
    </row>
    <row r="147" spans="1:52" x14ac:dyDescent="0.3">
      <c r="A147" s="2" t="s">
        <v>285</v>
      </c>
      <c r="B147" s="3" t="s">
        <v>286</v>
      </c>
      <c r="C147" s="53" t="s">
        <v>729</v>
      </c>
      <c r="D147" s="53" t="s">
        <v>450</v>
      </c>
      <c r="E147" s="53"/>
      <c r="F147" s="53" t="s">
        <v>930</v>
      </c>
      <c r="G147" s="53" t="s">
        <v>997</v>
      </c>
      <c r="H147" s="39" t="s">
        <v>450</v>
      </c>
      <c r="I147" s="39"/>
      <c r="J147" s="39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39"/>
      <c r="V147" s="39"/>
      <c r="W147" s="39"/>
      <c r="X147" s="39"/>
      <c r="Y147" s="1"/>
      <c r="Z147" s="1"/>
      <c r="AA147" s="1"/>
      <c r="AB147" s="1"/>
      <c r="AC147" s="1"/>
      <c r="AD147" s="1"/>
      <c r="AE147" s="39"/>
      <c r="AF147" s="39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39"/>
      <c r="AW147" s="39"/>
      <c r="AX147" s="1"/>
      <c r="AY147" s="1"/>
      <c r="AZ147" s="1"/>
    </row>
    <row r="148" spans="1:52" x14ac:dyDescent="0.3">
      <c r="A148" s="2" t="s">
        <v>287</v>
      </c>
      <c r="B148" s="3" t="s">
        <v>288</v>
      </c>
      <c r="C148" s="53" t="s">
        <v>730</v>
      </c>
      <c r="D148" s="53" t="s">
        <v>450</v>
      </c>
      <c r="E148" s="53"/>
      <c r="F148" s="53" t="s">
        <v>931</v>
      </c>
      <c r="G148" s="53" t="s">
        <v>997</v>
      </c>
      <c r="H148" s="39" t="s">
        <v>450</v>
      </c>
      <c r="I148" s="39"/>
      <c r="J148" s="39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39"/>
      <c r="V148" s="39"/>
      <c r="W148" s="39"/>
      <c r="X148" s="39"/>
      <c r="Y148" s="1"/>
      <c r="Z148" s="1"/>
      <c r="AA148" s="1"/>
      <c r="AB148" s="1"/>
      <c r="AC148" s="1"/>
      <c r="AD148" s="1"/>
      <c r="AE148" s="39"/>
      <c r="AF148" s="39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39"/>
      <c r="AW148" s="39"/>
      <c r="AX148" s="1"/>
      <c r="AY148" s="1"/>
      <c r="AZ148" s="1"/>
    </row>
    <row r="149" spans="1:52" x14ac:dyDescent="0.3">
      <c r="A149" s="2" t="s">
        <v>289</v>
      </c>
      <c r="B149" s="3" t="s">
        <v>290</v>
      </c>
      <c r="C149" s="53" t="s">
        <v>731</v>
      </c>
      <c r="D149" s="53" t="s">
        <v>450</v>
      </c>
      <c r="E149" s="53"/>
      <c r="F149" s="53" t="s">
        <v>932</v>
      </c>
      <c r="G149" s="53" t="s">
        <v>997</v>
      </c>
      <c r="H149" s="39" t="s">
        <v>450</v>
      </c>
      <c r="I149" s="39"/>
      <c r="J149" s="39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39"/>
      <c r="V149" s="39"/>
      <c r="W149" s="39"/>
      <c r="X149" s="39"/>
      <c r="Y149" s="1"/>
      <c r="Z149" s="1"/>
      <c r="AA149" s="1"/>
      <c r="AB149" s="1"/>
      <c r="AC149" s="1"/>
      <c r="AD149" s="1"/>
      <c r="AE149" s="39"/>
      <c r="AF149" s="39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39"/>
      <c r="AW149" s="39"/>
      <c r="AX149" s="1"/>
      <c r="AY149" s="1"/>
      <c r="AZ149" s="1"/>
    </row>
    <row r="150" spans="1:52" x14ac:dyDescent="0.3">
      <c r="A150" s="17" t="s">
        <v>291</v>
      </c>
      <c r="B150" s="18" t="s">
        <v>292</v>
      </c>
      <c r="C150" s="53" t="s">
        <v>732</v>
      </c>
      <c r="D150" s="53" t="s">
        <v>450</v>
      </c>
      <c r="E150" s="53"/>
      <c r="F150" s="53" t="s">
        <v>933</v>
      </c>
      <c r="G150" s="53" t="s">
        <v>997</v>
      </c>
      <c r="H150" s="39" t="s">
        <v>450</v>
      </c>
      <c r="I150" s="39"/>
      <c r="J150" s="39"/>
      <c r="K150" s="1"/>
      <c r="L150" s="1"/>
      <c r="M150" s="1"/>
      <c r="N150" s="1"/>
      <c r="O150" s="1"/>
      <c r="P150" s="1"/>
      <c r="Q150" s="1"/>
      <c r="R150" s="1"/>
      <c r="S150" s="61" t="s">
        <v>577</v>
      </c>
      <c r="T150" s="1" t="s">
        <v>450</v>
      </c>
      <c r="U150" s="39"/>
      <c r="V150" s="39"/>
      <c r="W150" s="39"/>
      <c r="X150" s="39"/>
      <c r="Y150" s="1"/>
      <c r="Z150" s="1"/>
      <c r="AA150" s="1"/>
      <c r="AB150" s="1"/>
      <c r="AC150" s="1"/>
      <c r="AD150" s="1"/>
      <c r="AE150" s="39"/>
      <c r="AF150" s="39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39"/>
      <c r="AW150" s="39"/>
      <c r="AX150" s="1"/>
      <c r="AY150" s="1"/>
      <c r="AZ150" s="1"/>
    </row>
    <row r="151" spans="1:52" x14ac:dyDescent="0.3">
      <c r="A151" s="9" t="s">
        <v>293</v>
      </c>
      <c r="B151" s="10" t="s">
        <v>294</v>
      </c>
      <c r="C151" s="53" t="s">
        <v>733</v>
      </c>
      <c r="D151" s="53" t="s">
        <v>450</v>
      </c>
      <c r="E151" s="53"/>
      <c r="F151" s="53" t="s">
        <v>934</v>
      </c>
      <c r="G151" s="53" t="s">
        <v>997</v>
      </c>
      <c r="H151" s="39" t="s">
        <v>544</v>
      </c>
      <c r="I151" s="39" t="s">
        <v>450</v>
      </c>
      <c r="J151" s="39"/>
      <c r="K151" s="1"/>
      <c r="L151" s="1"/>
      <c r="M151" s="1"/>
      <c r="N151" s="1"/>
      <c r="O151" s="1"/>
      <c r="P151" s="1"/>
      <c r="Q151" s="61" t="s">
        <v>578</v>
      </c>
      <c r="R151" s="1" t="s">
        <v>450</v>
      </c>
      <c r="S151" s="1" t="s">
        <v>578</v>
      </c>
      <c r="T151" s="1" t="s">
        <v>450</v>
      </c>
      <c r="U151" s="39"/>
      <c r="V151" s="39"/>
      <c r="W151" s="39"/>
      <c r="X151" s="39"/>
      <c r="Y151" s="1"/>
      <c r="Z151" s="1"/>
      <c r="AA151" s="1"/>
      <c r="AB151" s="1"/>
      <c r="AC151" s="1"/>
      <c r="AD151" s="1"/>
      <c r="AE151" s="39"/>
      <c r="AF151" s="39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39"/>
      <c r="AW151" s="39"/>
      <c r="AX151" s="1"/>
      <c r="AY151" s="1"/>
      <c r="AZ151" s="1"/>
    </row>
    <row r="152" spans="1:52" x14ac:dyDescent="0.3">
      <c r="A152" s="13" t="s">
        <v>295</v>
      </c>
      <c r="B152" s="14" t="s">
        <v>296</v>
      </c>
      <c r="C152" s="53" t="s">
        <v>734</v>
      </c>
      <c r="D152" s="53" t="s">
        <v>450</v>
      </c>
      <c r="E152" s="53"/>
      <c r="F152" s="53" t="s">
        <v>935</v>
      </c>
      <c r="G152" s="53" t="s">
        <v>997</v>
      </c>
      <c r="H152" s="57" t="s">
        <v>579</v>
      </c>
      <c r="I152" s="39" t="s">
        <v>450</v>
      </c>
      <c r="J152" s="39"/>
      <c r="K152" s="61" t="s">
        <v>461</v>
      </c>
      <c r="L152" s="1" t="s">
        <v>450</v>
      </c>
      <c r="M152" s="1" t="s">
        <v>461</v>
      </c>
      <c r="N152" s="1" t="s">
        <v>450</v>
      </c>
      <c r="O152" s="1"/>
      <c r="P152" s="1"/>
      <c r="Q152" s="1" t="s">
        <v>461</v>
      </c>
      <c r="R152" s="1" t="s">
        <v>450</v>
      </c>
      <c r="S152" s="61" t="s">
        <v>461</v>
      </c>
      <c r="T152" s="1" t="s">
        <v>450</v>
      </c>
      <c r="U152" s="39"/>
      <c r="V152" s="39"/>
      <c r="W152" s="39"/>
      <c r="X152" s="39"/>
      <c r="Y152" s="1"/>
      <c r="Z152" s="1"/>
      <c r="AA152" s="1"/>
      <c r="AB152" s="1"/>
      <c r="AC152" s="1"/>
      <c r="AD152" s="1"/>
      <c r="AE152" s="39"/>
      <c r="AF152" s="39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39"/>
      <c r="AW152" s="39"/>
      <c r="AX152" s="1"/>
      <c r="AY152" s="1"/>
      <c r="AZ152" s="1"/>
    </row>
    <row r="153" spans="1:52" x14ac:dyDescent="0.3">
      <c r="A153" s="24" t="s">
        <v>297</v>
      </c>
      <c r="B153" s="25" t="s">
        <v>298</v>
      </c>
      <c r="C153" s="53" t="s">
        <v>735</v>
      </c>
      <c r="D153" s="53" t="s">
        <v>450</v>
      </c>
      <c r="E153" s="53"/>
      <c r="F153" s="53" t="s">
        <v>936</v>
      </c>
      <c r="G153" s="53" t="s">
        <v>997</v>
      </c>
      <c r="H153" s="39" t="s">
        <v>450</v>
      </c>
      <c r="I153" s="39"/>
      <c r="J153" s="39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39"/>
      <c r="V153" s="39"/>
      <c r="W153" s="39"/>
      <c r="X153" s="39"/>
      <c r="Y153" s="1"/>
      <c r="Z153" s="1"/>
      <c r="AA153" s="1"/>
      <c r="AB153" s="1"/>
      <c r="AC153" s="1"/>
      <c r="AD153" s="1"/>
      <c r="AE153" s="39"/>
      <c r="AF153" s="39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39"/>
      <c r="AW153" s="39"/>
      <c r="AX153" s="1"/>
      <c r="AY153" s="1"/>
      <c r="AZ153" s="1"/>
    </row>
    <row r="154" spans="1:52" x14ac:dyDescent="0.3">
      <c r="A154" s="19" t="s">
        <v>299</v>
      </c>
      <c r="B154" s="20" t="s">
        <v>300</v>
      </c>
      <c r="C154" s="53" t="s">
        <v>736</v>
      </c>
      <c r="D154" s="53" t="s">
        <v>450</v>
      </c>
      <c r="E154" s="53"/>
      <c r="F154" s="53" t="s">
        <v>937</v>
      </c>
      <c r="G154" s="53" t="s">
        <v>997</v>
      </c>
      <c r="H154" s="39" t="s">
        <v>450</v>
      </c>
      <c r="I154" s="39"/>
      <c r="J154" s="57" t="s">
        <v>487</v>
      </c>
      <c r="K154" s="1" t="s">
        <v>450</v>
      </c>
      <c r="L154" s="1"/>
      <c r="M154" s="1"/>
      <c r="N154" s="1"/>
      <c r="O154" s="1"/>
      <c r="P154" s="1"/>
      <c r="Q154" s="1"/>
      <c r="R154" s="1"/>
      <c r="S154" s="61" t="s">
        <v>580</v>
      </c>
      <c r="T154" s="1" t="s">
        <v>487</v>
      </c>
      <c r="U154" s="39" t="s">
        <v>450</v>
      </c>
      <c r="V154" s="39"/>
      <c r="W154" s="39"/>
      <c r="X154" s="39"/>
      <c r="Y154" s="1"/>
      <c r="Z154" s="1"/>
      <c r="AA154" s="1"/>
      <c r="AB154" s="1"/>
      <c r="AC154" s="1"/>
      <c r="AD154" s="1"/>
      <c r="AE154" s="39"/>
      <c r="AF154" s="39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39"/>
      <c r="AW154" s="39"/>
      <c r="AX154" s="1"/>
      <c r="AY154" s="1"/>
      <c r="AZ154" s="1"/>
    </row>
    <row r="155" spans="1:52" x14ac:dyDescent="0.3">
      <c r="A155" s="2" t="s">
        <v>301</v>
      </c>
      <c r="B155" s="3" t="s">
        <v>302</v>
      </c>
      <c r="C155" s="53" t="s">
        <v>737</v>
      </c>
      <c r="D155" s="53" t="s">
        <v>450</v>
      </c>
      <c r="E155" s="53"/>
      <c r="F155" s="53" t="s">
        <v>938</v>
      </c>
      <c r="G155" s="53" t="s">
        <v>997</v>
      </c>
      <c r="H155" s="39" t="s">
        <v>450</v>
      </c>
      <c r="I155" s="39"/>
      <c r="J155" s="39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39"/>
      <c r="V155" s="39"/>
      <c r="W155" s="39"/>
      <c r="X155" s="39"/>
      <c r="Y155" s="1"/>
      <c r="Z155" s="1"/>
      <c r="AA155" s="1"/>
      <c r="AB155" s="1"/>
      <c r="AC155" s="1"/>
      <c r="AD155" s="1"/>
      <c r="AE155" s="39"/>
      <c r="AF155" s="39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39"/>
      <c r="AW155" s="39"/>
      <c r="AX155" s="1"/>
      <c r="AY155" s="1"/>
      <c r="AZ155" s="1"/>
    </row>
    <row r="156" spans="1:52" x14ac:dyDescent="0.3">
      <c r="A156" s="4" t="s">
        <v>303</v>
      </c>
      <c r="B156" s="5" t="s">
        <v>304</v>
      </c>
      <c r="C156" s="53" t="s">
        <v>738</v>
      </c>
      <c r="D156" s="53" t="s">
        <v>450</v>
      </c>
      <c r="E156" s="53"/>
      <c r="F156" s="53" t="s">
        <v>939</v>
      </c>
      <c r="G156" s="53" t="s">
        <v>997</v>
      </c>
      <c r="H156" s="39" t="s">
        <v>450</v>
      </c>
      <c r="I156" s="39"/>
      <c r="J156" s="39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39"/>
      <c r="V156" s="39"/>
      <c r="W156" s="39"/>
      <c r="X156" s="39"/>
      <c r="Y156" s="1"/>
      <c r="Z156" s="1"/>
      <c r="AA156" s="1"/>
      <c r="AB156" s="1"/>
      <c r="AC156" s="1"/>
      <c r="AD156" s="1"/>
      <c r="AE156" s="39"/>
      <c r="AF156" s="39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39"/>
      <c r="AW156" s="39"/>
      <c r="AX156" s="1"/>
      <c r="AY156" s="1"/>
      <c r="AZ156" s="1"/>
    </row>
    <row r="157" spans="1:52" x14ac:dyDescent="0.3">
      <c r="A157" s="2" t="s">
        <v>305</v>
      </c>
      <c r="B157" s="3" t="s">
        <v>306</v>
      </c>
      <c r="C157" s="53" t="s">
        <v>739</v>
      </c>
      <c r="D157" s="53" t="s">
        <v>450</v>
      </c>
      <c r="E157" s="53"/>
      <c r="F157" s="53" t="s">
        <v>940</v>
      </c>
      <c r="G157" s="53" t="s">
        <v>997</v>
      </c>
      <c r="H157" s="39" t="s">
        <v>450</v>
      </c>
      <c r="I157" s="39"/>
      <c r="J157" s="39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39"/>
      <c r="V157" s="39"/>
      <c r="W157" s="39"/>
      <c r="X157" s="39"/>
      <c r="Y157" s="1"/>
      <c r="Z157" s="1"/>
      <c r="AA157" s="1"/>
      <c r="AB157" s="1"/>
      <c r="AC157" s="1"/>
      <c r="AD157" s="1"/>
      <c r="AE157" s="39"/>
      <c r="AF157" s="39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39"/>
      <c r="AW157" s="39"/>
      <c r="AX157" s="1"/>
      <c r="AY157" s="1"/>
      <c r="AZ157" s="1"/>
    </row>
    <row r="158" spans="1:52" x14ac:dyDescent="0.3">
      <c r="A158" s="9" t="s">
        <v>307</v>
      </c>
      <c r="B158" s="10" t="s">
        <v>308</v>
      </c>
      <c r="C158" s="53" t="s">
        <v>740</v>
      </c>
      <c r="D158" s="53" t="s">
        <v>450</v>
      </c>
      <c r="E158" s="53"/>
      <c r="F158" s="53" t="s">
        <v>941</v>
      </c>
      <c r="G158" s="53" t="s">
        <v>997</v>
      </c>
      <c r="H158" s="39" t="s">
        <v>450</v>
      </c>
      <c r="I158" s="39"/>
      <c r="J158" s="39"/>
      <c r="K158" s="1"/>
      <c r="L158" s="1"/>
      <c r="M158" s="1"/>
      <c r="N158" s="1"/>
      <c r="O158" s="1"/>
      <c r="P158" s="1"/>
      <c r="Q158" s="1"/>
      <c r="R158" s="1"/>
      <c r="S158" s="61" t="s">
        <v>468</v>
      </c>
      <c r="T158" s="1" t="s">
        <v>450</v>
      </c>
      <c r="U158" s="39"/>
      <c r="V158" s="39"/>
      <c r="W158" s="39"/>
      <c r="X158" s="39"/>
      <c r="Y158" s="1"/>
      <c r="Z158" s="1"/>
      <c r="AA158" s="1"/>
      <c r="AB158" s="1"/>
      <c r="AC158" s="1"/>
      <c r="AD158" s="61" t="s">
        <v>547</v>
      </c>
      <c r="AE158" s="39" t="s">
        <v>450</v>
      </c>
      <c r="AF158" s="39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39"/>
      <c r="AW158" s="39"/>
      <c r="AX158" s="1"/>
      <c r="AY158" s="1"/>
      <c r="AZ158" s="1"/>
    </row>
    <row r="159" spans="1:52" x14ac:dyDescent="0.3">
      <c r="A159" s="15" t="s">
        <v>309</v>
      </c>
      <c r="B159" s="16" t="s">
        <v>310</v>
      </c>
      <c r="C159" s="53" t="s">
        <v>741</v>
      </c>
      <c r="D159" s="53" t="s">
        <v>450</v>
      </c>
      <c r="E159" s="53"/>
      <c r="F159" s="53" t="s">
        <v>942</v>
      </c>
      <c r="G159" s="53" t="s">
        <v>997</v>
      </c>
      <c r="H159" s="57" t="s">
        <v>481</v>
      </c>
      <c r="I159" s="39"/>
      <c r="J159" s="39"/>
      <c r="K159" s="1"/>
      <c r="L159" s="1"/>
      <c r="M159" s="1"/>
      <c r="N159" s="1"/>
      <c r="O159" s="1"/>
      <c r="P159" s="1"/>
      <c r="Q159" s="1"/>
      <c r="R159" s="1"/>
      <c r="S159" s="1" t="s">
        <v>481</v>
      </c>
      <c r="T159" s="1" t="s">
        <v>450</v>
      </c>
      <c r="U159" s="39"/>
      <c r="V159" s="39"/>
      <c r="W159" s="39"/>
      <c r="X159" s="39"/>
      <c r="Y159" s="1"/>
      <c r="Z159" s="1"/>
      <c r="AA159" s="1"/>
      <c r="AB159" s="1"/>
      <c r="AC159" s="1"/>
      <c r="AD159" s="1"/>
      <c r="AE159" s="39"/>
      <c r="AF159" s="39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39"/>
      <c r="AW159" s="39"/>
      <c r="AX159" s="1"/>
      <c r="AY159" s="1"/>
      <c r="AZ159" s="1"/>
    </row>
    <row r="160" spans="1:52" x14ac:dyDescent="0.3">
      <c r="A160" s="17" t="s">
        <v>311</v>
      </c>
      <c r="B160" s="18" t="s">
        <v>312</v>
      </c>
      <c r="C160" s="53" t="s">
        <v>742</v>
      </c>
      <c r="D160" s="53" t="s">
        <v>450</v>
      </c>
      <c r="E160" s="53"/>
      <c r="F160" s="53" t="s">
        <v>943</v>
      </c>
      <c r="G160" s="53" t="s">
        <v>997</v>
      </c>
      <c r="H160" s="39" t="s">
        <v>544</v>
      </c>
      <c r="I160" s="39" t="s">
        <v>450</v>
      </c>
      <c r="J160" s="57" t="s">
        <v>581</v>
      </c>
      <c r="K160" s="1" t="s">
        <v>450</v>
      </c>
      <c r="L160" s="1"/>
      <c r="M160" s="1"/>
      <c r="N160" s="1"/>
      <c r="O160" s="1"/>
      <c r="P160" s="1"/>
      <c r="Q160" s="1"/>
      <c r="R160" s="1"/>
      <c r="S160" s="61" t="s">
        <v>581</v>
      </c>
      <c r="T160" s="1" t="s">
        <v>450</v>
      </c>
      <c r="U160" s="39"/>
      <c r="V160" s="39"/>
      <c r="W160" s="39"/>
      <c r="X160" s="39"/>
      <c r="Y160" s="1"/>
      <c r="Z160" s="1"/>
      <c r="AA160" s="1"/>
      <c r="AB160" s="1"/>
      <c r="AC160" s="1"/>
      <c r="AD160" s="1"/>
      <c r="AE160" s="39"/>
      <c r="AF160" s="39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39"/>
      <c r="AW160" s="39"/>
      <c r="AX160" s="1"/>
      <c r="AY160" s="1"/>
      <c r="AZ160" s="1"/>
    </row>
    <row r="161" spans="1:52" x14ac:dyDescent="0.3">
      <c r="A161" s="2" t="s">
        <v>313</v>
      </c>
      <c r="B161" s="3" t="s">
        <v>314</v>
      </c>
      <c r="C161" s="53" t="s">
        <v>743</v>
      </c>
      <c r="D161" s="53" t="s">
        <v>450</v>
      </c>
      <c r="E161" s="53"/>
      <c r="F161" s="53" t="s">
        <v>944</v>
      </c>
      <c r="G161" s="53" t="s">
        <v>997</v>
      </c>
      <c r="H161" s="39" t="s">
        <v>450</v>
      </c>
      <c r="I161" s="39"/>
      <c r="J161" s="39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39"/>
      <c r="V161" s="39"/>
      <c r="W161" s="39"/>
      <c r="X161" s="39"/>
      <c r="Y161" s="1"/>
      <c r="Z161" s="1"/>
      <c r="AA161" s="1"/>
      <c r="AB161" s="1"/>
      <c r="AC161" s="1"/>
      <c r="AD161" s="1"/>
      <c r="AE161" s="39"/>
      <c r="AF161" s="39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39"/>
      <c r="AW161" s="39"/>
      <c r="AX161" s="1"/>
      <c r="AY161" s="1"/>
      <c r="AZ161" s="1"/>
    </row>
    <row r="162" spans="1:52" x14ac:dyDescent="0.3">
      <c r="A162" s="13" t="s">
        <v>315</v>
      </c>
      <c r="B162" s="14" t="s">
        <v>316</v>
      </c>
      <c r="C162" s="53" t="s">
        <v>744</v>
      </c>
      <c r="D162" s="53" t="s">
        <v>450</v>
      </c>
      <c r="E162" s="53"/>
      <c r="F162" s="53" t="s">
        <v>945</v>
      </c>
      <c r="G162" s="53" t="s">
        <v>997</v>
      </c>
      <c r="H162" s="39" t="s">
        <v>544</v>
      </c>
      <c r="I162" s="39" t="s">
        <v>450</v>
      </c>
      <c r="J162" s="57"/>
      <c r="K162" s="1" t="s">
        <v>450</v>
      </c>
      <c r="L162" s="1"/>
      <c r="M162" s="1"/>
      <c r="N162" s="1"/>
      <c r="O162" s="1"/>
      <c r="P162" s="1"/>
      <c r="Q162" s="1"/>
      <c r="R162" s="1"/>
      <c r="S162" s="61" t="s">
        <v>541</v>
      </c>
      <c r="T162" s="1" t="s">
        <v>450</v>
      </c>
      <c r="U162" s="39"/>
      <c r="V162" s="39"/>
      <c r="W162" s="39"/>
      <c r="X162" s="39"/>
      <c r="Y162" s="1"/>
      <c r="Z162" s="1"/>
      <c r="AA162" s="1"/>
      <c r="AB162" s="1"/>
      <c r="AC162" s="1"/>
      <c r="AD162" s="1"/>
      <c r="AE162" s="39"/>
      <c r="AF162" s="39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39"/>
      <c r="AW162" s="39"/>
      <c r="AX162" s="1"/>
      <c r="AY162" s="1"/>
      <c r="AZ162" s="1"/>
    </row>
    <row r="163" spans="1:52" x14ac:dyDescent="0.3">
      <c r="A163" s="24" t="s">
        <v>317</v>
      </c>
      <c r="B163" s="25" t="s">
        <v>318</v>
      </c>
      <c r="C163" s="53" t="s">
        <v>745</v>
      </c>
      <c r="D163" s="53" t="s">
        <v>450</v>
      </c>
      <c r="E163" s="53"/>
      <c r="F163" s="53" t="s">
        <v>946</v>
      </c>
      <c r="G163" s="53" t="s">
        <v>997</v>
      </c>
      <c r="H163" s="39" t="s">
        <v>450</v>
      </c>
      <c r="I163" s="39"/>
      <c r="J163" s="39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39"/>
      <c r="V163" s="39"/>
      <c r="W163" s="39"/>
      <c r="X163" s="39"/>
      <c r="Y163" s="1"/>
      <c r="Z163" s="1"/>
      <c r="AA163" s="1"/>
      <c r="AB163" s="1"/>
      <c r="AC163" s="1"/>
      <c r="AD163" s="1"/>
      <c r="AE163" s="39"/>
      <c r="AF163" s="39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39"/>
      <c r="AW163" s="39"/>
      <c r="AX163" s="1"/>
      <c r="AY163" s="1"/>
      <c r="AZ163" s="1"/>
    </row>
    <row r="164" spans="1:52" x14ac:dyDescent="0.3">
      <c r="A164" s="2" t="s">
        <v>319</v>
      </c>
      <c r="B164" s="3" t="s">
        <v>320</v>
      </c>
      <c r="C164" s="53" t="s">
        <v>746</v>
      </c>
      <c r="D164" s="53" t="s">
        <v>450</v>
      </c>
      <c r="E164" s="53"/>
      <c r="F164" s="53" t="s">
        <v>947</v>
      </c>
      <c r="G164" s="53" t="s">
        <v>997</v>
      </c>
      <c r="H164" s="39" t="s">
        <v>450</v>
      </c>
      <c r="I164" s="39"/>
      <c r="J164" s="39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39"/>
      <c r="V164" s="39"/>
      <c r="W164" s="39"/>
      <c r="X164" s="39"/>
      <c r="Y164" s="1"/>
      <c r="Z164" s="1"/>
      <c r="AA164" s="1"/>
      <c r="AB164" s="1"/>
      <c r="AC164" s="1"/>
      <c r="AD164" s="1"/>
      <c r="AE164" s="39"/>
      <c r="AF164" s="39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39"/>
      <c r="AW164" s="39"/>
      <c r="AX164" s="1"/>
      <c r="AY164" s="1"/>
      <c r="AZ164" s="1"/>
    </row>
    <row r="165" spans="1:52" x14ac:dyDescent="0.3">
      <c r="A165" s="2" t="s">
        <v>321</v>
      </c>
      <c r="B165" s="3" t="s">
        <v>322</v>
      </c>
      <c r="C165" s="53" t="s">
        <v>747</v>
      </c>
      <c r="D165" s="53" t="s">
        <v>450</v>
      </c>
      <c r="E165" s="53"/>
      <c r="F165" s="53" t="s">
        <v>948</v>
      </c>
      <c r="G165" s="53" t="s">
        <v>997</v>
      </c>
      <c r="H165" s="39" t="s">
        <v>450</v>
      </c>
      <c r="I165" s="39"/>
      <c r="J165" s="57"/>
      <c r="K165" s="1" t="s">
        <v>583</v>
      </c>
      <c r="L165" s="1" t="s">
        <v>450</v>
      </c>
      <c r="M165" s="1"/>
      <c r="N165" s="1"/>
      <c r="O165" s="1"/>
      <c r="P165" s="1"/>
      <c r="Q165" s="1"/>
      <c r="R165" s="1"/>
      <c r="S165" s="1" t="s">
        <v>583</v>
      </c>
      <c r="T165" s="1" t="s">
        <v>450</v>
      </c>
      <c r="U165" s="39"/>
      <c r="V165" s="39"/>
      <c r="W165" s="39"/>
      <c r="X165" s="39"/>
      <c r="Y165" s="1"/>
      <c r="Z165" s="1"/>
      <c r="AA165" s="1"/>
      <c r="AB165" s="1"/>
      <c r="AC165" s="1"/>
      <c r="AD165" s="1"/>
      <c r="AE165" s="39"/>
      <c r="AF165" s="39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39"/>
      <c r="AW165" s="39"/>
      <c r="AX165" s="1"/>
      <c r="AY165" s="1"/>
      <c r="AZ165" s="1"/>
    </row>
    <row r="166" spans="1:52" x14ac:dyDescent="0.3">
      <c r="A166" s="2" t="s">
        <v>323</v>
      </c>
      <c r="B166" s="3" t="s">
        <v>324</v>
      </c>
      <c r="C166" s="53" t="s">
        <v>748</v>
      </c>
      <c r="D166" s="53" t="s">
        <v>450</v>
      </c>
      <c r="E166" s="53"/>
      <c r="F166" s="53" t="s">
        <v>949</v>
      </c>
      <c r="G166" s="53" t="s">
        <v>997</v>
      </c>
      <c r="H166" s="39" t="s">
        <v>450</v>
      </c>
      <c r="I166" s="39"/>
      <c r="J166" s="39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39"/>
      <c r="V166" s="39"/>
      <c r="W166" s="39"/>
      <c r="X166" s="39"/>
      <c r="Y166" s="1"/>
      <c r="Z166" s="1"/>
      <c r="AA166" s="1"/>
      <c r="AB166" s="1"/>
      <c r="AC166" s="1"/>
      <c r="AD166" s="1"/>
      <c r="AE166" s="39"/>
      <c r="AF166" s="39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39"/>
      <c r="AW166" s="39"/>
      <c r="AX166" s="1"/>
      <c r="AY166" s="1"/>
      <c r="AZ166" s="1"/>
    </row>
    <row r="167" spans="1:52" x14ac:dyDescent="0.3">
      <c r="A167" s="13" t="s">
        <v>325</v>
      </c>
      <c r="B167" s="14" t="s">
        <v>326</v>
      </c>
      <c r="C167" s="53" t="s">
        <v>749</v>
      </c>
      <c r="D167" s="53" t="s">
        <v>450</v>
      </c>
      <c r="E167" s="53"/>
      <c r="F167" s="53" t="s">
        <v>950</v>
      </c>
      <c r="G167" s="53" t="s">
        <v>997</v>
      </c>
      <c r="H167" s="39" t="s">
        <v>450</v>
      </c>
      <c r="I167" s="39"/>
      <c r="J167" s="39"/>
      <c r="K167" s="1"/>
      <c r="L167" s="1"/>
      <c r="M167" s="1"/>
      <c r="N167" s="1"/>
      <c r="O167" s="1"/>
      <c r="P167" s="1"/>
      <c r="Q167" s="1"/>
      <c r="R167" s="1"/>
      <c r="S167" s="1" t="s">
        <v>992</v>
      </c>
      <c r="T167" s="1" t="s">
        <v>450</v>
      </c>
      <c r="U167" s="39"/>
      <c r="V167" s="39"/>
      <c r="W167" s="39"/>
      <c r="X167" s="39"/>
      <c r="Y167" s="1"/>
      <c r="Z167" s="1"/>
      <c r="AA167" s="1"/>
      <c r="AB167" s="1"/>
      <c r="AC167" s="1"/>
      <c r="AD167" s="1"/>
      <c r="AE167" s="39"/>
      <c r="AF167" s="39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39"/>
      <c r="AW167" s="39"/>
      <c r="AX167" s="1"/>
      <c r="AY167" s="1"/>
      <c r="AZ167" s="1"/>
    </row>
    <row r="168" spans="1:52" x14ac:dyDescent="0.3">
      <c r="A168" s="2" t="s">
        <v>327</v>
      </c>
      <c r="B168" s="3" t="s">
        <v>328</v>
      </c>
      <c r="C168" s="53" t="s">
        <v>750</v>
      </c>
      <c r="D168" s="53" t="s">
        <v>450</v>
      </c>
      <c r="E168" s="53"/>
      <c r="F168" s="53" t="s">
        <v>951</v>
      </c>
      <c r="G168" s="53" t="s">
        <v>997</v>
      </c>
      <c r="H168" s="39" t="s">
        <v>450</v>
      </c>
      <c r="I168" s="39"/>
      <c r="J168" s="39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39"/>
      <c r="V168" s="39"/>
      <c r="W168" s="39"/>
      <c r="X168" s="39"/>
      <c r="Y168" s="1"/>
      <c r="Z168" s="1"/>
      <c r="AA168" s="1"/>
      <c r="AB168" s="1"/>
      <c r="AC168" s="1"/>
      <c r="AD168" s="1"/>
      <c r="AE168" s="39"/>
      <c r="AF168" s="39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39"/>
      <c r="AW168" s="39"/>
      <c r="AX168" s="1"/>
      <c r="AY168" s="1"/>
      <c r="AZ168" s="1"/>
    </row>
    <row r="169" spans="1:52" x14ac:dyDescent="0.3">
      <c r="A169" s="2" t="s">
        <v>329</v>
      </c>
      <c r="B169" s="3" t="s">
        <v>330</v>
      </c>
      <c r="C169" s="53" t="s">
        <v>751</v>
      </c>
      <c r="D169" s="53" t="s">
        <v>450</v>
      </c>
      <c r="E169" s="53"/>
      <c r="F169" s="53" t="s">
        <v>952</v>
      </c>
      <c r="G169" s="53" t="s">
        <v>997</v>
      </c>
      <c r="H169" s="39" t="s">
        <v>450</v>
      </c>
      <c r="I169" s="39"/>
      <c r="J169" s="39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39"/>
      <c r="V169" s="39"/>
      <c r="W169" s="39"/>
      <c r="X169" s="39"/>
      <c r="Y169" s="1"/>
      <c r="Z169" s="1"/>
      <c r="AA169" s="1"/>
      <c r="AB169" s="1"/>
      <c r="AC169" s="1"/>
      <c r="AD169" s="1"/>
      <c r="AE169" s="39"/>
      <c r="AF169" s="39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39"/>
      <c r="AW169" s="39"/>
      <c r="AX169" s="1"/>
      <c r="AY169" s="1"/>
      <c r="AZ169" s="1"/>
    </row>
    <row r="170" spans="1:52" x14ac:dyDescent="0.3">
      <c r="A170" s="2" t="s">
        <v>331</v>
      </c>
      <c r="B170" s="3" t="s">
        <v>332</v>
      </c>
      <c r="C170" s="53" t="s">
        <v>752</v>
      </c>
      <c r="D170" s="53" t="s">
        <v>450</v>
      </c>
      <c r="E170" s="53"/>
      <c r="F170" s="53" t="s">
        <v>953</v>
      </c>
      <c r="G170" s="53" t="s">
        <v>997</v>
      </c>
      <c r="H170" s="39" t="s">
        <v>450</v>
      </c>
      <c r="I170" s="39"/>
      <c r="J170" s="39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39"/>
      <c r="V170" s="39"/>
      <c r="W170" s="39"/>
      <c r="X170" s="39"/>
      <c r="Y170" s="1"/>
      <c r="Z170" s="1"/>
      <c r="AA170" s="1"/>
      <c r="AB170" s="1"/>
      <c r="AC170" s="1"/>
      <c r="AD170" s="1"/>
      <c r="AE170" s="39"/>
      <c r="AF170" s="39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39"/>
      <c r="AW170" s="39"/>
      <c r="AX170" s="1"/>
      <c r="AY170" s="1"/>
      <c r="AZ170" s="1"/>
    </row>
    <row r="171" spans="1:52" x14ac:dyDescent="0.3">
      <c r="A171" s="2" t="s">
        <v>333</v>
      </c>
      <c r="B171" s="3" t="s">
        <v>334</v>
      </c>
      <c r="C171" s="53" t="s">
        <v>753</v>
      </c>
      <c r="D171" s="53" t="s">
        <v>450</v>
      </c>
      <c r="E171" s="53"/>
      <c r="F171" s="53" t="s">
        <v>954</v>
      </c>
      <c r="G171" s="53" t="s">
        <v>997</v>
      </c>
      <c r="H171" s="39" t="s">
        <v>450</v>
      </c>
      <c r="I171" s="39"/>
      <c r="J171" s="39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39"/>
      <c r="V171" s="39"/>
      <c r="W171" s="39"/>
      <c r="X171" s="39"/>
      <c r="Y171" s="1"/>
      <c r="Z171" s="1"/>
      <c r="AA171" s="1"/>
      <c r="AB171" s="1"/>
      <c r="AC171" s="1"/>
      <c r="AD171" s="1"/>
      <c r="AE171" s="39"/>
      <c r="AF171" s="39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39"/>
      <c r="AW171" s="39"/>
      <c r="AX171" s="1"/>
      <c r="AY171" s="1"/>
      <c r="AZ171" s="1"/>
    </row>
    <row r="172" spans="1:52" x14ac:dyDescent="0.3">
      <c r="A172" s="4" t="s">
        <v>335</v>
      </c>
      <c r="B172" s="5" t="s">
        <v>336</v>
      </c>
      <c r="C172" s="53" t="s">
        <v>754</v>
      </c>
      <c r="D172" s="53" t="s">
        <v>450</v>
      </c>
      <c r="E172" s="53"/>
      <c r="F172" s="53" t="s">
        <v>955</v>
      </c>
      <c r="G172" s="53" t="s">
        <v>997</v>
      </c>
      <c r="H172" s="39" t="s">
        <v>450</v>
      </c>
      <c r="I172" s="39" t="s">
        <v>450</v>
      </c>
      <c r="J172" s="39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39"/>
      <c r="V172" s="39"/>
      <c r="W172" s="39"/>
      <c r="X172" s="39"/>
      <c r="Y172" s="1"/>
      <c r="Z172" s="1"/>
      <c r="AA172" s="1"/>
      <c r="AB172" s="1"/>
      <c r="AC172" s="1"/>
      <c r="AD172" s="1"/>
      <c r="AE172" s="39"/>
      <c r="AF172" s="39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39"/>
      <c r="AW172" s="39"/>
      <c r="AX172" s="1"/>
      <c r="AY172" s="1"/>
      <c r="AZ172" s="1"/>
    </row>
    <row r="173" spans="1:52" x14ac:dyDescent="0.3">
      <c r="A173" s="22" t="s">
        <v>337</v>
      </c>
      <c r="B173" s="23" t="s">
        <v>338</v>
      </c>
      <c r="C173" s="53" t="s">
        <v>755</v>
      </c>
      <c r="D173" s="53" t="s">
        <v>450</v>
      </c>
      <c r="E173" s="53"/>
      <c r="F173" s="53" t="s">
        <v>956</v>
      </c>
      <c r="G173" s="53" t="s">
        <v>997</v>
      </c>
      <c r="H173" s="57" t="s">
        <v>542</v>
      </c>
      <c r="I173" s="39" t="s">
        <v>450</v>
      </c>
      <c r="J173" s="39"/>
      <c r="K173" s="1"/>
      <c r="L173" s="1"/>
      <c r="M173" s="1"/>
      <c r="N173" s="1"/>
      <c r="O173" s="1"/>
      <c r="P173" s="1"/>
      <c r="Q173" s="1"/>
      <c r="R173" s="1"/>
      <c r="S173" s="1"/>
      <c r="T173" s="1"/>
      <c r="V173" s="39"/>
      <c r="W173" s="39"/>
      <c r="X173" s="39"/>
      <c r="Y173" s="1"/>
      <c r="Z173" s="1"/>
      <c r="AA173" s="1"/>
      <c r="AB173" s="1"/>
      <c r="AC173" s="1"/>
      <c r="AD173" s="1"/>
      <c r="AE173" s="39"/>
      <c r="AF173" s="39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39" t="s">
        <v>542</v>
      </c>
      <c r="AW173" s="39" t="s">
        <v>450</v>
      </c>
      <c r="AX173" s="1"/>
      <c r="AY173" s="1"/>
      <c r="AZ173" s="1"/>
    </row>
    <row r="174" spans="1:52" x14ac:dyDescent="0.3">
      <c r="A174" s="13" t="s">
        <v>339</v>
      </c>
      <c r="B174" s="14" t="s">
        <v>340</v>
      </c>
      <c r="C174" s="53" t="s">
        <v>756</v>
      </c>
      <c r="D174" s="53" t="s">
        <v>450</v>
      </c>
      <c r="E174" s="53"/>
      <c r="F174" s="53" t="s">
        <v>957</v>
      </c>
      <c r="G174" s="53" t="s">
        <v>997</v>
      </c>
      <c r="H174" s="39" t="s">
        <v>450</v>
      </c>
      <c r="I174" s="39"/>
      <c r="J174" s="39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39"/>
      <c r="V174" s="39"/>
      <c r="W174" s="39"/>
      <c r="X174" s="39"/>
      <c r="Y174" s="1"/>
      <c r="Z174" s="1"/>
      <c r="AA174" s="1"/>
      <c r="AB174" s="1"/>
      <c r="AC174" s="1"/>
      <c r="AD174" s="1"/>
      <c r="AE174" s="39"/>
      <c r="AF174" s="39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39"/>
      <c r="AW174" s="39"/>
      <c r="AX174" s="1"/>
      <c r="AY174" s="1"/>
      <c r="AZ174" s="1"/>
    </row>
    <row r="175" spans="1:52" x14ac:dyDescent="0.3">
      <c r="A175" s="2" t="s">
        <v>341</v>
      </c>
      <c r="B175" s="3" t="s">
        <v>342</v>
      </c>
      <c r="C175" s="53" t="s">
        <v>757</v>
      </c>
      <c r="D175" s="53" t="s">
        <v>450</v>
      </c>
      <c r="E175" s="53"/>
      <c r="F175" s="53" t="s">
        <v>958</v>
      </c>
      <c r="G175" s="53" t="s">
        <v>997</v>
      </c>
      <c r="H175" s="39" t="s">
        <v>450</v>
      </c>
      <c r="I175" s="39"/>
      <c r="J175" s="39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39"/>
      <c r="V175" s="39"/>
      <c r="W175" s="39"/>
      <c r="X175" s="39"/>
      <c r="Y175" s="1"/>
      <c r="Z175" s="1"/>
      <c r="AA175" s="1"/>
      <c r="AB175" s="1"/>
      <c r="AC175" s="1"/>
      <c r="AD175" s="1"/>
      <c r="AE175" s="39"/>
      <c r="AF175" s="39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39"/>
      <c r="AW175" s="39"/>
      <c r="AX175" s="1"/>
      <c r="AY175" s="1"/>
      <c r="AZ175" s="1"/>
    </row>
    <row r="176" spans="1:52" x14ac:dyDescent="0.3">
      <c r="A176" s="2" t="s">
        <v>343</v>
      </c>
      <c r="B176" s="3" t="s">
        <v>344</v>
      </c>
      <c r="C176" s="53" t="s">
        <v>758</v>
      </c>
      <c r="D176" s="53" t="s">
        <v>450</v>
      </c>
      <c r="E176" s="53"/>
      <c r="F176" s="53" t="s">
        <v>959</v>
      </c>
      <c r="G176" s="53" t="s">
        <v>997</v>
      </c>
      <c r="H176" s="39" t="s">
        <v>450</v>
      </c>
      <c r="I176" s="39"/>
      <c r="J176" s="39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39"/>
      <c r="V176" s="39"/>
      <c r="W176" s="39"/>
      <c r="X176" s="39"/>
      <c r="Y176" s="1"/>
      <c r="Z176" s="1"/>
      <c r="AA176" s="1"/>
      <c r="AB176" s="1"/>
      <c r="AC176" s="1"/>
      <c r="AD176" s="1"/>
      <c r="AE176" s="39"/>
      <c r="AF176" s="39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39"/>
      <c r="AW176" s="39"/>
      <c r="AX176" s="1"/>
      <c r="AY176" s="1"/>
      <c r="AZ176" s="1"/>
    </row>
    <row r="177" spans="1:52" x14ac:dyDescent="0.3">
      <c r="A177" s="4" t="s">
        <v>345</v>
      </c>
      <c r="B177" s="5" t="s">
        <v>346</v>
      </c>
      <c r="C177" s="53" t="s">
        <v>759</v>
      </c>
      <c r="D177" s="53" t="s">
        <v>450</v>
      </c>
      <c r="E177" s="53"/>
      <c r="F177" s="53" t="s">
        <v>960</v>
      </c>
      <c r="G177" s="53" t="s">
        <v>997</v>
      </c>
      <c r="H177" s="39" t="s">
        <v>450</v>
      </c>
      <c r="I177" s="39"/>
      <c r="J177" s="39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39"/>
      <c r="V177" s="39"/>
      <c r="W177" s="39"/>
      <c r="X177" s="39"/>
      <c r="Y177" s="1"/>
      <c r="Z177" s="1"/>
      <c r="AA177" s="1"/>
      <c r="AB177" s="1"/>
      <c r="AC177" s="1"/>
      <c r="AD177" s="1"/>
      <c r="AE177" s="39"/>
      <c r="AF177" s="39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39"/>
      <c r="AW177" s="39"/>
      <c r="AX177" s="1"/>
      <c r="AY177" s="1"/>
      <c r="AZ177" s="1"/>
    </row>
    <row r="178" spans="1:52" x14ac:dyDescent="0.3">
      <c r="A178" s="4" t="s">
        <v>347</v>
      </c>
      <c r="B178" s="5" t="s">
        <v>348</v>
      </c>
      <c r="C178" s="53" t="s">
        <v>760</v>
      </c>
      <c r="D178" s="53" t="s">
        <v>450</v>
      </c>
      <c r="E178" s="53"/>
      <c r="F178" s="53" t="s">
        <v>961</v>
      </c>
      <c r="G178" s="53" t="s">
        <v>997</v>
      </c>
      <c r="H178" s="39" t="s">
        <v>450</v>
      </c>
      <c r="I178" s="39"/>
      <c r="J178" s="39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39"/>
      <c r="V178" s="39"/>
      <c r="W178" s="39"/>
      <c r="X178" s="39"/>
      <c r="Y178" s="1"/>
      <c r="Z178" s="1"/>
      <c r="AA178" s="1"/>
      <c r="AB178" s="1"/>
      <c r="AC178" s="1"/>
      <c r="AD178" s="1"/>
      <c r="AE178" s="39"/>
      <c r="AF178" s="39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39"/>
      <c r="AW178" s="39"/>
      <c r="AX178" s="1"/>
      <c r="AY178" s="1"/>
      <c r="AZ178" s="1"/>
    </row>
    <row r="179" spans="1:52" x14ac:dyDescent="0.3">
      <c r="A179" s="4" t="s">
        <v>349</v>
      </c>
      <c r="B179" s="5" t="s">
        <v>350</v>
      </c>
      <c r="C179" s="53" t="s">
        <v>761</v>
      </c>
      <c r="D179" s="53" t="s">
        <v>450</v>
      </c>
      <c r="E179" s="53"/>
      <c r="F179" s="53" t="s">
        <v>962</v>
      </c>
      <c r="G179" s="53" t="s">
        <v>997</v>
      </c>
      <c r="H179" s="39" t="s">
        <v>450</v>
      </c>
      <c r="I179" s="39"/>
      <c r="J179" s="39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39"/>
      <c r="V179" s="39"/>
      <c r="W179" s="39"/>
      <c r="X179" s="39"/>
      <c r="Y179" s="1"/>
      <c r="Z179" s="1"/>
      <c r="AA179" s="1"/>
      <c r="AB179" s="1"/>
      <c r="AC179" s="1"/>
      <c r="AD179" s="1"/>
      <c r="AE179" s="39"/>
      <c r="AF179" s="39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39"/>
      <c r="AW179" s="39"/>
      <c r="AX179" s="1"/>
      <c r="AY179" s="1"/>
      <c r="AZ179" s="1"/>
    </row>
    <row r="180" spans="1:52" x14ac:dyDescent="0.3">
      <c r="A180" s="13" t="s">
        <v>351</v>
      </c>
      <c r="B180" s="14" t="s">
        <v>352</v>
      </c>
      <c r="C180" s="53" t="s">
        <v>762</v>
      </c>
      <c r="D180" s="53" t="s">
        <v>450</v>
      </c>
      <c r="E180" s="53"/>
      <c r="F180" s="53" t="s">
        <v>963</v>
      </c>
      <c r="G180" s="53" t="s">
        <v>997</v>
      </c>
      <c r="H180" s="39" t="s">
        <v>450</v>
      </c>
      <c r="I180" s="39"/>
      <c r="J180" s="57" t="s">
        <v>478</v>
      </c>
      <c r="K180" s="1"/>
      <c r="L180" s="1"/>
      <c r="M180" s="1"/>
      <c r="N180" s="1"/>
      <c r="O180" s="1"/>
      <c r="P180" s="1"/>
      <c r="Q180" s="1"/>
      <c r="R180" s="1"/>
      <c r="S180" s="1" t="s">
        <v>992</v>
      </c>
      <c r="T180" s="1" t="s">
        <v>450</v>
      </c>
      <c r="U180" s="39"/>
      <c r="V180" s="39"/>
      <c r="W180" s="39"/>
      <c r="X180" s="39"/>
      <c r="Y180" s="1"/>
      <c r="Z180" s="1"/>
      <c r="AA180" s="1"/>
      <c r="AB180" s="1"/>
      <c r="AC180" s="1"/>
      <c r="AD180" s="1"/>
      <c r="AE180" s="39"/>
      <c r="AF180" s="39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39"/>
      <c r="AW180" s="39"/>
      <c r="AX180" s="1"/>
      <c r="AY180" s="1"/>
      <c r="AZ180" s="1"/>
    </row>
    <row r="181" spans="1:52" x14ac:dyDescent="0.3">
      <c r="A181" s="24" t="s">
        <v>353</v>
      </c>
      <c r="B181" s="25" t="s">
        <v>354</v>
      </c>
      <c r="C181" s="53" t="s">
        <v>763</v>
      </c>
      <c r="D181" s="53" t="s">
        <v>450</v>
      </c>
      <c r="E181" s="53"/>
      <c r="F181" s="53" t="s">
        <v>964</v>
      </c>
      <c r="G181" s="53" t="s">
        <v>997</v>
      </c>
      <c r="H181" s="39" t="s">
        <v>450</v>
      </c>
      <c r="I181" s="39"/>
      <c r="J181" s="39"/>
      <c r="K181" s="1"/>
      <c r="L181" s="1"/>
      <c r="M181" s="1"/>
      <c r="N181" s="1"/>
      <c r="O181" s="1"/>
      <c r="P181" s="1"/>
      <c r="Q181" s="1"/>
      <c r="R181" s="1"/>
      <c r="S181" s="61" t="s">
        <v>503</v>
      </c>
      <c r="T181" s="1" t="s">
        <v>450</v>
      </c>
      <c r="U181" s="39"/>
      <c r="V181" s="39"/>
      <c r="W181" s="39"/>
      <c r="X181" s="39"/>
      <c r="Y181" s="1"/>
      <c r="Z181" s="1"/>
      <c r="AA181" s="1"/>
      <c r="AB181" s="1"/>
      <c r="AC181" s="1"/>
      <c r="AD181" s="1"/>
      <c r="AE181" s="39"/>
      <c r="AF181" s="39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39"/>
      <c r="AW181" s="39"/>
      <c r="AX181" s="1"/>
      <c r="AY181" s="1"/>
      <c r="AZ181" s="1"/>
    </row>
    <row r="182" spans="1:52" x14ac:dyDescent="0.3">
      <c r="A182" s="17" t="s">
        <v>355</v>
      </c>
      <c r="B182" s="18" t="s">
        <v>356</v>
      </c>
      <c r="C182" s="53" t="s">
        <v>764</v>
      </c>
      <c r="D182" s="53" t="s">
        <v>450</v>
      </c>
      <c r="E182" s="53"/>
      <c r="F182" s="53" t="s">
        <v>965</v>
      </c>
      <c r="G182" s="53" t="s">
        <v>997</v>
      </c>
      <c r="H182" s="39" t="s">
        <v>450</v>
      </c>
      <c r="I182" s="39"/>
      <c r="J182" s="39"/>
      <c r="K182" s="1"/>
      <c r="L182" s="1"/>
      <c r="M182" s="1"/>
      <c r="N182" s="1"/>
      <c r="O182" s="1"/>
      <c r="P182" s="1"/>
      <c r="Q182" s="1"/>
      <c r="R182" s="1"/>
      <c r="S182" s="1" t="s">
        <v>992</v>
      </c>
      <c r="T182" s="1" t="s">
        <v>450</v>
      </c>
      <c r="U182" s="39"/>
      <c r="V182" s="39"/>
      <c r="W182" s="39"/>
      <c r="X182" s="39"/>
      <c r="Y182" s="1"/>
      <c r="Z182" s="1"/>
      <c r="AA182" s="1"/>
      <c r="AB182" s="1"/>
      <c r="AC182" s="1"/>
      <c r="AD182" s="1"/>
      <c r="AE182" s="39"/>
      <c r="AF182" s="39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39"/>
      <c r="AW182" s="39"/>
      <c r="AX182" s="1"/>
      <c r="AY182" s="1"/>
      <c r="AZ182" s="1"/>
    </row>
    <row r="183" spans="1:52" x14ac:dyDescent="0.3">
      <c r="A183" s="2" t="s">
        <v>357</v>
      </c>
      <c r="B183" s="3" t="s">
        <v>358</v>
      </c>
      <c r="C183" s="53" t="s">
        <v>765</v>
      </c>
      <c r="D183" s="53" t="s">
        <v>450</v>
      </c>
      <c r="E183" s="53"/>
      <c r="F183" s="53" t="s">
        <v>966</v>
      </c>
      <c r="G183" s="53" t="s">
        <v>997</v>
      </c>
      <c r="H183" s="39" t="s">
        <v>450</v>
      </c>
      <c r="I183" s="39"/>
      <c r="J183" s="39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39"/>
      <c r="V183" s="39"/>
      <c r="W183" s="39"/>
      <c r="X183" s="39"/>
      <c r="Y183" s="1"/>
      <c r="Z183" s="1"/>
      <c r="AA183" s="1"/>
      <c r="AB183" s="1"/>
      <c r="AC183" s="1"/>
      <c r="AD183" s="1"/>
      <c r="AE183" s="39"/>
      <c r="AF183" s="39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39"/>
      <c r="AW183" s="39"/>
      <c r="AX183" s="1"/>
      <c r="AY183" s="1"/>
      <c r="AZ183" s="1"/>
    </row>
    <row r="184" spans="1:52" x14ac:dyDescent="0.3">
      <c r="A184" s="2" t="s">
        <v>359</v>
      </c>
      <c r="B184" s="3" t="s">
        <v>360</v>
      </c>
      <c r="C184" s="53" t="s">
        <v>766</v>
      </c>
      <c r="D184" s="53" t="s">
        <v>450</v>
      </c>
      <c r="E184" s="53"/>
      <c r="F184" s="53" t="s">
        <v>967</v>
      </c>
      <c r="G184" s="53" t="s">
        <v>997</v>
      </c>
      <c r="H184" s="39" t="s">
        <v>450</v>
      </c>
      <c r="I184" s="39"/>
      <c r="J184" s="39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39"/>
      <c r="V184" s="39"/>
      <c r="W184" s="39"/>
      <c r="X184" s="39"/>
      <c r="Y184" s="1"/>
      <c r="Z184" s="1"/>
      <c r="AA184" s="1"/>
      <c r="AB184" s="1"/>
      <c r="AC184" s="1"/>
      <c r="AD184" s="1"/>
      <c r="AE184" s="39"/>
      <c r="AF184" s="39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39"/>
      <c r="AW184" s="39"/>
      <c r="AX184" s="1"/>
      <c r="AY184" s="1"/>
      <c r="AZ184" s="1"/>
    </row>
    <row r="185" spans="1:52" x14ac:dyDescent="0.3">
      <c r="A185" s="22" t="s">
        <v>361</v>
      </c>
      <c r="B185" s="23" t="s">
        <v>362</v>
      </c>
      <c r="C185" s="53" t="s">
        <v>767</v>
      </c>
      <c r="D185" s="53" t="s">
        <v>450</v>
      </c>
      <c r="E185" s="53"/>
      <c r="F185" s="53" t="s">
        <v>968</v>
      </c>
      <c r="G185" s="53" t="s">
        <v>997</v>
      </c>
      <c r="H185" s="39" t="s">
        <v>450</v>
      </c>
      <c r="I185" s="39"/>
      <c r="J185" s="39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39"/>
      <c r="V185" s="39"/>
      <c r="W185" s="39"/>
      <c r="X185" s="39"/>
      <c r="Y185" s="1"/>
      <c r="Z185" s="1"/>
      <c r="AA185" s="1"/>
      <c r="AB185" s="1"/>
      <c r="AC185" s="1"/>
      <c r="AD185" s="1"/>
      <c r="AE185" s="39"/>
      <c r="AF185" s="39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39"/>
      <c r="AW185" s="39"/>
      <c r="AX185" s="1"/>
      <c r="AY185" s="1"/>
      <c r="AZ185" s="1"/>
    </row>
    <row r="186" spans="1:52" x14ac:dyDescent="0.3">
      <c r="A186" s="4" t="s">
        <v>363</v>
      </c>
      <c r="B186" s="5" t="s">
        <v>364</v>
      </c>
      <c r="C186" s="53" t="s">
        <v>768</v>
      </c>
      <c r="D186" s="53" t="s">
        <v>450</v>
      </c>
      <c r="E186" s="53"/>
      <c r="F186" s="53" t="s">
        <v>969</v>
      </c>
      <c r="G186" s="53" t="s">
        <v>997</v>
      </c>
      <c r="H186" s="39" t="s">
        <v>450</v>
      </c>
      <c r="I186" s="39"/>
      <c r="J186" s="39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39"/>
      <c r="V186" s="39"/>
      <c r="W186" s="39"/>
      <c r="X186" s="39"/>
      <c r="Y186" s="1"/>
      <c r="Z186" s="1"/>
      <c r="AA186" s="1"/>
      <c r="AB186" s="1"/>
      <c r="AC186" s="1"/>
      <c r="AD186" s="1"/>
      <c r="AE186" s="39"/>
      <c r="AF186" s="39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39"/>
      <c r="AW186" s="39"/>
      <c r="AX186" s="1"/>
      <c r="AY186" s="1"/>
      <c r="AZ186" s="1"/>
    </row>
    <row r="187" spans="1:52" x14ac:dyDescent="0.3">
      <c r="A187" s="13" t="s">
        <v>365</v>
      </c>
      <c r="B187" s="14" t="s">
        <v>366</v>
      </c>
      <c r="C187" s="53" t="s">
        <v>769</v>
      </c>
      <c r="D187" s="53" t="s">
        <v>450</v>
      </c>
      <c r="E187" s="53"/>
      <c r="F187" s="53" t="s">
        <v>970</v>
      </c>
      <c r="G187" s="53" t="s">
        <v>997</v>
      </c>
      <c r="H187" s="39" t="s">
        <v>544</v>
      </c>
      <c r="I187" s="39" t="s">
        <v>450</v>
      </c>
      <c r="J187" s="39"/>
      <c r="K187" s="1"/>
      <c r="L187" s="1"/>
      <c r="M187" s="1"/>
      <c r="N187" s="1"/>
      <c r="O187" s="1"/>
      <c r="P187" s="1"/>
      <c r="Q187" s="1"/>
      <c r="R187" s="1"/>
      <c r="S187" s="61" t="s">
        <v>485</v>
      </c>
      <c r="T187" s="1" t="s">
        <v>450</v>
      </c>
      <c r="U187" s="39"/>
      <c r="V187" s="39"/>
      <c r="W187" s="39"/>
      <c r="X187" s="39"/>
      <c r="Y187" s="1"/>
      <c r="Z187" s="1"/>
      <c r="AA187" s="1"/>
      <c r="AB187" s="1"/>
      <c r="AC187" s="1"/>
      <c r="AD187" s="1"/>
      <c r="AE187" s="39"/>
      <c r="AF187" s="39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39"/>
      <c r="AW187" s="39"/>
      <c r="AX187" s="1"/>
      <c r="AY187" s="1"/>
      <c r="AZ187" s="1"/>
    </row>
    <row r="188" spans="1:52" x14ac:dyDescent="0.3">
      <c r="A188" s="24" t="s">
        <v>367</v>
      </c>
      <c r="B188" s="23" t="s">
        <v>368</v>
      </c>
      <c r="C188" s="53" t="s">
        <v>770</v>
      </c>
      <c r="D188" s="53" t="s">
        <v>450</v>
      </c>
      <c r="E188" s="53"/>
      <c r="F188" s="53" t="s">
        <v>971</v>
      </c>
      <c r="G188" s="53" t="s">
        <v>997</v>
      </c>
      <c r="H188" s="39" t="s">
        <v>450</v>
      </c>
      <c r="I188" s="39"/>
      <c r="J188" s="39"/>
      <c r="K188" s="1"/>
      <c r="L188" s="1"/>
      <c r="M188" s="1"/>
      <c r="N188" s="1"/>
      <c r="O188" s="1"/>
      <c r="P188" s="1"/>
      <c r="Q188" s="1"/>
      <c r="R188" s="1"/>
      <c r="S188" s="61" t="s">
        <v>491</v>
      </c>
      <c r="T188" s="1" t="s">
        <v>450</v>
      </c>
      <c r="U188" s="39"/>
      <c r="V188" s="39"/>
      <c r="W188" s="39"/>
      <c r="X188" s="39"/>
      <c r="Y188" s="1"/>
      <c r="Z188" s="1"/>
      <c r="AA188" s="1"/>
      <c r="AB188" s="1"/>
      <c r="AC188" s="1"/>
      <c r="AD188" s="1"/>
      <c r="AE188" s="39"/>
      <c r="AF188" s="39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39"/>
      <c r="AW188" s="39"/>
      <c r="AX188" s="1"/>
      <c r="AY188" s="1"/>
      <c r="AZ188" s="1"/>
    </row>
    <row r="189" spans="1:52" x14ac:dyDescent="0.3">
      <c r="A189" s="4" t="s">
        <v>369</v>
      </c>
      <c r="B189" s="5" t="s">
        <v>370</v>
      </c>
      <c r="C189" s="53" t="s">
        <v>771</v>
      </c>
      <c r="D189" s="53" t="s">
        <v>450</v>
      </c>
      <c r="E189" s="53"/>
      <c r="F189" s="53" t="s">
        <v>972</v>
      </c>
      <c r="G189" s="53" t="s">
        <v>997</v>
      </c>
      <c r="H189" s="39" t="s">
        <v>450</v>
      </c>
      <c r="I189" s="39"/>
      <c r="J189" s="39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39"/>
      <c r="V189" s="39"/>
      <c r="W189" s="39"/>
      <c r="X189" s="39"/>
      <c r="Y189" s="1"/>
      <c r="Z189" s="1"/>
      <c r="AA189" s="1"/>
      <c r="AB189" s="1"/>
      <c r="AC189" s="1"/>
      <c r="AD189" s="1"/>
      <c r="AE189" s="39"/>
      <c r="AF189" s="39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39"/>
      <c r="AW189" s="39"/>
      <c r="AX189" s="1"/>
      <c r="AY189" s="1"/>
      <c r="AZ189" s="1"/>
    </row>
    <row r="190" spans="1:52" x14ac:dyDescent="0.3">
      <c r="A190" s="2" t="s">
        <v>371</v>
      </c>
      <c r="B190" s="3" t="s">
        <v>372</v>
      </c>
      <c r="C190" s="53" t="s">
        <v>772</v>
      </c>
      <c r="D190" s="53" t="s">
        <v>450</v>
      </c>
      <c r="E190" s="53"/>
      <c r="F190" s="53" t="s">
        <v>973</v>
      </c>
      <c r="G190" s="53" t="s">
        <v>997</v>
      </c>
      <c r="H190" s="39" t="s">
        <v>450</v>
      </c>
      <c r="I190" s="39"/>
      <c r="J190" s="39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39"/>
      <c r="V190" s="39"/>
      <c r="W190" s="39"/>
      <c r="X190" s="39"/>
      <c r="Y190" s="1"/>
      <c r="Z190" s="1"/>
      <c r="AA190" s="1"/>
      <c r="AB190" s="1"/>
      <c r="AC190" s="1"/>
      <c r="AD190" s="1"/>
      <c r="AE190" s="39"/>
      <c r="AF190" s="39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39"/>
      <c r="AW190" s="39"/>
      <c r="AX190" s="1"/>
      <c r="AY190" s="1"/>
      <c r="AZ190" s="1"/>
    </row>
    <row r="191" spans="1:52" x14ac:dyDescent="0.3">
      <c r="A191" s="2" t="s">
        <v>373</v>
      </c>
      <c r="B191" s="3" t="s">
        <v>374</v>
      </c>
      <c r="C191" s="53" t="s">
        <v>773</v>
      </c>
      <c r="D191" s="53" t="s">
        <v>450</v>
      </c>
      <c r="E191" s="53"/>
      <c r="F191" s="53" t="s">
        <v>974</v>
      </c>
      <c r="G191" s="53" t="s">
        <v>997</v>
      </c>
      <c r="H191" s="39" t="s">
        <v>450</v>
      </c>
      <c r="I191" s="39"/>
      <c r="J191" s="39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39"/>
      <c r="V191" s="39"/>
      <c r="W191" s="39"/>
      <c r="X191" s="39"/>
      <c r="Y191" s="1"/>
      <c r="Z191" s="1"/>
      <c r="AA191" s="1"/>
      <c r="AB191" s="1"/>
      <c r="AC191" s="1"/>
      <c r="AD191" s="1"/>
      <c r="AE191" s="39"/>
      <c r="AF191" s="39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39"/>
      <c r="AW191" s="39"/>
      <c r="AX191" s="1"/>
      <c r="AY191" s="1"/>
      <c r="AZ191" s="1"/>
    </row>
    <row r="192" spans="1:52" x14ac:dyDescent="0.3">
      <c r="A192" s="2" t="s">
        <v>375</v>
      </c>
      <c r="B192" s="3" t="s">
        <v>376</v>
      </c>
      <c r="C192" s="53" t="s">
        <v>774</v>
      </c>
      <c r="D192" s="53" t="s">
        <v>450</v>
      </c>
      <c r="E192" s="53"/>
      <c r="F192" s="53" t="s">
        <v>975</v>
      </c>
      <c r="G192" s="53" t="s">
        <v>997</v>
      </c>
      <c r="H192" s="39" t="s">
        <v>450</v>
      </c>
      <c r="I192" s="39"/>
      <c r="J192" s="39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39"/>
      <c r="V192" s="39"/>
      <c r="W192" s="39"/>
      <c r="X192" s="39"/>
      <c r="Y192" s="1"/>
      <c r="Z192" s="1"/>
      <c r="AA192" s="1"/>
      <c r="AB192" s="1"/>
      <c r="AC192" s="1"/>
      <c r="AD192" s="1"/>
      <c r="AE192" s="39"/>
      <c r="AF192" s="39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39"/>
      <c r="AW192" s="39"/>
      <c r="AX192" s="1"/>
      <c r="AY192" s="1"/>
      <c r="AZ192" s="1"/>
    </row>
    <row r="193" spans="1:53" x14ac:dyDescent="0.3">
      <c r="A193" s="17" t="s">
        <v>377</v>
      </c>
      <c r="B193" s="18" t="s">
        <v>378</v>
      </c>
      <c r="C193" s="53" t="s">
        <v>775</v>
      </c>
      <c r="D193" s="53" t="s">
        <v>450</v>
      </c>
      <c r="E193" s="53"/>
      <c r="F193" s="53" t="s">
        <v>976</v>
      </c>
      <c r="G193" s="53" t="s">
        <v>997</v>
      </c>
      <c r="H193" s="39" t="s">
        <v>450</v>
      </c>
      <c r="I193" s="39"/>
      <c r="J193" s="39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39"/>
      <c r="V193" s="39"/>
      <c r="W193" s="39"/>
      <c r="X193" s="39"/>
      <c r="Y193" s="1"/>
      <c r="Z193" s="1"/>
      <c r="AA193" s="1"/>
      <c r="AB193" s="1"/>
      <c r="AC193" s="1"/>
      <c r="AD193" s="1"/>
      <c r="AE193" s="39"/>
      <c r="AF193" s="39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39"/>
      <c r="AW193" s="39"/>
      <c r="AX193" s="1"/>
      <c r="AY193" s="1"/>
      <c r="AZ193" s="1"/>
    </row>
    <row r="194" spans="1:53" x14ac:dyDescent="0.3">
      <c r="A194" s="9" t="s">
        <v>379</v>
      </c>
      <c r="B194" s="10" t="s">
        <v>380</v>
      </c>
      <c r="C194" s="53" t="s">
        <v>776</v>
      </c>
      <c r="D194" s="53" t="s">
        <v>450</v>
      </c>
      <c r="E194" s="53"/>
      <c r="F194" s="53" t="s">
        <v>977</v>
      </c>
      <c r="G194" s="53" t="s">
        <v>997</v>
      </c>
      <c r="H194" s="39" t="s">
        <v>450</v>
      </c>
      <c r="I194" s="39"/>
      <c r="J194" s="39"/>
      <c r="K194" s="1"/>
      <c r="L194" s="1"/>
      <c r="M194" s="1"/>
      <c r="N194" s="1"/>
      <c r="O194" s="1"/>
      <c r="P194" s="1"/>
      <c r="Q194" s="1"/>
      <c r="R194" s="1"/>
      <c r="S194" s="61" t="s">
        <v>582</v>
      </c>
      <c r="T194" s="1" t="s">
        <v>450</v>
      </c>
      <c r="U194" s="39"/>
      <c r="V194" s="39"/>
      <c r="W194" s="57" t="s">
        <v>548</v>
      </c>
      <c r="X194" s="39" t="s">
        <v>548</v>
      </c>
      <c r="Y194" s="39" t="s">
        <v>548</v>
      </c>
      <c r="Z194" s="39" t="s">
        <v>548</v>
      </c>
      <c r="AA194" s="1" t="s">
        <v>450</v>
      </c>
      <c r="AB194" s="1"/>
      <c r="AC194" s="1"/>
      <c r="AD194" s="1"/>
      <c r="AE194" s="39"/>
      <c r="AF194" s="39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39"/>
      <c r="AW194" s="39"/>
      <c r="AX194" s="1"/>
      <c r="AY194" s="1"/>
      <c r="AZ194" s="1"/>
    </row>
    <row r="195" spans="1:53" x14ac:dyDescent="0.3">
      <c r="A195" s="9" t="s">
        <v>381</v>
      </c>
      <c r="B195" s="10" t="s">
        <v>382</v>
      </c>
      <c r="C195" s="53" t="s">
        <v>777</v>
      </c>
      <c r="D195" s="53" t="s">
        <v>450</v>
      </c>
      <c r="E195" s="53"/>
      <c r="F195" s="53" t="s">
        <v>978</v>
      </c>
      <c r="G195" s="53" t="s">
        <v>997</v>
      </c>
      <c r="H195" s="39" t="s">
        <v>450</v>
      </c>
      <c r="I195" s="39"/>
      <c r="J195" s="39"/>
      <c r="K195" s="1"/>
      <c r="L195" s="1"/>
      <c r="M195" s="1"/>
      <c r="N195" s="1"/>
      <c r="O195" s="1"/>
      <c r="P195" s="1"/>
      <c r="Q195" s="1"/>
      <c r="R195" s="1"/>
      <c r="S195" s="61" t="s">
        <v>469</v>
      </c>
      <c r="T195" s="1" t="s">
        <v>450</v>
      </c>
      <c r="U195" s="39"/>
      <c r="V195" s="39"/>
      <c r="W195" s="39"/>
      <c r="X195" s="39"/>
      <c r="Y195" s="1"/>
      <c r="Z195" s="1"/>
      <c r="AA195" s="1"/>
      <c r="AB195" s="1"/>
      <c r="AC195" s="1"/>
      <c r="AD195" s="1"/>
      <c r="AE195" s="39"/>
      <c r="AF195" s="39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39"/>
      <c r="AW195" s="39"/>
      <c r="AX195" s="1"/>
      <c r="AY195" s="1"/>
      <c r="AZ195" s="1"/>
    </row>
    <row r="196" spans="1:53" x14ac:dyDescent="0.3">
      <c r="A196" s="21" t="s">
        <v>383</v>
      </c>
      <c r="B196" s="18" t="s">
        <v>384</v>
      </c>
      <c r="C196" s="53" t="s">
        <v>778</v>
      </c>
      <c r="D196" s="53" t="s">
        <v>450</v>
      </c>
      <c r="E196" s="53"/>
      <c r="F196" s="53" t="s">
        <v>979</v>
      </c>
      <c r="G196" s="53" t="s">
        <v>997</v>
      </c>
      <c r="H196" s="39" t="s">
        <v>450</v>
      </c>
      <c r="I196" s="39"/>
      <c r="J196" s="39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39"/>
      <c r="V196" s="39"/>
      <c r="W196" s="39"/>
      <c r="X196" s="39"/>
      <c r="Y196" s="1"/>
      <c r="Z196" s="1"/>
      <c r="AA196" s="1"/>
      <c r="AB196" s="1"/>
      <c r="AC196" s="1"/>
      <c r="AD196" s="1"/>
      <c r="AE196" s="39"/>
      <c r="AF196" s="39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39"/>
      <c r="AW196" s="39"/>
      <c r="AX196" s="1"/>
      <c r="AY196" s="1"/>
      <c r="AZ196" s="1"/>
    </row>
    <row r="197" spans="1:53" x14ac:dyDescent="0.3">
      <c r="A197" s="2" t="s">
        <v>385</v>
      </c>
      <c r="B197" s="3" t="s">
        <v>386</v>
      </c>
      <c r="C197" s="53" t="s">
        <v>779</v>
      </c>
      <c r="D197" s="53" t="s">
        <v>450</v>
      </c>
      <c r="E197" s="53"/>
      <c r="F197" s="53" t="s">
        <v>980</v>
      </c>
      <c r="G197" s="53" t="s">
        <v>997</v>
      </c>
      <c r="H197" s="39" t="s">
        <v>450</v>
      </c>
      <c r="I197" s="39"/>
      <c r="J197" s="39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39"/>
      <c r="V197" s="39"/>
      <c r="W197" s="39"/>
      <c r="X197" s="39"/>
      <c r="Y197" s="1"/>
      <c r="Z197" s="1"/>
      <c r="AA197" s="1"/>
      <c r="AB197" s="1"/>
      <c r="AC197" s="1"/>
      <c r="AD197" s="1"/>
      <c r="AE197" s="39"/>
      <c r="AF197" s="39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39"/>
      <c r="AW197" s="39"/>
      <c r="AX197" s="1"/>
      <c r="AY197" s="1"/>
      <c r="AZ197" s="1"/>
    </row>
    <row r="198" spans="1:53" x14ac:dyDescent="0.3">
      <c r="A198" s="6" t="s">
        <v>387</v>
      </c>
      <c r="B198" s="3" t="s">
        <v>388</v>
      </c>
      <c r="C198" s="53" t="s">
        <v>780</v>
      </c>
      <c r="D198" s="53" t="s">
        <v>450</v>
      </c>
      <c r="E198" s="53"/>
      <c r="F198" s="53" t="s">
        <v>981</v>
      </c>
      <c r="G198" s="53" t="s">
        <v>997</v>
      </c>
      <c r="H198" s="39" t="s">
        <v>450</v>
      </c>
      <c r="I198" s="39"/>
      <c r="J198" s="39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39"/>
      <c r="V198" s="39"/>
      <c r="W198" s="39"/>
      <c r="X198" s="39"/>
      <c r="Y198" s="1"/>
      <c r="Z198" s="1"/>
      <c r="AA198" s="1"/>
      <c r="AB198" s="1"/>
      <c r="AC198" s="1"/>
      <c r="AD198" s="1"/>
      <c r="AE198" s="39"/>
      <c r="AF198" s="39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39"/>
      <c r="AW198" s="39"/>
      <c r="AX198" s="1"/>
      <c r="AY198" s="1"/>
      <c r="AZ198" s="1"/>
    </row>
    <row r="199" spans="1:53" x14ac:dyDescent="0.3">
      <c r="A199" s="6" t="s">
        <v>389</v>
      </c>
      <c r="B199" s="5" t="s">
        <v>390</v>
      </c>
      <c r="C199" s="53" t="s">
        <v>781</v>
      </c>
      <c r="D199" s="53" t="s">
        <v>450</v>
      </c>
      <c r="E199" s="53"/>
      <c r="F199" s="53" t="s">
        <v>982</v>
      </c>
      <c r="G199" s="53" t="s">
        <v>997</v>
      </c>
      <c r="H199" s="39" t="s">
        <v>544</v>
      </c>
      <c r="I199" s="39" t="s">
        <v>450</v>
      </c>
      <c r="J199" s="39"/>
      <c r="K199" s="1"/>
      <c r="L199" s="1"/>
      <c r="M199" s="1"/>
      <c r="N199" s="1"/>
      <c r="O199" s="1"/>
      <c r="P199" s="1"/>
      <c r="Q199" s="1"/>
      <c r="R199" s="1"/>
      <c r="S199" s="61" t="s">
        <v>477</v>
      </c>
      <c r="T199" s="1" t="s">
        <v>450</v>
      </c>
      <c r="U199" s="39"/>
      <c r="V199" s="39"/>
      <c r="W199" s="39"/>
      <c r="X199" s="39"/>
      <c r="Y199" s="1"/>
      <c r="Z199" s="1"/>
      <c r="AA199" s="1"/>
      <c r="AB199" s="1"/>
      <c r="AC199" s="1"/>
      <c r="AD199" s="1"/>
      <c r="AE199" s="39"/>
      <c r="AF199" s="39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39"/>
      <c r="AW199" s="39"/>
      <c r="AX199" s="1"/>
      <c r="AY199" s="1"/>
      <c r="AZ199" s="1"/>
    </row>
    <row r="200" spans="1:53" x14ac:dyDescent="0.3">
      <c r="A200" s="1" t="s">
        <v>401</v>
      </c>
      <c r="B200" s="1"/>
      <c r="C200" s="39"/>
      <c r="D200" s="39"/>
      <c r="E200" s="39"/>
      <c r="F200" s="39"/>
      <c r="G200" s="39"/>
      <c r="H200" s="39"/>
      <c r="I200" s="39"/>
      <c r="J200" s="39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39"/>
      <c r="V200" s="39"/>
      <c r="W200" s="39"/>
      <c r="X200" s="39"/>
      <c r="Y200" s="1"/>
      <c r="Z200" s="1"/>
      <c r="AA200" s="1"/>
      <c r="AB200" s="1"/>
      <c r="AC200" s="1"/>
      <c r="AD200" s="1"/>
      <c r="AE200" s="39"/>
      <c r="AF200" s="39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39"/>
      <c r="AW200" s="39"/>
      <c r="AX200" s="1"/>
      <c r="AY200" s="1"/>
      <c r="AZ200" s="1"/>
      <c r="BA200" t="s">
        <v>401</v>
      </c>
    </row>
  </sheetData>
  <mergeCells count="3">
    <mergeCell ref="K1:R1"/>
    <mergeCell ref="Y1:AD1"/>
    <mergeCell ref="AG1:AU1"/>
  </mergeCells>
  <phoneticPr fontId="5" type="noConversion"/>
  <hyperlinks>
    <hyperlink ref="I40" r:id="rId1" xr:uid="{CA49529C-FD58-4F4E-B701-8EF3386F963C}"/>
    <hyperlink ref="K40" r:id="rId2" xr:uid="{6DBC38FB-2A36-4B20-9DB2-95FEF03EEC4C}"/>
    <hyperlink ref="L40" r:id="rId3" xr:uid="{2BAFE3F4-BBE7-4F24-8259-8A6E3DE8B030}"/>
    <hyperlink ref="M40" r:id="rId4" xr:uid="{7C878E6F-5183-4265-87A0-329DE9FF4401}"/>
    <hyperlink ref="N40" r:id="rId5" xr:uid="{B09221C1-B3D3-4EBB-A792-70A924CF7C18}"/>
    <hyperlink ref="Q40" r:id="rId6" xr:uid="{C3463590-11A0-495E-AAD6-7F7AE4FBA8B1}"/>
    <hyperlink ref="R40" r:id="rId7" xr:uid="{663A3676-7EA1-479C-896F-52358BCB289E}"/>
    <hyperlink ref="W40" r:id="rId8" xr:uid="{9E02658A-474E-44AC-9EAA-6AC735CDE42A}"/>
    <hyperlink ref="AA40" r:id="rId9" xr:uid="{61FF1517-C468-4DE5-AAEA-F8E2FF3E4406}"/>
    <hyperlink ref="AC40" r:id="rId10" xr:uid="{A2334A5C-0421-4A6D-87F3-479A9CCCFC0F}"/>
    <hyperlink ref="AL40" r:id="rId11" xr:uid="{F8B469AF-0286-4FF1-9397-F9F18A8EA3C0}"/>
    <hyperlink ref="AN40" r:id="rId12" xr:uid="{9A11C1B5-2A75-404F-9993-6677658D7AF4}"/>
    <hyperlink ref="AQ40" r:id="rId13" xr:uid="{9D1271D4-1922-4CD6-B7F7-FBFBDE83F5F3}"/>
    <hyperlink ref="S40" r:id="rId14" xr:uid="{D0AB6C37-6B9D-47EC-8D0A-77806CA20D0C}"/>
    <hyperlink ref="T40" r:id="rId15" xr:uid="{F4A25D38-9B54-4891-ADD7-5847F47D292F}"/>
    <hyperlink ref="AV126" r:id="rId16" xr:uid="{FBCEB35F-B6E2-4F67-B8B4-5877D396DE7C}"/>
    <hyperlink ref="H141" r:id="rId17" xr:uid="{8E21AC4D-2B55-4322-8500-18EF0AAA4945}"/>
    <hyperlink ref="S141" r:id="rId18" xr:uid="{6FAC770E-6808-49C7-B999-A64960D57FE6}"/>
    <hyperlink ref="S124" r:id="rId19" xr:uid="{E64D55B8-B9A9-49AC-918A-07C211BBC2C1}"/>
    <hyperlink ref="J47" r:id="rId20" xr:uid="{FA1E6221-E2E3-4FBD-BA1C-BD42AACF12E5}"/>
    <hyperlink ref="S112" r:id="rId21" xr:uid="{1F8D5255-B22D-4414-A8D8-3B049B87A6F8}"/>
    <hyperlink ref="H75" r:id="rId22" xr:uid="{93C8BDD5-3394-4E5A-A379-8D9965881980}"/>
    <hyperlink ref="J52" r:id="rId23" xr:uid="{8EC29D7F-FE80-4AEC-A920-38C5AD31E5A3}"/>
    <hyperlink ref="V77" r:id="rId24" xr:uid="{94158C5D-2AE5-4838-89A5-F5994A0947B5}"/>
    <hyperlink ref="W194" r:id="rId25" xr:uid="{E49C2CCB-EEEF-41E3-8970-33985B86D0C1}"/>
    <hyperlink ref="H71" r:id="rId26" xr:uid="{320E8A5D-8635-4291-8E2A-79B511236ADF}"/>
    <hyperlink ref="S91" r:id="rId27" xr:uid="{3E298329-6DE1-4A7D-A8F1-9DF0921CD912}"/>
    <hyperlink ref="J91" r:id="rId28" xr:uid="{DF06A26B-7E2B-448F-A798-ED6966439855}"/>
    <hyperlink ref="AI67" r:id="rId29" xr:uid="{8804E34A-94DB-42CD-A85B-D25C97850F42}"/>
    <hyperlink ref="Y50" r:id="rId30" xr:uid="{480D6AED-7AEB-475C-9289-DDE2247F5777}"/>
    <hyperlink ref="AI17" r:id="rId31" xr:uid="{E4E9BB60-7D60-45B7-8D0E-BB0BA2D1A3C3}"/>
    <hyperlink ref="AI40" r:id="rId32" xr:uid="{5F6AC823-BFEA-42B8-BA13-099D0DA27D13}"/>
    <hyperlink ref="S71" r:id="rId33" xr:uid="{EA728196-FE1C-42E5-9C82-FD250C1835A3}"/>
    <hyperlink ref="H4" r:id="rId34" xr:uid="{31DF433D-CB5A-42E0-A987-7A40725262C0}"/>
    <hyperlink ref="J8" r:id="rId35" xr:uid="{1FE67250-21AF-4F1A-AF04-E9FD1CBFD1C6}"/>
    <hyperlink ref="S7" r:id="rId36" xr:uid="{FE799200-77EA-4C67-BC4F-B8500F7C3CE3}"/>
    <hyperlink ref="J7" r:id="rId37" xr:uid="{1CF8E90C-596E-415D-A0EF-01C85118CCC8}"/>
    <hyperlink ref="H9" r:id="rId38" xr:uid="{A1CDDF3D-4D08-44B3-9373-70AC9E29ACF8}"/>
    <hyperlink ref="S10" r:id="rId39" xr:uid="{886C616C-C655-40BD-B991-3C037C076855}"/>
    <hyperlink ref="J13" r:id="rId40" xr:uid="{4EF2A8BD-E9D9-4AA8-B44D-88B7538951B6}"/>
    <hyperlink ref="H14" r:id="rId41" xr:uid="{61A33352-CDCE-4586-A702-7BDC8375D716}"/>
    <hyperlink ref="T14" r:id="rId42" xr:uid="{13729220-372D-454B-90AE-08C5F3D0299A}"/>
    <hyperlink ref="H15" r:id="rId43" xr:uid="{C5BF788C-3174-4458-A7CB-A20FA51F23E5}"/>
    <hyperlink ref="AV15" r:id="rId44" xr:uid="{4A5FD3AC-960D-47C9-BBFD-D00722160A69}"/>
    <hyperlink ref="S16" r:id="rId45" xr:uid="{11DE76DE-9025-4E50-B374-F1980CA7A383}"/>
    <hyperlink ref="S17" r:id="rId46" xr:uid="{F4BFB341-F958-4CE6-B04C-EEEA25FD2D24}"/>
    <hyperlink ref="U17" r:id="rId47" xr:uid="{7CB09F53-32DA-4979-B080-57DD08C337E2}"/>
    <hyperlink ref="H18" r:id="rId48" xr:uid="{C2AB6AE9-1414-4668-8F91-5684DDD98221}"/>
    <hyperlink ref="J18" r:id="rId49" xr:uid="{12DB9781-D6F5-40AC-90B8-C662B8ECBF28}"/>
    <hyperlink ref="S19" r:id="rId50" xr:uid="{E54FE318-12B6-4CCE-A0C8-7127EB4203D1}"/>
    <hyperlink ref="S18" r:id="rId51" xr:uid="{0204FA94-47F2-4701-AF02-6279704D4679}"/>
    <hyperlink ref="H22" r:id="rId52" location="panel-11" xr:uid="{58FC13E0-1CDE-4F7C-AE58-9969256E8C11}"/>
    <hyperlink ref="K23" r:id="rId53" xr:uid="{C8515039-302B-4BF4-B06A-E35F7D46954D}"/>
    <hyperlink ref="S27" r:id="rId54" xr:uid="{E03A4965-93E6-4233-AFA7-0A38E07B8B32}"/>
    <hyperlink ref="J30" r:id="rId55" xr:uid="{6D55235C-13BC-438D-856E-2B0C08582A78}"/>
    <hyperlink ref="S31" r:id="rId56" xr:uid="{52E29D2E-A5FF-440D-A8DD-9260EC6C7825}"/>
    <hyperlink ref="S32" r:id="rId57" xr:uid="{9F9F0AFE-26ED-410B-B6EA-89A4056ED188}"/>
    <hyperlink ref="S34" r:id="rId58" xr:uid="{66E29756-F941-48E8-B9A5-02122B728BE2}"/>
    <hyperlink ref="J36" r:id="rId59" xr:uid="{9F1061AC-3CEF-4696-84A6-7283AF10BDCC}"/>
    <hyperlink ref="J37" r:id="rId60" xr:uid="{3E42D593-FDEC-44BC-BE9A-85F481852D6D}"/>
    <hyperlink ref="J39" r:id="rId61" xr:uid="{9A7CD856-3E1A-4507-B3F8-B700F31C6DEF}"/>
    <hyperlink ref="S39" r:id="rId62" xr:uid="{AA8090A2-F13B-4653-9EB6-FA7363E59CFB}"/>
    <hyperlink ref="U40" r:id="rId63" xr:uid="{3DD74096-1C0F-4804-9D5B-4BB29142B7BC}"/>
    <hyperlink ref="S44" r:id="rId64" xr:uid="{1971B456-C2F8-4E07-ADF5-DA1BB3C20AAD}"/>
    <hyperlink ref="J34" r:id="rId65" xr:uid="{DA2277A5-2221-4CC6-AA6C-CE1297E64A67}"/>
    <hyperlink ref="H47" r:id="rId66" xr:uid="{561C168C-4A09-434D-ADD7-65E14A64D2B4}"/>
    <hyperlink ref="J48" r:id="rId67" xr:uid="{F43C270C-040D-487C-AFE7-CB8FB82C8F7D}"/>
    <hyperlink ref="K50" r:id="rId68" xr:uid="{5D09E5C5-B4FB-4091-AFDE-4F8B1E52CA58}"/>
    <hyperlink ref="J51" r:id="rId69" xr:uid="{8A53D3F2-C3BC-4FA8-BF56-E858EC502448}"/>
    <hyperlink ref="S53" r:id="rId70" xr:uid="{8A43C60E-0F5B-4FA4-9D69-F26167768156}"/>
    <hyperlink ref="H54" r:id="rId71" xr:uid="{28EC551B-0BEA-41AE-BC90-6C13AAB206ED}"/>
    <hyperlink ref="S55" r:id="rId72" xr:uid="{7BE04A44-F041-4160-B4CF-A8404DF30378}"/>
    <hyperlink ref="J57" r:id="rId73" xr:uid="{4C94BBBD-C40A-4B14-A873-D7DFE83A2766}"/>
    <hyperlink ref="J60" r:id="rId74" xr:uid="{865F8B28-C7D6-4A52-AEEA-7B166B4A4620}"/>
    <hyperlink ref="J61" r:id="rId75" xr:uid="{EEB715CA-71DE-4982-8463-A12F49FF8D27}"/>
    <hyperlink ref="J62" r:id="rId76" xr:uid="{7BD4EF34-53CF-4AE0-9E9A-1AE9C5D5896F}"/>
    <hyperlink ref="J64" r:id="rId77" xr:uid="{55A04A7D-172D-466A-A190-DE8106E637AD}"/>
    <hyperlink ref="S67" r:id="rId78" xr:uid="{1694953C-CFBC-4E70-BE7B-0388E30E6469}"/>
    <hyperlink ref="H67" r:id="rId79" xr:uid="{6EFF25FD-977D-4FBA-873A-CC6021526215}"/>
    <hyperlink ref="J67" r:id="rId80" xr:uid="{8B9A39CE-E92A-4B8F-A586-E8B67F9A529A}"/>
    <hyperlink ref="AA67" r:id="rId81" xr:uid="{BD471B38-3983-41E7-8F85-FF1A0B1E53B1}"/>
    <hyperlink ref="J68" r:id="rId82" xr:uid="{EBAAD3C2-BF58-4075-9F93-2FFF26D50E6A}"/>
    <hyperlink ref="J70" r:id="rId83" xr:uid="{41FBFA1F-E81E-45E2-A717-A42C137FC6AA}"/>
    <hyperlink ref="K72" r:id="rId84" xr:uid="{72B2527F-DCDC-4092-B2B4-76A8D8A7F871}"/>
    <hyperlink ref="O72" r:id="rId85" xr:uid="{E9A79025-EDA9-4D8E-83A9-E09664F27ABB}"/>
    <hyperlink ref="Q72" r:id="rId86" xr:uid="{7533986E-DA74-42F7-9264-16D16E2B9CC0}"/>
    <hyperlink ref="S72" r:id="rId87" xr:uid="{A166FB5F-E258-443F-8C8D-C4768C5AF45F}"/>
    <hyperlink ref="J74" r:id="rId88" xr:uid="{DB58FDC0-161B-4E17-9D63-03A352090096}"/>
    <hyperlink ref="J77" r:id="rId89" xr:uid="{1E95053F-278F-479F-9C9B-356E72EC7DEC}"/>
    <hyperlink ref="S77" r:id="rId90" xr:uid="{1B535740-5342-4293-9914-1A7008100A8F}"/>
    <hyperlink ref="S84" r:id="rId91" xr:uid="{EBC91328-0318-4985-93A0-4DD7940D27EA}"/>
    <hyperlink ref="J90" r:id="rId92" xr:uid="{8854A7A3-ED11-4F36-B4BF-3993436BA2BC}"/>
    <hyperlink ref="J95" r:id="rId93" xr:uid="{A77D67B6-52BD-45AD-92C4-54F8FF0C659F}"/>
    <hyperlink ref="S95" r:id="rId94" xr:uid="{345C467C-4013-4658-B967-653A54A3D917}"/>
    <hyperlink ref="S100" r:id="rId95" xr:uid="{056879DF-1F2E-401F-8B27-D2206A94762F}"/>
    <hyperlink ref="AC104" r:id="rId96" xr:uid="{3091733F-DB8A-48C5-AB9E-7977C5C3B152}"/>
    <hyperlink ref="S103" r:id="rId97" xr:uid="{5E9B6723-86D8-41B1-8901-C19DB2F455DB}"/>
    <hyperlink ref="S105" r:id="rId98" xr:uid="{FDA30698-4301-4320-BC2A-5FE3FB19FA2C}"/>
    <hyperlink ref="J107" r:id="rId99" xr:uid="{FE4078EA-4DB9-4706-AF5E-6D39ED7253CF}"/>
    <hyperlink ref="H111" r:id="rId100" xr:uid="{AE356AA0-6962-4FE0-AAA4-DA038F47D4DE}"/>
    <hyperlink ref="S113" r:id="rId101" location="general_results" xr:uid="{F741A07C-D513-49A9-88DB-A9DF03985A0F}"/>
    <hyperlink ref="J115" r:id="rId102" xr:uid="{22668A3D-61F3-4356-BAAB-1E167E3D46E0}"/>
    <hyperlink ref="S118" r:id="rId103" xr:uid="{4EFDF193-FFE7-4292-AC10-3361C80567FD}"/>
    <hyperlink ref="J124" r:id="rId104" xr:uid="{4D65C9F0-1095-476A-AC9A-42CAE93F42D3}"/>
    <hyperlink ref="H126" r:id="rId105" xr:uid="{846FB2F5-0BAC-4F75-8D6C-6B1E1E3A8F81}"/>
    <hyperlink ref="U126" r:id="rId106" xr:uid="{3FD970E1-6421-49A6-8DC8-6B869531ADCE}"/>
    <hyperlink ref="Y126" r:id="rId107" xr:uid="{D7967735-FF40-4B9A-A01B-EF5304A2722D}"/>
    <hyperlink ref="H130" r:id="rId108" xr:uid="{444FEB98-BB6B-4C40-ABA2-79FEE9C408BD}"/>
    <hyperlink ref="H132" r:id="rId109" xr:uid="{DADEF251-3620-4B1B-9752-0C297E11DD27}"/>
    <hyperlink ref="S137" r:id="rId110" xr:uid="{2ECBD80C-D6D2-424E-B9A7-027EC0359274}"/>
    <hyperlink ref="J138" r:id="rId111" xr:uid="{16A9DED6-65EC-4F6B-A722-5EAA613DD192}"/>
    <hyperlink ref="S140" r:id="rId112" xr:uid="{4AB70B84-EBED-4971-B948-16CAE1A1888D}"/>
    <hyperlink ref="J143" r:id="rId113" xr:uid="{505A7C4B-21FD-4143-A67D-9D3B126703B4}"/>
    <hyperlink ref="H152" r:id="rId114" xr:uid="{EF37FA26-1500-49EC-AA3F-38E6973936F9}"/>
    <hyperlink ref="K152" r:id="rId115" xr:uid="{346CF625-CD5A-44EB-B531-EA0D1A13E351}"/>
    <hyperlink ref="S152" r:id="rId116" xr:uid="{10E58B49-D9EF-4095-B54B-6E64E0E39549}"/>
    <hyperlink ref="J154" r:id="rId117" xr:uid="{AEA2B003-76ED-4FC4-9562-B9B8AF3C6D38}"/>
    <hyperlink ref="S154" r:id="rId118" xr:uid="{E4763948-9A9C-4E34-9707-ADAACC9C698C}"/>
    <hyperlink ref="S158" r:id="rId119" xr:uid="{73E04902-B704-4367-8140-8BA6948C15B7}"/>
    <hyperlink ref="AD158" r:id="rId120" xr:uid="{EA816720-81ED-4463-BCF4-9F8EE7F2268E}"/>
    <hyperlink ref="H159" r:id="rId121" xr:uid="{69C199FF-E203-49BF-9909-F622A7018426}"/>
    <hyperlink ref="S160" r:id="rId122" xr:uid="{B62D6ED0-D4B3-4567-9771-860B0CD5D3D8}"/>
    <hyperlink ref="J160" r:id="rId123" xr:uid="{28F2AB74-D93B-43BD-B2B2-B252BDA98132}"/>
    <hyperlink ref="S162" r:id="rId124" xr:uid="{931E0D0D-9E15-406D-95E7-55E24FC38977}"/>
    <hyperlink ref="S194" r:id="rId125" xr:uid="{FBBD2C01-21F4-4AD3-969F-271FF25A02F0}"/>
    <hyperlink ref="H173" r:id="rId126" xr:uid="{8AAF3E12-607A-4A54-97A2-ACF1F72AE96C}"/>
    <hyperlink ref="J180" r:id="rId127" xr:uid="{5E20DB05-AAAC-4A14-9DCB-F2F89B07C372}"/>
    <hyperlink ref="S181" r:id="rId128" xr:uid="{5C9E407B-C2BF-40A0-AAEC-9492C6B870C5}"/>
    <hyperlink ref="S187" r:id="rId129" xr:uid="{9E622850-678E-4F26-8103-76F87D400701}"/>
    <hyperlink ref="S188" r:id="rId130" xr:uid="{5AB5C072-A5F5-44B2-A03C-23913BA5E576}"/>
    <hyperlink ref="S195" r:id="rId131" xr:uid="{3BE2BE54-F090-4CBF-BAD6-BC2CDA3456F9}"/>
    <hyperlink ref="S199" r:id="rId132" xr:uid="{3D79D8CA-0642-4C56-B7C3-ABB02CEE570E}"/>
    <hyperlink ref="F36" r:id="rId133" xr:uid="{848DA4FE-4E42-44D1-9269-249BB6DB3133}"/>
    <hyperlink ref="F12" r:id="rId134" xr:uid="{AC2A8B17-36D2-4912-9FDB-B65071D89C54}"/>
    <hyperlink ref="F6" r:id="rId135" xr:uid="{BA7AD357-F213-432A-9DF8-11BAB70E6077}"/>
  </hyperlink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0DE5D-672E-4A3B-9C7C-FE9086179C97}">
  <dimension ref="A1:AU199"/>
  <sheetViews>
    <sheetView zoomScale="70" zoomScaleNormal="70" workbookViewId="0">
      <pane ySplit="2" topLeftCell="A3" activePane="bottomLeft" state="frozen"/>
      <selection activeCell="L1" sqref="L1"/>
      <selection pane="bottomLeft" activeCell="E22" sqref="E22"/>
    </sheetView>
  </sheetViews>
  <sheetFormatPr baseColWidth="10" defaultRowHeight="14.4" x14ac:dyDescent="0.3"/>
  <cols>
    <col min="2" max="2" width="38.59765625" customWidth="1"/>
    <col min="3" max="3" width="26.296875" customWidth="1"/>
    <col min="4" max="4" width="27.3984375" customWidth="1"/>
    <col min="5" max="5" width="27.19921875" customWidth="1"/>
    <col min="6" max="6" width="24.3984375" customWidth="1"/>
    <col min="7" max="7" width="21.19921875" customWidth="1"/>
    <col min="8" max="8" width="24.3984375" customWidth="1"/>
    <col min="9" max="9" width="21.3984375" customWidth="1"/>
    <col min="10" max="10" width="23.19921875" customWidth="1"/>
    <col min="11" max="11" width="21.3984375" customWidth="1"/>
    <col min="12" max="12" width="29.5" customWidth="1"/>
    <col min="13" max="13" width="24.3984375" customWidth="1"/>
    <col min="14" max="14" width="23.69921875" customWidth="1"/>
    <col min="15" max="15" width="25.296875" customWidth="1"/>
    <col min="16" max="16" width="27.296875" customWidth="1"/>
    <col min="17" max="17" width="29.59765625" customWidth="1"/>
    <col min="18" max="18" width="27.09765625" customWidth="1"/>
    <col min="19" max="19" width="23.8984375" customWidth="1"/>
    <col min="20" max="20" width="23.796875" customWidth="1"/>
    <col min="21" max="21" width="27.296875" customWidth="1"/>
    <col min="22" max="22" width="25.296875" customWidth="1"/>
    <col min="23" max="23" width="20.59765625" customWidth="1"/>
    <col min="24" max="24" width="26.5" customWidth="1"/>
    <col min="25" max="25" width="22.296875" customWidth="1"/>
    <col min="26" max="26" width="25.69921875" customWidth="1"/>
    <col min="27" max="27" width="23.59765625" customWidth="1"/>
    <col min="28" max="28" width="37" customWidth="1"/>
    <col min="29" max="29" width="35.5" customWidth="1"/>
    <col min="30" max="30" width="29.796875" customWidth="1"/>
    <col min="31" max="31" width="27.19921875" customWidth="1"/>
    <col min="32" max="32" width="30.59765625" customWidth="1"/>
    <col min="33" max="33" width="26.796875" customWidth="1"/>
    <col min="34" max="34" width="36.296875" customWidth="1"/>
    <col min="35" max="35" width="31.5" customWidth="1"/>
    <col min="36" max="36" width="43.796875" customWidth="1"/>
    <col min="37" max="37" width="29.69921875" customWidth="1"/>
    <col min="38" max="38" width="32.796875" customWidth="1"/>
    <col min="39" max="39" width="27.19921875" customWidth="1"/>
    <col min="40" max="40" width="24.09765625" customWidth="1"/>
    <col min="41" max="41" width="16" customWidth="1"/>
    <col min="42" max="42" width="30.09765625" customWidth="1"/>
    <col min="43" max="43" width="24.796875" customWidth="1"/>
    <col min="45" max="45" width="18.5" customWidth="1"/>
  </cols>
  <sheetData>
    <row r="1" spans="1:47" x14ac:dyDescent="0.3">
      <c r="A1" s="36" t="s">
        <v>0</v>
      </c>
      <c r="B1" s="36" t="s">
        <v>411</v>
      </c>
      <c r="C1" s="41"/>
      <c r="D1" s="41"/>
      <c r="E1" s="60"/>
      <c r="F1" s="100" t="s">
        <v>408</v>
      </c>
      <c r="G1" s="101"/>
      <c r="H1" s="101"/>
      <c r="I1" s="101"/>
      <c r="J1" s="101"/>
      <c r="K1" s="101"/>
      <c r="L1" s="101"/>
      <c r="M1" s="102"/>
      <c r="N1" s="37"/>
      <c r="O1" s="37"/>
      <c r="P1" s="42" t="s">
        <v>442</v>
      </c>
      <c r="Q1" s="42" t="s">
        <v>443</v>
      </c>
      <c r="R1" s="42"/>
      <c r="S1" s="41"/>
      <c r="T1" s="100" t="s">
        <v>409</v>
      </c>
      <c r="U1" s="101"/>
      <c r="V1" s="101"/>
      <c r="W1" s="101"/>
      <c r="X1" s="101"/>
      <c r="Y1" s="102"/>
      <c r="Z1" s="38"/>
      <c r="AA1" s="38"/>
      <c r="AB1" s="100" t="s">
        <v>410</v>
      </c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2"/>
      <c r="AP1" s="42" t="s">
        <v>393</v>
      </c>
      <c r="AQ1" s="42" t="s">
        <v>403</v>
      </c>
      <c r="AR1" s="35" t="s">
        <v>391</v>
      </c>
      <c r="AS1" s="35" t="s">
        <v>440</v>
      </c>
      <c r="AT1" s="35" t="s">
        <v>392</v>
      </c>
      <c r="AU1" s="32" t="s">
        <v>401</v>
      </c>
    </row>
    <row r="2" spans="1:47" x14ac:dyDescent="0.3">
      <c r="A2" s="44"/>
      <c r="B2" s="44"/>
      <c r="C2" s="45" t="s">
        <v>444</v>
      </c>
      <c r="D2" s="45" t="s">
        <v>445</v>
      </c>
      <c r="E2" s="47" t="s">
        <v>470</v>
      </c>
      <c r="F2" s="46" t="s">
        <v>412</v>
      </c>
      <c r="G2" s="46" t="s">
        <v>413</v>
      </c>
      <c r="H2" s="46" t="s">
        <v>414</v>
      </c>
      <c r="I2" s="46" t="s">
        <v>415</v>
      </c>
      <c r="J2" s="46" t="s">
        <v>416</v>
      </c>
      <c r="K2" s="46" t="s">
        <v>417</v>
      </c>
      <c r="L2" s="46" t="s">
        <v>418</v>
      </c>
      <c r="M2" s="46" t="s">
        <v>419</v>
      </c>
      <c r="N2" s="46" t="s">
        <v>458</v>
      </c>
      <c r="O2" s="46" t="s">
        <v>459</v>
      </c>
      <c r="P2" s="47"/>
      <c r="Q2" s="47"/>
      <c r="R2" s="45" t="s">
        <v>405</v>
      </c>
      <c r="S2" s="45" t="s">
        <v>404</v>
      </c>
      <c r="T2" s="46" t="s">
        <v>420</v>
      </c>
      <c r="U2" s="46" t="s">
        <v>421</v>
      </c>
      <c r="V2" s="46" t="s">
        <v>422</v>
      </c>
      <c r="W2" s="46" t="s">
        <v>423</v>
      </c>
      <c r="X2" s="46" t="s">
        <v>451</v>
      </c>
      <c r="Y2" s="46" t="s">
        <v>452</v>
      </c>
      <c r="Z2" s="45" t="s">
        <v>407</v>
      </c>
      <c r="AA2" s="45" t="s">
        <v>406</v>
      </c>
      <c r="AB2" s="46" t="s">
        <v>427</v>
      </c>
      <c r="AC2" s="46" t="s">
        <v>426</v>
      </c>
      <c r="AD2" s="46" t="s">
        <v>428</v>
      </c>
      <c r="AE2" s="46" t="s">
        <v>429</v>
      </c>
      <c r="AF2" s="46" t="s">
        <v>453</v>
      </c>
      <c r="AG2" s="46" t="s">
        <v>454</v>
      </c>
      <c r="AH2" s="46" t="s">
        <v>432</v>
      </c>
      <c r="AI2" s="46" t="s">
        <v>433</v>
      </c>
      <c r="AJ2" s="46" t="s">
        <v>455</v>
      </c>
      <c r="AK2" s="46" t="s">
        <v>435</v>
      </c>
      <c r="AL2" s="46" t="s">
        <v>436</v>
      </c>
      <c r="AM2" s="46" t="s">
        <v>437</v>
      </c>
      <c r="AN2" s="46" t="s">
        <v>438</v>
      </c>
      <c r="AO2" s="46" t="s">
        <v>439</v>
      </c>
      <c r="AP2" s="47"/>
      <c r="AQ2" s="47"/>
      <c r="AR2" s="46"/>
      <c r="AS2" s="46"/>
      <c r="AT2" s="46"/>
    </row>
    <row r="3" spans="1:47" x14ac:dyDescent="0.3">
      <c r="A3" s="2"/>
      <c r="B3" s="48" t="s">
        <v>441</v>
      </c>
      <c r="C3" s="53"/>
      <c r="D3" s="53"/>
      <c r="E3" s="53"/>
      <c r="F3" s="54"/>
      <c r="G3" s="54"/>
      <c r="H3" s="54"/>
      <c r="I3" s="54"/>
      <c r="J3" s="54"/>
      <c r="K3" s="54"/>
      <c r="L3" s="54"/>
      <c r="M3" s="54"/>
      <c r="N3" s="54"/>
      <c r="O3" s="54"/>
      <c r="P3" s="53"/>
      <c r="Q3" s="53"/>
      <c r="R3" s="53"/>
      <c r="S3" s="53"/>
      <c r="T3" s="54"/>
      <c r="U3" s="54"/>
      <c r="V3" s="54"/>
      <c r="W3" s="54"/>
      <c r="X3" s="54"/>
      <c r="Y3" s="54"/>
      <c r="Z3" s="53"/>
      <c r="AA3" s="53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3"/>
      <c r="AQ3" s="53"/>
      <c r="AR3" s="54"/>
      <c r="AS3" s="54"/>
      <c r="AT3" s="54"/>
    </row>
    <row r="4" spans="1:47" x14ac:dyDescent="0.3">
      <c r="A4" s="2" t="s">
        <v>1</v>
      </c>
      <c r="B4" s="3" t="s">
        <v>2</v>
      </c>
      <c r="C4" s="53"/>
      <c r="D4" s="53"/>
      <c r="E4" s="53"/>
      <c r="F4" s="54"/>
      <c r="G4" s="54"/>
      <c r="H4" s="54"/>
      <c r="I4" s="54"/>
      <c r="J4" s="54"/>
      <c r="K4" s="54"/>
      <c r="L4" s="54"/>
      <c r="M4" s="54"/>
      <c r="N4" s="54"/>
      <c r="O4" s="54"/>
      <c r="P4" s="53"/>
      <c r="Q4" s="53"/>
      <c r="R4" s="53"/>
      <c r="S4" s="53"/>
      <c r="T4" s="54"/>
      <c r="U4" s="54"/>
      <c r="V4" s="54"/>
      <c r="W4" s="54"/>
      <c r="X4" s="54"/>
      <c r="Y4" s="54"/>
      <c r="Z4" s="53"/>
      <c r="AA4" s="53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3"/>
      <c r="AQ4" s="53"/>
      <c r="AR4" s="54"/>
      <c r="AS4" s="54"/>
      <c r="AT4" s="54"/>
    </row>
    <row r="5" spans="1:47" x14ac:dyDescent="0.3">
      <c r="A5" s="24" t="s">
        <v>3</v>
      </c>
      <c r="B5" s="23" t="s">
        <v>4</v>
      </c>
      <c r="C5" s="53"/>
      <c r="D5" s="53"/>
      <c r="E5" s="53"/>
      <c r="F5" s="54"/>
      <c r="G5" s="54"/>
      <c r="H5" s="54"/>
      <c r="I5" s="54"/>
      <c r="J5" s="54"/>
      <c r="K5" s="54"/>
      <c r="L5" s="54"/>
      <c r="M5" s="54"/>
      <c r="N5" s="54"/>
      <c r="O5" s="54"/>
      <c r="P5" s="53"/>
      <c r="Q5" s="53"/>
      <c r="R5" s="53"/>
      <c r="S5" s="53"/>
      <c r="T5" s="54"/>
      <c r="U5" s="54"/>
      <c r="V5" s="54"/>
      <c r="W5" s="54"/>
      <c r="X5" s="54"/>
      <c r="Y5" s="54"/>
      <c r="Z5" s="53"/>
      <c r="AA5" s="53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3"/>
      <c r="AQ5" s="53"/>
      <c r="AR5" s="54"/>
      <c r="AS5" s="54"/>
      <c r="AT5" s="54"/>
    </row>
    <row r="6" spans="1:47" x14ac:dyDescent="0.3">
      <c r="A6" s="4" t="s">
        <v>5</v>
      </c>
      <c r="B6" s="5" t="s">
        <v>6</v>
      </c>
      <c r="C6" s="53"/>
      <c r="D6" s="53"/>
      <c r="E6" s="53"/>
      <c r="F6" s="54"/>
      <c r="G6" s="54"/>
      <c r="H6" s="54"/>
      <c r="I6" s="54"/>
      <c r="J6" s="54"/>
      <c r="K6" s="54"/>
      <c r="L6" s="54"/>
      <c r="M6" s="54"/>
      <c r="N6" s="54"/>
      <c r="O6" s="54"/>
      <c r="P6" s="53"/>
      <c r="Q6" s="53"/>
      <c r="R6" s="53"/>
      <c r="S6" s="53"/>
      <c r="T6" s="54"/>
      <c r="U6" s="54"/>
      <c r="V6" s="54"/>
      <c r="W6" s="54"/>
      <c r="X6" s="54"/>
      <c r="Y6" s="54"/>
      <c r="Z6" s="53"/>
      <c r="AA6" s="53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3"/>
      <c r="AQ6" s="53"/>
      <c r="AR6" s="54"/>
      <c r="AS6" s="54"/>
      <c r="AT6" s="54"/>
    </row>
    <row r="7" spans="1:47" x14ac:dyDescent="0.3">
      <c r="A7" s="22" t="s">
        <v>7</v>
      </c>
      <c r="B7" s="23" t="s">
        <v>8</v>
      </c>
      <c r="C7" s="53"/>
      <c r="D7" s="53"/>
      <c r="E7" s="53" t="s">
        <v>494</v>
      </c>
      <c r="F7" s="54"/>
      <c r="G7" s="54"/>
      <c r="H7" s="54"/>
      <c r="I7" s="54"/>
      <c r="J7" s="54"/>
      <c r="K7" s="54"/>
      <c r="L7" s="54"/>
      <c r="M7" s="54"/>
      <c r="N7" s="54" t="s">
        <v>494</v>
      </c>
      <c r="O7" s="54"/>
      <c r="P7" s="53"/>
      <c r="Q7" s="53"/>
      <c r="R7" s="53"/>
      <c r="S7" s="53"/>
      <c r="T7" s="54"/>
      <c r="U7" s="54"/>
      <c r="V7" s="54"/>
      <c r="W7" s="54"/>
      <c r="X7" s="54"/>
      <c r="Y7" s="54"/>
      <c r="Z7" s="53"/>
      <c r="AA7" s="53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3"/>
      <c r="AQ7" s="53"/>
      <c r="AR7" s="54"/>
      <c r="AS7" s="54"/>
      <c r="AT7" s="54"/>
    </row>
    <row r="8" spans="1:47" x14ac:dyDescent="0.3">
      <c r="A8" s="4" t="s">
        <v>9</v>
      </c>
      <c r="B8" s="5" t="s">
        <v>10</v>
      </c>
      <c r="C8" s="53" t="s">
        <v>1007</v>
      </c>
      <c r="D8" s="53"/>
      <c r="E8" s="53"/>
      <c r="F8" s="54"/>
      <c r="G8" s="54"/>
      <c r="H8" s="54"/>
      <c r="I8" s="54"/>
      <c r="J8" s="54"/>
      <c r="K8" s="54"/>
      <c r="L8" s="54"/>
      <c r="M8" s="54"/>
      <c r="N8" s="54"/>
      <c r="O8" s="54"/>
      <c r="P8" s="53"/>
      <c r="Q8" s="53"/>
      <c r="R8" s="53"/>
      <c r="S8" s="53"/>
      <c r="T8" s="54"/>
      <c r="U8" s="54"/>
      <c r="V8" s="54"/>
      <c r="W8" s="54"/>
      <c r="X8" s="54"/>
      <c r="Y8" s="54"/>
      <c r="Z8" s="53"/>
      <c r="AA8" s="53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3"/>
      <c r="AQ8" s="53"/>
      <c r="AR8" s="54"/>
      <c r="AS8" s="54"/>
      <c r="AT8" s="54"/>
    </row>
    <row r="9" spans="1:47" x14ac:dyDescent="0.3">
      <c r="A9" s="22" t="s">
        <v>11</v>
      </c>
      <c r="B9" s="23" t="s">
        <v>12</v>
      </c>
      <c r="C9" s="53"/>
      <c r="D9" s="53"/>
      <c r="E9" s="53"/>
      <c r="F9" s="54"/>
      <c r="G9" s="54"/>
      <c r="H9" s="54"/>
      <c r="I9" s="54"/>
      <c r="J9" s="54"/>
      <c r="K9" s="54"/>
      <c r="L9" s="54"/>
      <c r="M9" s="54"/>
      <c r="N9" s="54"/>
      <c r="O9" s="54"/>
      <c r="P9" s="53"/>
      <c r="Q9" s="53"/>
      <c r="R9" s="53"/>
      <c r="S9" s="53"/>
      <c r="T9" s="54"/>
      <c r="U9" s="54"/>
      <c r="V9" s="54"/>
      <c r="W9" s="54"/>
      <c r="X9" s="54"/>
      <c r="Y9" s="54"/>
      <c r="Z9" s="53"/>
      <c r="AA9" s="53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3"/>
      <c r="AQ9" s="53"/>
      <c r="AR9" s="54"/>
      <c r="AS9" s="54"/>
      <c r="AT9" s="54"/>
    </row>
    <row r="10" spans="1:47" x14ac:dyDescent="0.3">
      <c r="A10" s="4" t="s">
        <v>13</v>
      </c>
      <c r="B10" s="5" t="s">
        <v>14</v>
      </c>
      <c r="C10" s="53"/>
      <c r="D10" s="53"/>
      <c r="E10" s="53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3"/>
      <c r="Q10" s="53"/>
      <c r="R10" s="53"/>
      <c r="S10" s="53"/>
      <c r="T10" s="54"/>
      <c r="U10" s="54"/>
      <c r="V10" s="54"/>
      <c r="W10" s="54"/>
      <c r="X10" s="54"/>
      <c r="Y10" s="54"/>
      <c r="Z10" s="53"/>
      <c r="AA10" s="53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3"/>
      <c r="AQ10" s="53"/>
      <c r="AR10" s="54"/>
      <c r="AS10" s="54"/>
      <c r="AT10" s="54"/>
    </row>
    <row r="11" spans="1:47" x14ac:dyDescent="0.3">
      <c r="A11" s="4" t="s">
        <v>15</v>
      </c>
      <c r="B11" s="5" t="s">
        <v>16</v>
      </c>
      <c r="C11" s="53"/>
      <c r="D11" s="53"/>
      <c r="E11" s="53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3"/>
      <c r="Q11" s="53"/>
      <c r="R11" s="53"/>
      <c r="S11" s="53"/>
      <c r="T11" s="54"/>
      <c r="U11" s="54"/>
      <c r="V11" s="54"/>
      <c r="W11" s="54"/>
      <c r="X11" s="54"/>
      <c r="Y11" s="54"/>
      <c r="Z11" s="53"/>
      <c r="AA11" s="53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3"/>
      <c r="AQ11" s="53"/>
      <c r="AR11" s="54"/>
      <c r="AS11" s="54"/>
      <c r="AT11" s="54"/>
    </row>
    <row r="12" spans="1:47" x14ac:dyDescent="0.3">
      <c r="A12" s="19" t="s">
        <v>17</v>
      </c>
      <c r="B12" s="20" t="s">
        <v>18</v>
      </c>
      <c r="C12" s="53"/>
      <c r="D12" s="53"/>
      <c r="E12" s="53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3"/>
      <c r="Q12" s="53"/>
      <c r="R12" s="53"/>
      <c r="S12" s="53"/>
      <c r="T12" s="54"/>
      <c r="U12" s="54"/>
      <c r="V12" s="54"/>
      <c r="W12" s="54"/>
      <c r="X12" s="54"/>
      <c r="Y12" s="54"/>
      <c r="Z12" s="53"/>
      <c r="AA12" s="53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3"/>
      <c r="AQ12" s="53"/>
      <c r="AR12" s="54"/>
      <c r="AS12" s="54"/>
      <c r="AT12" s="54"/>
    </row>
    <row r="13" spans="1:47" x14ac:dyDescent="0.3">
      <c r="A13" s="4" t="s">
        <v>19</v>
      </c>
      <c r="B13" s="5" t="s">
        <v>20</v>
      </c>
      <c r="C13" s="53"/>
      <c r="D13" s="53"/>
      <c r="E13" s="53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3"/>
      <c r="Q13" s="53"/>
      <c r="R13" s="53"/>
      <c r="S13" s="53"/>
      <c r="T13" s="54"/>
      <c r="U13" s="54"/>
      <c r="V13" s="54"/>
      <c r="W13" s="54"/>
      <c r="X13" s="54"/>
      <c r="Y13" s="54"/>
      <c r="Z13" s="53"/>
      <c r="AA13" s="53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3"/>
      <c r="AQ13" s="53"/>
      <c r="AR13" s="54"/>
      <c r="AS13" s="54"/>
      <c r="AT13" s="54"/>
    </row>
    <row r="14" spans="1:47" x14ac:dyDescent="0.3">
      <c r="A14" s="4" t="s">
        <v>21</v>
      </c>
      <c r="B14" s="5" t="s">
        <v>22</v>
      </c>
      <c r="C14" s="53"/>
      <c r="D14" s="53"/>
      <c r="E14" s="53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3"/>
      <c r="Q14" s="53"/>
      <c r="R14" s="53"/>
      <c r="S14" s="53"/>
      <c r="T14" s="54"/>
      <c r="U14" s="54"/>
      <c r="V14" s="54"/>
      <c r="W14" s="54"/>
      <c r="X14" s="54"/>
      <c r="Y14" s="54"/>
      <c r="Z14" s="53"/>
      <c r="AA14" s="53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3"/>
      <c r="AQ14" s="53"/>
      <c r="AR14" s="54"/>
      <c r="AS14" s="54"/>
      <c r="AT14" s="54"/>
    </row>
    <row r="15" spans="1:47" x14ac:dyDescent="0.3">
      <c r="A15" s="24" t="s">
        <v>23</v>
      </c>
      <c r="B15" s="25" t="s">
        <v>24</v>
      </c>
      <c r="C15" s="53" t="s">
        <v>507</v>
      </c>
      <c r="D15" s="53"/>
      <c r="E15" s="53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3"/>
      <c r="Q15" s="53"/>
      <c r="R15" s="53"/>
      <c r="S15" s="53"/>
      <c r="T15" s="54"/>
      <c r="U15" s="54"/>
      <c r="V15" s="54"/>
      <c r="W15" s="54"/>
      <c r="X15" s="54"/>
      <c r="Y15" s="54"/>
      <c r="Z15" s="53"/>
      <c r="AA15" s="53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3"/>
      <c r="AQ15" s="53"/>
      <c r="AR15" s="54"/>
      <c r="AS15" s="54"/>
      <c r="AT15" s="54"/>
    </row>
    <row r="16" spans="1:47" x14ac:dyDescent="0.3">
      <c r="A16" s="11" t="s">
        <v>25</v>
      </c>
      <c r="B16" s="12" t="s">
        <v>26</v>
      </c>
      <c r="C16" s="53"/>
      <c r="D16" s="53"/>
      <c r="E16" s="53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3"/>
      <c r="Q16" s="53"/>
      <c r="R16" s="53"/>
      <c r="S16" s="53"/>
      <c r="T16" s="54"/>
      <c r="U16" s="54"/>
      <c r="V16" s="54"/>
      <c r="W16" s="54"/>
      <c r="X16" s="54"/>
      <c r="Y16" s="54"/>
      <c r="Z16" s="53"/>
      <c r="AA16" s="53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3"/>
      <c r="AQ16" s="53"/>
      <c r="AR16" s="54"/>
      <c r="AS16" s="54"/>
      <c r="AT16" s="54"/>
    </row>
    <row r="17" spans="1:46" x14ac:dyDescent="0.3">
      <c r="A17" s="4" t="s">
        <v>27</v>
      </c>
      <c r="B17" s="5" t="s">
        <v>28</v>
      </c>
      <c r="C17" s="53" t="s">
        <v>505</v>
      </c>
      <c r="D17" s="53"/>
      <c r="E17" s="53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3"/>
      <c r="Q17" s="53"/>
      <c r="R17" s="53"/>
      <c r="S17" s="53"/>
      <c r="T17" s="54"/>
      <c r="U17" s="54"/>
      <c r="V17" s="54"/>
      <c r="W17" s="54"/>
      <c r="X17" s="54"/>
      <c r="Y17" s="54"/>
      <c r="Z17" s="53"/>
      <c r="AA17" s="53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3"/>
      <c r="AQ17" s="53"/>
      <c r="AR17" s="54"/>
      <c r="AS17" s="54"/>
      <c r="AT17" s="54"/>
    </row>
    <row r="18" spans="1:46" x14ac:dyDescent="0.3">
      <c r="A18" s="24" t="s">
        <v>29</v>
      </c>
      <c r="B18" s="25" t="s">
        <v>30</v>
      </c>
      <c r="C18" s="53"/>
      <c r="D18" s="53"/>
      <c r="E18" s="53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3"/>
      <c r="Q18" s="53"/>
      <c r="R18" s="53"/>
      <c r="S18" s="53"/>
      <c r="T18" s="54"/>
      <c r="U18" s="54"/>
      <c r="V18" s="54"/>
      <c r="W18" s="54"/>
      <c r="X18" s="54"/>
      <c r="Y18" s="54"/>
      <c r="Z18" s="53"/>
      <c r="AA18" s="53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3"/>
      <c r="AQ18" s="53"/>
      <c r="AR18" s="54"/>
      <c r="AS18" s="54"/>
      <c r="AT18" s="54"/>
    </row>
    <row r="19" spans="1:46" x14ac:dyDescent="0.3">
      <c r="A19" s="4" t="s">
        <v>31</v>
      </c>
      <c r="B19" s="5" t="s">
        <v>32</v>
      </c>
      <c r="C19" s="53"/>
      <c r="D19" s="53"/>
      <c r="E19" s="53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3"/>
      <c r="Q19" s="53"/>
      <c r="R19" s="53"/>
      <c r="S19" s="53"/>
      <c r="T19" s="54"/>
      <c r="U19" s="54"/>
      <c r="V19" s="54"/>
      <c r="W19" s="54"/>
      <c r="X19" s="54"/>
      <c r="Y19" s="54"/>
      <c r="Z19" s="53"/>
      <c r="AA19" s="53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3"/>
      <c r="AQ19" s="53"/>
      <c r="AR19" s="54"/>
      <c r="AS19" s="54"/>
      <c r="AT19" s="54"/>
    </row>
    <row r="20" spans="1:46" x14ac:dyDescent="0.3">
      <c r="A20" s="4" t="s">
        <v>33</v>
      </c>
      <c r="B20" s="5" t="s">
        <v>34</v>
      </c>
      <c r="C20" s="53"/>
      <c r="D20" s="55"/>
      <c r="E20" s="55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3"/>
      <c r="Q20" s="53"/>
      <c r="R20" s="53"/>
      <c r="S20" s="53"/>
      <c r="T20" s="54"/>
      <c r="U20" s="54"/>
      <c r="V20" s="54"/>
      <c r="W20" s="54"/>
      <c r="X20" s="54"/>
      <c r="Y20" s="54"/>
      <c r="Z20" s="53"/>
      <c r="AA20" s="53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3"/>
      <c r="AQ20" s="53"/>
      <c r="AR20" s="54"/>
      <c r="AS20" s="54"/>
      <c r="AT20" s="54"/>
    </row>
    <row r="21" spans="1:46" x14ac:dyDescent="0.3">
      <c r="A21" s="11" t="s">
        <v>35</v>
      </c>
      <c r="B21" s="12" t="s">
        <v>36</v>
      </c>
      <c r="C21" s="53"/>
      <c r="D21" s="53"/>
      <c r="E21" s="53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3"/>
      <c r="Q21" s="53"/>
      <c r="R21" s="53"/>
      <c r="S21" s="53"/>
      <c r="T21" s="54"/>
      <c r="U21" s="54"/>
      <c r="V21" s="54"/>
      <c r="W21" s="54"/>
      <c r="X21" s="54"/>
      <c r="Y21" s="54"/>
      <c r="Z21" s="53"/>
      <c r="AA21" s="53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3"/>
      <c r="AQ21" s="53"/>
      <c r="AR21" s="54"/>
      <c r="AS21" s="54"/>
      <c r="AT21" s="54"/>
    </row>
    <row r="22" spans="1:46" x14ac:dyDescent="0.3">
      <c r="A22" s="4" t="s">
        <v>37</v>
      </c>
      <c r="B22" s="5" t="s">
        <v>38</v>
      </c>
      <c r="C22" s="53"/>
      <c r="D22" s="53"/>
      <c r="E22" s="53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3"/>
      <c r="Q22" s="53"/>
      <c r="R22" s="53"/>
      <c r="S22" s="53"/>
      <c r="T22" s="54"/>
      <c r="U22" s="54"/>
      <c r="V22" s="54"/>
      <c r="W22" s="54"/>
      <c r="X22" s="54"/>
      <c r="Y22" s="54"/>
      <c r="Z22" s="53"/>
      <c r="AA22" s="53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3"/>
      <c r="AQ22" s="53"/>
      <c r="AR22" s="54"/>
      <c r="AS22" s="54"/>
      <c r="AT22" s="54"/>
    </row>
    <row r="23" spans="1:46" x14ac:dyDescent="0.3">
      <c r="A23" s="4" t="s">
        <v>39</v>
      </c>
      <c r="B23" s="5" t="s">
        <v>40</v>
      </c>
      <c r="C23" s="53"/>
      <c r="D23" s="53"/>
      <c r="E23" s="53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3"/>
      <c r="Q23" s="53"/>
      <c r="R23" s="53"/>
      <c r="S23" s="53"/>
      <c r="T23" s="54"/>
      <c r="U23" s="54"/>
      <c r="V23" s="54"/>
      <c r="W23" s="54"/>
      <c r="X23" s="54"/>
      <c r="Y23" s="54"/>
      <c r="Z23" s="53"/>
      <c r="AA23" s="53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3"/>
      <c r="AQ23" s="53"/>
      <c r="AR23" s="54"/>
      <c r="AS23" s="54"/>
      <c r="AT23" s="54"/>
    </row>
    <row r="24" spans="1:46" x14ac:dyDescent="0.3">
      <c r="A24" s="4" t="s">
        <v>41</v>
      </c>
      <c r="B24" s="5" t="s">
        <v>42</v>
      </c>
      <c r="C24" s="53"/>
      <c r="D24" s="53"/>
      <c r="E24" s="53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3"/>
      <c r="Q24" s="53"/>
      <c r="R24" s="53"/>
      <c r="S24" s="53"/>
      <c r="T24" s="54"/>
      <c r="U24" s="54"/>
      <c r="V24" s="54"/>
      <c r="W24" s="54"/>
      <c r="X24" s="54"/>
      <c r="Y24" s="54"/>
      <c r="Z24" s="53"/>
      <c r="AA24" s="53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3"/>
      <c r="AQ24" s="53"/>
      <c r="AR24" s="54"/>
      <c r="AS24" s="54"/>
      <c r="AT24" s="54"/>
    </row>
    <row r="25" spans="1:46" x14ac:dyDescent="0.3">
      <c r="A25" s="4" t="s">
        <v>43</v>
      </c>
      <c r="B25" s="5" t="s">
        <v>44</v>
      </c>
      <c r="C25" s="53"/>
      <c r="D25" s="53"/>
      <c r="E25" s="53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3"/>
      <c r="Q25" s="53"/>
      <c r="R25" s="53"/>
      <c r="S25" s="53"/>
      <c r="T25" s="54"/>
      <c r="U25" s="54"/>
      <c r="V25" s="54"/>
      <c r="W25" s="54"/>
      <c r="X25" s="54"/>
      <c r="Y25" s="54"/>
      <c r="Z25" s="53"/>
      <c r="AA25" s="53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3"/>
      <c r="AQ25" s="53"/>
      <c r="AR25" s="54"/>
      <c r="AS25" s="54"/>
      <c r="AT25" s="54"/>
    </row>
    <row r="26" spans="1:46" x14ac:dyDescent="0.3">
      <c r="A26" s="4" t="s">
        <v>45</v>
      </c>
      <c r="B26" s="5" t="s">
        <v>46</v>
      </c>
      <c r="C26" s="53"/>
      <c r="D26" s="53"/>
      <c r="E26" s="53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3"/>
      <c r="Q26" s="53"/>
      <c r="R26" s="53"/>
      <c r="S26" s="53"/>
      <c r="T26" s="54"/>
      <c r="U26" s="54"/>
      <c r="V26" s="54"/>
      <c r="W26" s="54"/>
      <c r="X26" s="54"/>
      <c r="Y26" s="54"/>
      <c r="Z26" s="53"/>
      <c r="AA26" s="53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3"/>
      <c r="AQ26" s="53"/>
      <c r="AR26" s="54"/>
      <c r="AS26" s="54"/>
      <c r="AT26" s="54"/>
    </row>
    <row r="27" spans="1:46" x14ac:dyDescent="0.3">
      <c r="A27" s="24" t="s">
        <v>47</v>
      </c>
      <c r="B27" s="25" t="s">
        <v>48</v>
      </c>
      <c r="C27" s="53"/>
      <c r="D27" s="53"/>
      <c r="E27" s="53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3"/>
      <c r="Q27" s="53"/>
      <c r="R27" s="53"/>
      <c r="S27" s="53"/>
      <c r="T27" s="54"/>
      <c r="U27" s="54"/>
      <c r="V27" s="54"/>
      <c r="W27" s="54"/>
      <c r="X27" s="54"/>
      <c r="Y27" s="54"/>
      <c r="Z27" s="53"/>
      <c r="AA27" s="53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3"/>
      <c r="AQ27" s="53"/>
      <c r="AR27" s="54"/>
      <c r="AS27" s="54"/>
      <c r="AT27" s="54"/>
    </row>
    <row r="28" spans="1:46" x14ac:dyDescent="0.3">
      <c r="A28" s="19" t="s">
        <v>49</v>
      </c>
      <c r="B28" s="20" t="s">
        <v>50</v>
      </c>
      <c r="C28" s="53"/>
      <c r="D28" s="53"/>
      <c r="E28" s="53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3"/>
      <c r="Q28" s="53"/>
      <c r="R28" s="53"/>
      <c r="S28" s="53"/>
      <c r="T28" s="54"/>
      <c r="U28" s="54"/>
      <c r="V28" s="54"/>
      <c r="W28" s="54"/>
      <c r="X28" s="54"/>
      <c r="Y28" s="54"/>
      <c r="Z28" s="53"/>
      <c r="AA28" s="53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3"/>
      <c r="AQ28" s="53"/>
      <c r="AR28" s="54"/>
      <c r="AS28" s="54"/>
      <c r="AT28" s="54"/>
    </row>
    <row r="29" spans="1:46" x14ac:dyDescent="0.3">
      <c r="A29" s="4" t="s">
        <v>51</v>
      </c>
      <c r="B29" s="5" t="s">
        <v>52</v>
      </c>
      <c r="C29" s="53"/>
      <c r="D29" s="53"/>
      <c r="E29" s="53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3"/>
      <c r="Q29" s="53"/>
      <c r="R29" s="53"/>
      <c r="S29" s="53"/>
      <c r="T29" s="54"/>
      <c r="U29" s="54"/>
      <c r="V29" s="54"/>
      <c r="W29" s="54"/>
      <c r="X29" s="54"/>
      <c r="Y29" s="54"/>
      <c r="Z29" s="53"/>
      <c r="AA29" s="53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3"/>
      <c r="AQ29" s="53"/>
      <c r="AR29" s="54"/>
      <c r="AS29" s="54"/>
      <c r="AT29" s="54"/>
    </row>
    <row r="30" spans="1:46" x14ac:dyDescent="0.3">
      <c r="A30" s="19" t="s">
        <v>53</v>
      </c>
      <c r="B30" s="20" t="s">
        <v>54</v>
      </c>
      <c r="C30" s="53"/>
      <c r="D30" s="53"/>
      <c r="E30" s="53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3"/>
      <c r="Q30" s="53"/>
      <c r="R30" s="53"/>
      <c r="S30" s="53"/>
      <c r="T30" s="54"/>
      <c r="U30" s="54"/>
      <c r="V30" s="54"/>
      <c r="W30" s="54"/>
      <c r="X30" s="54"/>
      <c r="Y30" s="54"/>
      <c r="Z30" s="53"/>
      <c r="AA30" s="53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3"/>
      <c r="AQ30" s="53"/>
      <c r="AR30" s="54"/>
      <c r="AS30" s="54"/>
      <c r="AT30" s="54"/>
    </row>
    <row r="31" spans="1:46" x14ac:dyDescent="0.3">
      <c r="A31" s="4" t="s">
        <v>55</v>
      </c>
      <c r="B31" s="5" t="s">
        <v>56</v>
      </c>
      <c r="C31" s="53"/>
      <c r="D31" s="53"/>
      <c r="E31" s="53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3"/>
      <c r="Q31" s="53"/>
      <c r="R31" s="53"/>
      <c r="S31" s="53"/>
      <c r="T31" s="54"/>
      <c r="U31" s="54"/>
      <c r="V31" s="54"/>
      <c r="W31" s="54"/>
      <c r="X31" s="54"/>
      <c r="Y31" s="54"/>
      <c r="Z31" s="53"/>
      <c r="AA31" s="53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3"/>
      <c r="AQ31" s="53"/>
      <c r="AR31" s="54"/>
      <c r="AS31" s="54"/>
      <c r="AT31" s="54"/>
    </row>
    <row r="32" spans="1:46" x14ac:dyDescent="0.3">
      <c r="A32" s="4" t="s">
        <v>57</v>
      </c>
      <c r="B32" s="5" t="s">
        <v>58</v>
      </c>
      <c r="C32" s="53"/>
      <c r="D32" s="53"/>
      <c r="E32" s="53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3"/>
      <c r="Q32" s="53"/>
      <c r="R32" s="53"/>
      <c r="S32" s="53"/>
      <c r="T32" s="54"/>
      <c r="U32" s="54"/>
      <c r="V32" s="54"/>
      <c r="W32" s="54"/>
      <c r="X32" s="54"/>
      <c r="Y32" s="54"/>
      <c r="Z32" s="53"/>
      <c r="AA32" s="53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3"/>
      <c r="AQ32" s="53"/>
      <c r="AR32" s="54"/>
      <c r="AS32" s="54"/>
      <c r="AT32" s="54"/>
    </row>
    <row r="33" spans="1:46" x14ac:dyDescent="0.3">
      <c r="A33" s="19" t="s">
        <v>59</v>
      </c>
      <c r="B33" s="20" t="s">
        <v>60</v>
      </c>
      <c r="C33" s="53"/>
      <c r="D33" s="53"/>
      <c r="E33" s="53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3"/>
      <c r="Q33" s="53"/>
      <c r="R33" s="53"/>
      <c r="S33" s="53"/>
      <c r="T33" s="54"/>
      <c r="U33" s="54"/>
      <c r="V33" s="54"/>
      <c r="W33" s="54"/>
      <c r="X33" s="54"/>
      <c r="Y33" s="54"/>
      <c r="Z33" s="53"/>
      <c r="AA33" s="53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3"/>
      <c r="AQ33" s="53"/>
      <c r="AR33" s="54"/>
      <c r="AS33" s="54"/>
      <c r="AT33" s="54"/>
    </row>
    <row r="34" spans="1:46" x14ac:dyDescent="0.3">
      <c r="A34" s="13" t="s">
        <v>61</v>
      </c>
      <c r="B34" s="14" t="s">
        <v>62</v>
      </c>
      <c r="C34" s="53"/>
      <c r="D34" s="53"/>
      <c r="E34" s="53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3"/>
      <c r="Q34" s="53"/>
      <c r="R34" s="53"/>
      <c r="S34" s="53"/>
      <c r="T34" s="54"/>
      <c r="U34" s="54"/>
      <c r="V34" s="54"/>
      <c r="W34" s="54"/>
      <c r="X34" s="54"/>
      <c r="Y34" s="54"/>
      <c r="Z34" s="53"/>
      <c r="AA34" s="53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3"/>
      <c r="AQ34" s="53"/>
      <c r="AR34" s="54"/>
      <c r="AS34" s="54"/>
      <c r="AT34" s="54"/>
    </row>
    <row r="35" spans="1:46" x14ac:dyDescent="0.3">
      <c r="A35" s="2" t="s">
        <v>63</v>
      </c>
      <c r="B35" s="3" t="s">
        <v>64</v>
      </c>
      <c r="C35" s="53"/>
      <c r="D35" s="53"/>
      <c r="E35" s="53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3"/>
      <c r="Q35" s="53"/>
      <c r="R35" s="53"/>
      <c r="S35" s="53"/>
      <c r="T35" s="54"/>
      <c r="U35" s="54"/>
      <c r="V35" s="54"/>
      <c r="W35" s="54"/>
      <c r="X35" s="54"/>
      <c r="Y35" s="54"/>
      <c r="Z35" s="53"/>
      <c r="AA35" s="53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3"/>
      <c r="AQ35" s="53"/>
      <c r="AR35" s="54"/>
      <c r="AS35" s="54"/>
      <c r="AT35" s="54"/>
    </row>
    <row r="36" spans="1:46" x14ac:dyDescent="0.3">
      <c r="A36" s="22" t="s">
        <v>65</v>
      </c>
      <c r="B36" s="23" t="s">
        <v>66</v>
      </c>
      <c r="C36" s="53"/>
      <c r="D36" s="53"/>
      <c r="E36" s="53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3"/>
      <c r="Q36" s="53"/>
      <c r="R36" s="53"/>
      <c r="S36" s="53"/>
      <c r="T36" s="54"/>
      <c r="U36" s="54"/>
      <c r="V36" s="54"/>
      <c r="W36" s="54"/>
      <c r="X36" s="54"/>
      <c r="Y36" s="54"/>
      <c r="Z36" s="53"/>
      <c r="AA36" s="53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3"/>
      <c r="AQ36" s="53"/>
      <c r="AR36" s="54"/>
      <c r="AS36" s="54"/>
      <c r="AT36" s="54"/>
    </row>
    <row r="37" spans="1:46" x14ac:dyDescent="0.3">
      <c r="A37" s="22" t="s">
        <v>67</v>
      </c>
      <c r="B37" s="23" t="s">
        <v>68</v>
      </c>
      <c r="C37" s="53"/>
      <c r="D37" s="53"/>
      <c r="E37" s="53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3"/>
      <c r="Q37" s="53"/>
      <c r="R37" s="53"/>
      <c r="S37" s="53"/>
      <c r="T37" s="54"/>
      <c r="U37" s="54"/>
      <c r="V37" s="54"/>
      <c r="W37" s="54"/>
      <c r="X37" s="54"/>
      <c r="Y37" s="54"/>
      <c r="Z37" s="53"/>
      <c r="AA37" s="53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3"/>
      <c r="AQ37" s="53"/>
      <c r="AR37" s="54"/>
      <c r="AS37" s="54"/>
      <c r="AT37" s="54"/>
    </row>
    <row r="38" spans="1:46" x14ac:dyDescent="0.3">
      <c r="A38" s="13" t="s">
        <v>69</v>
      </c>
      <c r="B38" s="14" t="s">
        <v>70</v>
      </c>
      <c r="C38" s="53"/>
      <c r="D38" s="53"/>
      <c r="E38" s="53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3"/>
      <c r="Q38" s="53"/>
      <c r="R38" s="53"/>
      <c r="S38" s="53"/>
      <c r="T38" s="54"/>
      <c r="U38" s="54"/>
      <c r="V38" s="54"/>
      <c r="W38" s="54"/>
      <c r="X38" s="54"/>
      <c r="Y38" s="54"/>
      <c r="Z38" s="53"/>
      <c r="AA38" s="53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3"/>
      <c r="AQ38" s="53"/>
      <c r="AR38" s="54"/>
      <c r="AS38" s="54"/>
      <c r="AT38" s="54"/>
    </row>
    <row r="39" spans="1:46" x14ac:dyDescent="0.3">
      <c r="A39" s="9" t="s">
        <v>71</v>
      </c>
      <c r="B39" s="10" t="s">
        <v>72</v>
      </c>
      <c r="C39" s="56"/>
      <c r="D39" s="56"/>
      <c r="E39" s="56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3"/>
      <c r="Q39" s="53"/>
      <c r="R39" s="53"/>
      <c r="S39" s="53"/>
      <c r="T39" s="54"/>
      <c r="U39" s="54"/>
      <c r="V39" s="54"/>
      <c r="W39" s="54"/>
      <c r="X39" s="54"/>
      <c r="Y39" s="54"/>
      <c r="Z39" s="53">
        <f>C39+P39</f>
        <v>0</v>
      </c>
      <c r="AA39" s="53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3"/>
      <c r="AQ39" s="53"/>
      <c r="AR39" s="54"/>
      <c r="AS39" s="54"/>
      <c r="AT39" s="54"/>
    </row>
    <row r="40" spans="1:46" x14ac:dyDescent="0.3">
      <c r="A40" s="2" t="s">
        <v>73</v>
      </c>
      <c r="B40" s="3" t="s">
        <v>74</v>
      </c>
      <c r="C40" s="53"/>
      <c r="D40" s="53"/>
      <c r="E40" s="53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3"/>
      <c r="Q40" s="53"/>
      <c r="R40" s="53"/>
      <c r="S40" s="53"/>
      <c r="T40" s="54"/>
      <c r="U40" s="54"/>
      <c r="V40" s="54"/>
      <c r="W40" s="54"/>
      <c r="X40" s="54"/>
      <c r="Y40" s="54"/>
      <c r="Z40" s="53"/>
      <c r="AA40" s="53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3"/>
      <c r="AQ40" s="53"/>
      <c r="AR40" s="54"/>
      <c r="AS40" s="54"/>
      <c r="AT40" s="54"/>
    </row>
    <row r="41" spans="1:46" x14ac:dyDescent="0.3">
      <c r="A41" s="22" t="s">
        <v>75</v>
      </c>
      <c r="B41" s="23" t="s">
        <v>76</v>
      </c>
      <c r="C41" s="53"/>
      <c r="D41" s="53"/>
      <c r="E41" s="53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3"/>
      <c r="Q41" s="53"/>
      <c r="R41" s="53"/>
      <c r="S41" s="53"/>
      <c r="T41" s="54"/>
      <c r="U41" s="54"/>
      <c r="V41" s="54"/>
      <c r="W41" s="54"/>
      <c r="X41" s="54"/>
      <c r="Y41" s="54"/>
      <c r="Z41" s="53"/>
      <c r="AA41" s="53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3"/>
      <c r="AQ41" s="53"/>
      <c r="AR41" s="54"/>
      <c r="AS41" s="54"/>
      <c r="AT41" s="54"/>
    </row>
    <row r="42" spans="1:46" x14ac:dyDescent="0.3">
      <c r="A42" s="4" t="s">
        <v>77</v>
      </c>
      <c r="B42" s="5" t="s">
        <v>78</v>
      </c>
      <c r="C42" s="53"/>
      <c r="D42" s="53"/>
      <c r="E42" s="53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3"/>
      <c r="Q42" s="53"/>
      <c r="R42" s="53"/>
      <c r="S42" s="53"/>
      <c r="T42" s="54"/>
      <c r="U42" s="54"/>
      <c r="V42" s="54"/>
      <c r="W42" s="54"/>
      <c r="X42" s="54"/>
      <c r="Y42" s="54"/>
      <c r="Z42" s="53"/>
      <c r="AA42" s="53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3"/>
      <c r="AQ42" s="53"/>
      <c r="AR42" s="54"/>
      <c r="AS42" s="54"/>
      <c r="AT42" s="54"/>
    </row>
    <row r="43" spans="1:46" x14ac:dyDescent="0.3">
      <c r="A43" s="22" t="s">
        <v>79</v>
      </c>
      <c r="B43" s="23" t="s">
        <v>80</v>
      </c>
      <c r="C43" s="53"/>
      <c r="D43" s="53"/>
      <c r="E43" s="53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3"/>
      <c r="Q43" s="53"/>
      <c r="R43" s="53"/>
      <c r="S43" s="53"/>
      <c r="T43" s="54"/>
      <c r="U43" s="54"/>
      <c r="V43" s="54"/>
      <c r="W43" s="54"/>
      <c r="X43" s="54"/>
      <c r="Y43" s="54"/>
      <c r="Z43" s="53"/>
      <c r="AA43" s="53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3"/>
      <c r="AQ43" s="53"/>
      <c r="AR43" s="54"/>
      <c r="AS43" s="54"/>
      <c r="AT43" s="54"/>
    </row>
    <row r="44" spans="1:46" x14ac:dyDescent="0.3">
      <c r="A44" s="2" t="s">
        <v>81</v>
      </c>
      <c r="B44" s="3" t="s">
        <v>82</v>
      </c>
      <c r="C44" s="53"/>
      <c r="D44" s="53"/>
      <c r="E44" s="53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3"/>
      <c r="Q44" s="53"/>
      <c r="R44" s="53"/>
      <c r="S44" s="53"/>
      <c r="T44" s="54"/>
      <c r="U44" s="54"/>
      <c r="V44" s="54"/>
      <c r="W44" s="54"/>
      <c r="X44" s="54"/>
      <c r="Y44" s="54"/>
      <c r="Z44" s="53"/>
      <c r="AA44" s="53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3"/>
      <c r="AQ44" s="53"/>
      <c r="AR44" s="54"/>
      <c r="AS44" s="54"/>
      <c r="AT44" s="54"/>
    </row>
    <row r="45" spans="1:46" x14ac:dyDescent="0.3">
      <c r="A45" s="2" t="s">
        <v>83</v>
      </c>
      <c r="B45" s="3" t="s">
        <v>84</v>
      </c>
      <c r="C45" s="53"/>
      <c r="D45" s="53"/>
      <c r="E45" s="53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3"/>
      <c r="Q45" s="53"/>
      <c r="R45" s="53"/>
      <c r="S45" s="53"/>
      <c r="T45" s="54"/>
      <c r="U45" s="54"/>
      <c r="V45" s="54"/>
      <c r="W45" s="54"/>
      <c r="X45" s="54"/>
      <c r="Y45" s="54"/>
      <c r="Z45" s="53"/>
      <c r="AA45" s="53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3"/>
      <c r="AQ45" s="53"/>
      <c r="AR45" s="54"/>
      <c r="AS45" s="54"/>
      <c r="AT45" s="54"/>
    </row>
    <row r="46" spans="1:46" x14ac:dyDescent="0.3">
      <c r="A46" s="2" t="s">
        <v>85</v>
      </c>
      <c r="B46" s="3" t="s">
        <v>86</v>
      </c>
      <c r="C46" s="53"/>
      <c r="D46" s="53"/>
      <c r="E46" s="53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3"/>
      <c r="Q46" s="53"/>
      <c r="R46" s="53"/>
      <c r="S46" s="53"/>
      <c r="T46" s="54"/>
      <c r="U46" s="54"/>
      <c r="V46" s="54"/>
      <c r="W46" s="54"/>
      <c r="X46" s="54"/>
      <c r="Y46" s="54"/>
      <c r="Z46" s="53"/>
      <c r="AA46" s="53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3"/>
      <c r="AQ46" s="53"/>
      <c r="AR46" s="54"/>
      <c r="AS46" s="54"/>
      <c r="AT46" s="54"/>
    </row>
    <row r="47" spans="1:46" x14ac:dyDescent="0.3">
      <c r="A47" s="2" t="s">
        <v>87</v>
      </c>
      <c r="B47" s="3" t="s">
        <v>88</v>
      </c>
      <c r="C47" s="53"/>
      <c r="D47" s="53"/>
      <c r="E47" s="53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3"/>
      <c r="Q47" s="53"/>
      <c r="R47" s="53"/>
      <c r="S47" s="53"/>
      <c r="T47" s="54"/>
      <c r="U47" s="54"/>
      <c r="V47" s="54"/>
      <c r="W47" s="54"/>
      <c r="X47" s="54"/>
      <c r="Y47" s="54"/>
      <c r="Z47" s="53"/>
      <c r="AA47" s="53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3"/>
      <c r="AQ47" s="53"/>
      <c r="AR47" s="54"/>
      <c r="AS47" s="54"/>
      <c r="AT47" s="54"/>
    </row>
    <row r="48" spans="1:46" x14ac:dyDescent="0.3">
      <c r="A48" s="13" t="s">
        <v>89</v>
      </c>
      <c r="B48" s="14" t="s">
        <v>90</v>
      </c>
      <c r="C48" s="53"/>
      <c r="D48" s="53"/>
      <c r="E48" s="53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3"/>
      <c r="Q48" s="53"/>
      <c r="R48" s="53"/>
      <c r="S48" s="53"/>
      <c r="T48" s="54"/>
      <c r="U48" s="54"/>
      <c r="V48" s="54"/>
      <c r="W48" s="54"/>
      <c r="X48" s="54"/>
      <c r="Y48" s="54"/>
      <c r="Z48" s="53"/>
      <c r="AA48" s="53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3"/>
      <c r="AQ48" s="53"/>
      <c r="AR48" s="54"/>
      <c r="AS48" s="54"/>
      <c r="AT48" s="54"/>
    </row>
    <row r="49" spans="1:46" x14ac:dyDescent="0.3">
      <c r="A49" s="9" t="s">
        <v>91</v>
      </c>
      <c r="B49" s="10" t="s">
        <v>92</v>
      </c>
      <c r="C49" s="53"/>
      <c r="D49" s="53"/>
      <c r="E49" s="53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3"/>
      <c r="Q49" s="53"/>
      <c r="R49" s="53"/>
      <c r="S49" s="53"/>
      <c r="T49" s="54"/>
      <c r="U49" s="54"/>
      <c r="V49" s="54"/>
      <c r="W49" s="54"/>
      <c r="X49" s="54"/>
      <c r="Y49" s="54"/>
      <c r="Z49" s="53"/>
      <c r="AA49" s="53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3"/>
      <c r="AQ49" s="53"/>
      <c r="AR49" s="54"/>
      <c r="AS49" s="54"/>
      <c r="AT49" s="54"/>
    </row>
    <row r="50" spans="1:46" x14ac:dyDescent="0.3">
      <c r="A50" s="2" t="s">
        <v>93</v>
      </c>
      <c r="B50" s="3" t="s">
        <v>94</v>
      </c>
      <c r="C50" s="53"/>
      <c r="D50" s="53"/>
      <c r="E50" s="53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3"/>
      <c r="Q50" s="53"/>
      <c r="R50" s="53"/>
      <c r="S50" s="53"/>
      <c r="T50" s="54"/>
      <c r="U50" s="54"/>
      <c r="V50" s="54"/>
      <c r="W50" s="54"/>
      <c r="X50" s="54"/>
      <c r="Y50" s="54"/>
      <c r="Z50" s="53"/>
      <c r="AA50" s="53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3"/>
      <c r="AQ50" s="53"/>
      <c r="AR50" s="54"/>
      <c r="AS50" s="54"/>
      <c r="AT50" s="54"/>
    </row>
    <row r="51" spans="1:46" x14ac:dyDescent="0.3">
      <c r="A51" s="2" t="s">
        <v>95</v>
      </c>
      <c r="B51" s="3" t="s">
        <v>96</v>
      </c>
      <c r="C51" s="53"/>
      <c r="D51" s="53"/>
      <c r="E51" s="53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3"/>
      <c r="Q51" s="53"/>
      <c r="R51" s="53"/>
      <c r="S51" s="53"/>
      <c r="T51" s="54"/>
      <c r="U51" s="54"/>
      <c r="V51" s="54"/>
      <c r="W51" s="54"/>
      <c r="X51" s="54"/>
      <c r="Y51" s="54"/>
      <c r="Z51" s="53"/>
      <c r="AA51" s="53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3"/>
      <c r="AQ51" s="53"/>
      <c r="AR51" s="54"/>
      <c r="AS51" s="54"/>
      <c r="AT51" s="54"/>
    </row>
    <row r="52" spans="1:46" x14ac:dyDescent="0.3">
      <c r="A52" s="2" t="s">
        <v>97</v>
      </c>
      <c r="B52" s="3" t="s">
        <v>98</v>
      </c>
      <c r="C52" s="53"/>
      <c r="D52" s="53"/>
      <c r="E52" s="53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3"/>
      <c r="Q52" s="53"/>
      <c r="R52" s="53"/>
      <c r="S52" s="53"/>
      <c r="T52" s="54"/>
      <c r="U52" s="54"/>
      <c r="V52" s="54"/>
      <c r="W52" s="54"/>
      <c r="X52" s="54"/>
      <c r="Y52" s="54"/>
      <c r="Z52" s="53"/>
      <c r="AA52" s="53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3"/>
      <c r="AQ52" s="53"/>
      <c r="AR52" s="54"/>
      <c r="AS52" s="54"/>
      <c r="AT52" s="54"/>
    </row>
    <row r="53" spans="1:46" x14ac:dyDescent="0.3">
      <c r="A53" s="24" t="s">
        <v>99</v>
      </c>
      <c r="B53" s="25" t="s">
        <v>100</v>
      </c>
      <c r="C53" s="53"/>
      <c r="D53" s="53"/>
      <c r="E53" s="53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3"/>
      <c r="Q53" s="53"/>
      <c r="R53" s="53"/>
      <c r="S53" s="53"/>
      <c r="T53" s="54"/>
      <c r="U53" s="54"/>
      <c r="V53" s="54"/>
      <c r="W53" s="54"/>
      <c r="X53" s="54"/>
      <c r="Y53" s="54"/>
      <c r="Z53" s="53"/>
      <c r="AA53" s="53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3"/>
      <c r="AQ53" s="53"/>
      <c r="AR53" s="54"/>
      <c r="AS53" s="54"/>
      <c r="AT53" s="54"/>
    </row>
    <row r="54" spans="1:46" x14ac:dyDescent="0.3">
      <c r="A54" s="2" t="s">
        <v>101</v>
      </c>
      <c r="B54" s="3" t="s">
        <v>102</v>
      </c>
      <c r="C54" s="53"/>
      <c r="D54" s="53"/>
      <c r="E54" s="53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3"/>
      <c r="Q54" s="53"/>
      <c r="R54" s="53"/>
      <c r="S54" s="53"/>
      <c r="T54" s="54"/>
      <c r="U54" s="54"/>
      <c r="V54" s="54"/>
      <c r="W54" s="54"/>
      <c r="X54" s="54"/>
      <c r="Y54" s="54"/>
      <c r="Z54" s="53"/>
      <c r="AA54" s="53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3"/>
      <c r="AQ54" s="53"/>
      <c r="AR54" s="54"/>
      <c r="AS54" s="54"/>
      <c r="AT54" s="54"/>
    </row>
    <row r="55" spans="1:46" x14ac:dyDescent="0.3">
      <c r="A55" s="17" t="s">
        <v>103</v>
      </c>
      <c r="B55" s="18" t="s">
        <v>104</v>
      </c>
      <c r="C55" s="53"/>
      <c r="D55" s="53"/>
      <c r="E55" s="53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3"/>
      <c r="Q55" s="53"/>
      <c r="R55" s="53"/>
      <c r="S55" s="53"/>
      <c r="T55" s="54"/>
      <c r="U55" s="54"/>
      <c r="V55" s="54"/>
      <c r="W55" s="54"/>
      <c r="X55" s="54"/>
      <c r="Y55" s="54"/>
      <c r="Z55" s="53"/>
      <c r="AA55" s="53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3"/>
      <c r="AQ55" s="53"/>
      <c r="AR55" s="54"/>
      <c r="AS55" s="54"/>
      <c r="AT55" s="54"/>
    </row>
    <row r="56" spans="1:46" x14ac:dyDescent="0.3">
      <c r="A56" s="22" t="s">
        <v>105</v>
      </c>
      <c r="B56" s="23" t="s">
        <v>106</v>
      </c>
      <c r="C56" s="53"/>
      <c r="D56" s="53"/>
      <c r="E56" s="53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3"/>
      <c r="Q56" s="53"/>
      <c r="R56" s="53"/>
      <c r="S56" s="53"/>
      <c r="T56" s="54"/>
      <c r="U56" s="54"/>
      <c r="V56" s="54"/>
      <c r="W56" s="54"/>
      <c r="X56" s="54"/>
      <c r="Y56" s="54"/>
      <c r="Z56" s="53"/>
      <c r="AA56" s="53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3"/>
      <c r="AQ56" s="53"/>
      <c r="AR56" s="54"/>
      <c r="AS56" s="54"/>
      <c r="AT56" s="54"/>
    </row>
    <row r="57" spans="1:46" x14ac:dyDescent="0.3">
      <c r="A57" s="2" t="s">
        <v>107</v>
      </c>
      <c r="B57" s="3" t="s">
        <v>108</v>
      </c>
      <c r="C57" s="53"/>
      <c r="D57" s="53"/>
      <c r="E57" s="53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3"/>
      <c r="Q57" s="53"/>
      <c r="R57" s="53"/>
      <c r="S57" s="53"/>
      <c r="T57" s="54"/>
      <c r="U57" s="54"/>
      <c r="V57" s="54"/>
      <c r="W57" s="54"/>
      <c r="X57" s="54"/>
      <c r="Y57" s="54"/>
      <c r="Z57" s="53"/>
      <c r="AA57" s="53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3"/>
      <c r="AQ57" s="53"/>
      <c r="AR57" s="54"/>
      <c r="AS57" s="54"/>
      <c r="AT57" s="54"/>
    </row>
    <row r="58" spans="1:46" x14ac:dyDescent="0.3">
      <c r="A58" s="2" t="s">
        <v>109</v>
      </c>
      <c r="B58" s="3" t="s">
        <v>110</v>
      </c>
      <c r="C58" s="53"/>
      <c r="D58" s="53"/>
      <c r="E58" s="53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3"/>
      <c r="Q58" s="53"/>
      <c r="R58" s="53"/>
      <c r="S58" s="53"/>
      <c r="T58" s="54"/>
      <c r="U58" s="54"/>
      <c r="V58" s="54"/>
      <c r="W58" s="54"/>
      <c r="X58" s="54"/>
      <c r="Y58" s="54"/>
      <c r="Z58" s="53"/>
      <c r="AA58" s="53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3"/>
      <c r="AQ58" s="53"/>
      <c r="AR58" s="54"/>
      <c r="AS58" s="54"/>
      <c r="AT58" s="54"/>
    </row>
    <row r="59" spans="1:46" x14ac:dyDescent="0.3">
      <c r="A59" s="2" t="s">
        <v>111</v>
      </c>
      <c r="B59" s="3" t="s">
        <v>112</v>
      </c>
      <c r="C59" s="53"/>
      <c r="D59" s="53"/>
      <c r="E59" s="53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3"/>
      <c r="Q59" s="53"/>
      <c r="R59" s="53"/>
      <c r="S59" s="53"/>
      <c r="T59" s="54"/>
      <c r="U59" s="54"/>
      <c r="V59" s="54"/>
      <c r="W59" s="54"/>
      <c r="X59" s="54"/>
      <c r="Y59" s="54"/>
      <c r="Z59" s="53"/>
      <c r="AA59" s="53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3"/>
      <c r="AQ59" s="53"/>
      <c r="AR59" s="54"/>
      <c r="AS59" s="54"/>
      <c r="AT59" s="54"/>
    </row>
    <row r="60" spans="1:46" x14ac:dyDescent="0.3">
      <c r="A60" s="2" t="s">
        <v>113</v>
      </c>
      <c r="B60" s="5" t="s">
        <v>114</v>
      </c>
      <c r="C60" s="53"/>
      <c r="D60" s="53"/>
      <c r="E60" s="53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3"/>
      <c r="Q60" s="53"/>
      <c r="R60" s="53"/>
      <c r="S60" s="53"/>
      <c r="T60" s="54"/>
      <c r="U60" s="54"/>
      <c r="V60" s="54"/>
      <c r="W60" s="54"/>
      <c r="X60" s="54"/>
      <c r="Y60" s="54"/>
      <c r="Z60" s="53"/>
      <c r="AA60" s="53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3"/>
      <c r="AQ60" s="53"/>
      <c r="AR60" s="54"/>
      <c r="AS60" s="54"/>
      <c r="AT60" s="54"/>
    </row>
    <row r="61" spans="1:46" x14ac:dyDescent="0.3">
      <c r="A61" s="22" t="s">
        <v>115</v>
      </c>
      <c r="B61" s="23" t="s">
        <v>116</v>
      </c>
      <c r="C61" s="53"/>
      <c r="D61" s="53"/>
      <c r="E61" s="53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3"/>
      <c r="Q61" s="53"/>
      <c r="R61" s="53"/>
      <c r="S61" s="53"/>
      <c r="T61" s="54"/>
      <c r="U61" s="54"/>
      <c r="V61" s="54"/>
      <c r="W61" s="54"/>
      <c r="X61" s="54"/>
      <c r="Y61" s="54"/>
      <c r="Z61" s="53"/>
      <c r="AA61" s="53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3"/>
      <c r="AQ61" s="53"/>
      <c r="AR61" s="54"/>
      <c r="AS61" s="54"/>
      <c r="AT61" s="54"/>
    </row>
    <row r="62" spans="1:46" x14ac:dyDescent="0.3">
      <c r="A62" s="13" t="s">
        <v>117</v>
      </c>
      <c r="B62" s="14" t="s">
        <v>118</v>
      </c>
      <c r="C62" s="53"/>
      <c r="D62" s="53"/>
      <c r="E62" s="53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3"/>
      <c r="Q62" s="53"/>
      <c r="R62" s="53"/>
      <c r="S62" s="53"/>
      <c r="T62" s="54"/>
      <c r="U62" s="54"/>
      <c r="V62" s="54"/>
      <c r="W62" s="54"/>
      <c r="X62" s="54"/>
      <c r="Y62" s="54"/>
      <c r="Z62" s="53"/>
      <c r="AA62" s="53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3"/>
      <c r="AQ62" s="53"/>
      <c r="AR62" s="54"/>
      <c r="AS62" s="54"/>
      <c r="AT62" s="54"/>
    </row>
    <row r="63" spans="1:46" x14ac:dyDescent="0.3">
      <c r="A63" s="17" t="s">
        <v>119</v>
      </c>
      <c r="B63" s="18" t="s">
        <v>120</v>
      </c>
      <c r="C63" s="53"/>
      <c r="D63" s="53"/>
      <c r="E63" s="53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3"/>
      <c r="Q63" s="53"/>
      <c r="R63" s="53"/>
      <c r="S63" s="53"/>
      <c r="T63" s="54"/>
      <c r="U63" s="54"/>
      <c r="V63" s="54"/>
      <c r="W63" s="54"/>
      <c r="X63" s="54"/>
      <c r="Y63" s="54"/>
      <c r="Z63" s="53"/>
      <c r="AA63" s="53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3"/>
      <c r="AQ63" s="53"/>
      <c r="AR63" s="54"/>
      <c r="AS63" s="54"/>
      <c r="AT63" s="54"/>
    </row>
    <row r="64" spans="1:46" x14ac:dyDescent="0.3">
      <c r="A64" s="22" t="s">
        <v>121</v>
      </c>
      <c r="B64" s="23" t="s">
        <v>122</v>
      </c>
      <c r="C64" s="53"/>
      <c r="D64" s="53"/>
      <c r="E64" s="53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3"/>
      <c r="Q64" s="53"/>
      <c r="R64" s="53"/>
      <c r="S64" s="53"/>
      <c r="T64" s="54"/>
      <c r="U64" s="54"/>
      <c r="V64" s="54"/>
      <c r="W64" s="54"/>
      <c r="X64" s="54"/>
      <c r="Y64" s="54"/>
      <c r="Z64" s="53"/>
      <c r="AA64" s="53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3"/>
      <c r="AQ64" s="53"/>
      <c r="AR64" s="54"/>
      <c r="AS64" s="54"/>
      <c r="AT64" s="54"/>
    </row>
    <row r="65" spans="1:46" x14ac:dyDescent="0.3">
      <c r="A65" s="4" t="s">
        <v>123</v>
      </c>
      <c r="B65" s="5" t="s">
        <v>124</v>
      </c>
      <c r="C65" s="53"/>
      <c r="D65" s="53"/>
      <c r="E65" s="53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3"/>
      <c r="Q65" s="53"/>
      <c r="R65" s="53"/>
      <c r="S65" s="53"/>
      <c r="T65" s="54"/>
      <c r="U65" s="54"/>
      <c r="V65" s="54"/>
      <c r="W65" s="54"/>
      <c r="X65" s="54"/>
      <c r="Y65" s="54"/>
      <c r="Z65" s="53"/>
      <c r="AA65" s="53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3"/>
      <c r="AQ65" s="53"/>
      <c r="AR65" s="54"/>
      <c r="AS65" s="54"/>
      <c r="AT65" s="54"/>
    </row>
    <row r="66" spans="1:46" x14ac:dyDescent="0.3">
      <c r="A66" s="11" t="s">
        <v>125</v>
      </c>
      <c r="B66" s="12" t="s">
        <v>126</v>
      </c>
      <c r="C66" s="53"/>
      <c r="D66" s="53"/>
      <c r="E66" s="53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3"/>
      <c r="Q66" s="53"/>
      <c r="R66" s="53"/>
      <c r="S66" s="53"/>
      <c r="T66" s="54"/>
      <c r="U66" s="54"/>
      <c r="V66" s="54"/>
      <c r="W66" s="54"/>
      <c r="X66" s="54"/>
      <c r="Y66" s="54"/>
      <c r="Z66" s="53"/>
      <c r="AA66" s="53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3"/>
      <c r="AQ66" s="53"/>
      <c r="AR66" s="54"/>
      <c r="AS66" s="54"/>
      <c r="AT66" s="54"/>
    </row>
    <row r="67" spans="1:46" x14ac:dyDescent="0.3">
      <c r="A67" s="2" t="s">
        <v>127</v>
      </c>
      <c r="B67" s="3" t="s">
        <v>128</v>
      </c>
      <c r="C67" s="53"/>
      <c r="D67" s="53"/>
      <c r="E67" s="53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3"/>
      <c r="Q67" s="53"/>
      <c r="R67" s="53"/>
      <c r="S67" s="53"/>
      <c r="T67" s="54"/>
      <c r="U67" s="54"/>
      <c r="V67" s="54"/>
      <c r="W67" s="54"/>
      <c r="X67" s="54"/>
      <c r="Y67" s="54"/>
      <c r="Z67" s="53"/>
      <c r="AA67" s="53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3"/>
      <c r="AQ67" s="53"/>
      <c r="AR67" s="54"/>
      <c r="AS67" s="54"/>
      <c r="AT67" s="54"/>
    </row>
    <row r="68" spans="1:46" x14ac:dyDescent="0.3">
      <c r="A68" s="17" t="s">
        <v>129</v>
      </c>
      <c r="B68" s="18" t="s">
        <v>130</v>
      </c>
      <c r="C68" s="53"/>
      <c r="D68" s="53"/>
      <c r="E68" s="53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3"/>
      <c r="Q68" s="53"/>
      <c r="R68" s="53"/>
      <c r="S68" s="53"/>
      <c r="T68" s="54"/>
      <c r="U68" s="54"/>
      <c r="V68" s="54"/>
      <c r="W68" s="54"/>
      <c r="X68" s="54"/>
      <c r="Y68" s="54"/>
      <c r="Z68" s="53"/>
      <c r="AA68" s="53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3"/>
      <c r="AQ68" s="53"/>
      <c r="AR68" s="54"/>
      <c r="AS68" s="54"/>
      <c r="AT68" s="54"/>
    </row>
    <row r="69" spans="1:46" x14ac:dyDescent="0.3">
      <c r="A69" s="13" t="s">
        <v>131</v>
      </c>
      <c r="B69" s="14" t="s">
        <v>132</v>
      </c>
      <c r="C69" s="53"/>
      <c r="D69" s="53"/>
      <c r="E69" s="53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3"/>
      <c r="Q69" s="53"/>
      <c r="R69" s="53"/>
      <c r="S69" s="53"/>
      <c r="T69" s="54"/>
      <c r="U69" s="54"/>
      <c r="V69" s="54"/>
      <c r="W69" s="54"/>
      <c r="X69" s="54"/>
      <c r="Y69" s="54"/>
      <c r="Z69" s="53"/>
      <c r="AA69" s="53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3"/>
      <c r="AQ69" s="53"/>
      <c r="AR69" s="54"/>
      <c r="AS69" s="54"/>
      <c r="AT69" s="54"/>
    </row>
    <row r="70" spans="1:46" x14ac:dyDescent="0.3">
      <c r="A70" s="2" t="s">
        <v>133</v>
      </c>
      <c r="B70" s="3" t="s">
        <v>134</v>
      </c>
      <c r="C70" s="53"/>
      <c r="D70" s="53"/>
      <c r="E70" s="53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3"/>
      <c r="Q70" s="53"/>
      <c r="R70" s="53"/>
      <c r="S70" s="53"/>
      <c r="T70" s="54"/>
      <c r="U70" s="54"/>
      <c r="V70" s="54"/>
      <c r="W70" s="54"/>
      <c r="X70" s="54"/>
      <c r="Y70" s="54"/>
      <c r="Z70" s="53"/>
      <c r="AA70" s="53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3"/>
      <c r="AQ70" s="53"/>
      <c r="AR70" s="54"/>
      <c r="AS70" s="54"/>
      <c r="AT70" s="54"/>
    </row>
    <row r="71" spans="1:46" x14ac:dyDescent="0.3">
      <c r="A71" s="9" t="s">
        <v>135</v>
      </c>
      <c r="B71" s="10" t="s">
        <v>136</v>
      </c>
      <c r="C71" s="53"/>
      <c r="D71" s="53"/>
      <c r="E71" s="53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3"/>
      <c r="Q71" s="53"/>
      <c r="R71" s="53"/>
      <c r="S71" s="53"/>
      <c r="T71" s="54"/>
      <c r="U71" s="54"/>
      <c r="V71" s="54"/>
      <c r="W71" s="54"/>
      <c r="X71" s="54"/>
      <c r="Y71" s="54"/>
      <c r="Z71" s="53"/>
      <c r="AA71" s="53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3"/>
      <c r="AQ71" s="53"/>
      <c r="AR71" s="54"/>
      <c r="AS71" s="54"/>
      <c r="AT71" s="54"/>
    </row>
    <row r="72" spans="1:46" x14ac:dyDescent="0.3">
      <c r="A72" s="4" t="s">
        <v>137</v>
      </c>
      <c r="B72" s="5" t="s">
        <v>138</v>
      </c>
      <c r="C72" s="53"/>
      <c r="D72" s="53"/>
      <c r="E72" s="53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3"/>
      <c r="Q72" s="53"/>
      <c r="R72" s="53"/>
      <c r="S72" s="53"/>
      <c r="T72" s="54"/>
      <c r="U72" s="54"/>
      <c r="V72" s="54"/>
      <c r="W72" s="54"/>
      <c r="X72" s="54"/>
      <c r="Y72" s="54"/>
      <c r="Z72" s="53"/>
      <c r="AA72" s="53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3"/>
      <c r="AQ72" s="53"/>
      <c r="AR72" s="54"/>
      <c r="AS72" s="54"/>
      <c r="AT72" s="54"/>
    </row>
    <row r="73" spans="1:46" x14ac:dyDescent="0.3">
      <c r="A73" s="22" t="s">
        <v>139</v>
      </c>
      <c r="B73" s="23" t="s">
        <v>140</v>
      </c>
      <c r="C73" s="53"/>
      <c r="D73" s="53"/>
      <c r="E73" s="53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3"/>
      <c r="Q73" s="53"/>
      <c r="R73" s="53"/>
      <c r="S73" s="53"/>
      <c r="T73" s="54"/>
      <c r="U73" s="54"/>
      <c r="V73" s="54"/>
      <c r="W73" s="54"/>
      <c r="X73" s="54"/>
      <c r="Y73" s="54"/>
      <c r="Z73" s="53"/>
      <c r="AA73" s="53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3"/>
      <c r="AQ73" s="53"/>
      <c r="AR73" s="54"/>
      <c r="AS73" s="54"/>
      <c r="AT73" s="54"/>
    </row>
    <row r="74" spans="1:46" x14ac:dyDescent="0.3">
      <c r="A74" s="4" t="s">
        <v>141</v>
      </c>
      <c r="B74" s="5" t="s">
        <v>142</v>
      </c>
      <c r="C74" s="53"/>
      <c r="D74" s="53"/>
      <c r="E74" s="53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3"/>
      <c r="Q74" s="53"/>
      <c r="R74" s="53"/>
      <c r="S74" s="53"/>
      <c r="T74" s="54"/>
      <c r="U74" s="54"/>
      <c r="V74" s="54"/>
      <c r="W74" s="54"/>
      <c r="X74" s="54"/>
      <c r="Y74" s="54"/>
      <c r="Z74" s="53"/>
      <c r="AA74" s="53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3"/>
      <c r="AQ74" s="53"/>
      <c r="AR74" s="54"/>
      <c r="AS74" s="54"/>
      <c r="AT74" s="54"/>
    </row>
    <row r="75" spans="1:46" x14ac:dyDescent="0.3">
      <c r="A75" s="2" t="s">
        <v>143</v>
      </c>
      <c r="B75" s="3" t="s">
        <v>144</v>
      </c>
      <c r="C75" s="53"/>
      <c r="D75" s="53"/>
      <c r="E75" s="53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3"/>
      <c r="Q75" s="53"/>
      <c r="R75" s="53"/>
      <c r="S75" s="53"/>
      <c r="T75" s="54"/>
      <c r="U75" s="54"/>
      <c r="V75" s="54"/>
      <c r="W75" s="54"/>
      <c r="X75" s="54"/>
      <c r="Y75" s="54"/>
      <c r="Z75" s="53"/>
      <c r="AA75" s="53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3"/>
      <c r="AQ75" s="53"/>
      <c r="AR75" s="54"/>
      <c r="AS75" s="54"/>
      <c r="AT75" s="54"/>
    </row>
    <row r="76" spans="1:46" x14ac:dyDescent="0.3">
      <c r="A76" s="9" t="s">
        <v>145</v>
      </c>
      <c r="B76" s="10" t="s">
        <v>146</v>
      </c>
      <c r="C76" s="53"/>
      <c r="D76" s="53"/>
      <c r="E76" s="53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3"/>
      <c r="Q76" s="53"/>
      <c r="R76" s="53"/>
      <c r="S76" s="53"/>
      <c r="T76" s="54"/>
      <c r="U76" s="54"/>
      <c r="V76" s="54"/>
      <c r="W76" s="54"/>
      <c r="X76" s="54"/>
      <c r="Y76" s="54"/>
      <c r="Z76" s="53"/>
      <c r="AA76" s="53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3"/>
      <c r="AQ76" s="53"/>
      <c r="AR76" s="54"/>
      <c r="AS76" s="54"/>
      <c r="AT76" s="54"/>
    </row>
    <row r="77" spans="1:46" x14ac:dyDescent="0.3">
      <c r="A77" s="2" t="s">
        <v>147</v>
      </c>
      <c r="B77" s="3" t="s">
        <v>148</v>
      </c>
      <c r="C77" s="53"/>
      <c r="D77" s="53"/>
      <c r="E77" s="53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3"/>
      <c r="Q77" s="53"/>
      <c r="R77" s="53"/>
      <c r="S77" s="53"/>
      <c r="T77" s="54"/>
      <c r="U77" s="54"/>
      <c r="V77" s="54"/>
      <c r="W77" s="54"/>
      <c r="X77" s="54"/>
      <c r="Y77" s="54"/>
      <c r="Z77" s="53"/>
      <c r="AA77" s="53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3"/>
      <c r="AQ77" s="53"/>
      <c r="AR77" s="54"/>
      <c r="AS77" s="54"/>
      <c r="AT77" s="54"/>
    </row>
    <row r="78" spans="1:46" x14ac:dyDescent="0.3">
      <c r="A78" s="4" t="s">
        <v>149</v>
      </c>
      <c r="B78" s="5" t="s">
        <v>150</v>
      </c>
      <c r="C78" s="53"/>
      <c r="D78" s="53"/>
      <c r="E78" s="53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3"/>
      <c r="Q78" s="53"/>
      <c r="R78" s="53"/>
      <c r="S78" s="53"/>
      <c r="T78" s="54"/>
      <c r="U78" s="54"/>
      <c r="V78" s="54"/>
      <c r="W78" s="54"/>
      <c r="X78" s="54"/>
      <c r="Y78" s="54"/>
      <c r="Z78" s="53"/>
      <c r="AA78" s="53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3"/>
      <c r="AQ78" s="53"/>
      <c r="AR78" s="54"/>
      <c r="AS78" s="54"/>
      <c r="AT78" s="54"/>
    </row>
    <row r="79" spans="1:46" x14ac:dyDescent="0.3">
      <c r="A79" s="22" t="s">
        <v>151</v>
      </c>
      <c r="B79" s="23" t="s">
        <v>152</v>
      </c>
      <c r="C79" s="53"/>
      <c r="D79" s="53"/>
      <c r="E79" s="53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3"/>
      <c r="Q79" s="53"/>
      <c r="R79" s="53"/>
      <c r="S79" s="53"/>
      <c r="T79" s="54"/>
      <c r="U79" s="54"/>
      <c r="V79" s="54"/>
      <c r="W79" s="54"/>
      <c r="X79" s="54"/>
      <c r="Y79" s="54"/>
      <c r="Z79" s="53"/>
      <c r="AA79" s="53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3"/>
      <c r="AQ79" s="53"/>
      <c r="AR79" s="54"/>
      <c r="AS79" s="54"/>
      <c r="AT79" s="54"/>
    </row>
    <row r="80" spans="1:46" x14ac:dyDescent="0.3">
      <c r="A80" s="19" t="s">
        <v>153</v>
      </c>
      <c r="B80" s="20" t="s">
        <v>154</v>
      </c>
      <c r="C80" s="53"/>
      <c r="D80" s="53"/>
      <c r="E80" s="53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3"/>
      <c r="Q80" s="53"/>
      <c r="R80" s="53"/>
      <c r="S80" s="53"/>
      <c r="T80" s="54"/>
      <c r="U80" s="54"/>
      <c r="V80" s="54"/>
      <c r="W80" s="54"/>
      <c r="X80" s="54"/>
      <c r="Y80" s="54"/>
      <c r="Z80" s="53"/>
      <c r="AA80" s="53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3"/>
      <c r="AQ80" s="53"/>
      <c r="AR80" s="54"/>
      <c r="AS80" s="54"/>
      <c r="AT80" s="54"/>
    </row>
    <row r="81" spans="1:46" x14ac:dyDescent="0.3">
      <c r="A81" s="2" t="s">
        <v>155</v>
      </c>
      <c r="B81" s="3" t="s">
        <v>156</v>
      </c>
      <c r="C81" s="53"/>
      <c r="D81" s="53"/>
      <c r="E81" s="53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3"/>
      <c r="Q81" s="53"/>
      <c r="R81" s="53"/>
      <c r="S81" s="53"/>
      <c r="T81" s="54"/>
      <c r="U81" s="54"/>
      <c r="V81" s="54"/>
      <c r="W81" s="54"/>
      <c r="X81" s="54"/>
      <c r="Y81" s="54"/>
      <c r="Z81" s="53"/>
      <c r="AA81" s="53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3"/>
      <c r="AQ81" s="53"/>
      <c r="AR81" s="54"/>
      <c r="AS81" s="54"/>
      <c r="AT81" s="54"/>
    </row>
    <row r="82" spans="1:46" x14ac:dyDescent="0.3">
      <c r="A82" s="2" t="s">
        <v>157</v>
      </c>
      <c r="B82" s="3" t="s">
        <v>158</v>
      </c>
      <c r="C82" s="53"/>
      <c r="D82" s="53"/>
      <c r="E82" s="53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3"/>
      <c r="Q82" s="53"/>
      <c r="R82" s="53"/>
      <c r="S82" s="53"/>
      <c r="T82" s="54"/>
      <c r="U82" s="54"/>
      <c r="V82" s="54"/>
      <c r="W82" s="54"/>
      <c r="X82" s="54"/>
      <c r="Y82" s="54"/>
      <c r="Z82" s="53"/>
      <c r="AA82" s="53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3"/>
      <c r="AQ82" s="53"/>
      <c r="AR82" s="54"/>
      <c r="AS82" s="54"/>
      <c r="AT82" s="54"/>
    </row>
    <row r="83" spans="1:46" x14ac:dyDescent="0.3">
      <c r="A83" s="17" t="s">
        <v>159</v>
      </c>
      <c r="B83" s="18" t="s">
        <v>160</v>
      </c>
      <c r="C83" s="53"/>
      <c r="D83" s="53"/>
      <c r="E83" s="53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3"/>
      <c r="Q83" s="53"/>
      <c r="R83" s="53"/>
      <c r="S83" s="53"/>
      <c r="T83" s="54"/>
      <c r="U83" s="54"/>
      <c r="V83" s="54"/>
      <c r="W83" s="54"/>
      <c r="X83" s="54"/>
      <c r="Y83" s="54"/>
      <c r="Z83" s="53"/>
      <c r="AA83" s="53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3"/>
      <c r="AQ83" s="53"/>
      <c r="AR83" s="54"/>
      <c r="AS83" s="54"/>
      <c r="AT83" s="54"/>
    </row>
    <row r="84" spans="1:46" x14ac:dyDescent="0.3">
      <c r="A84" s="2" t="s">
        <v>161</v>
      </c>
      <c r="B84" s="3" t="s">
        <v>162</v>
      </c>
      <c r="C84" s="53"/>
      <c r="D84" s="53"/>
      <c r="E84" s="53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3"/>
      <c r="Q84" s="53"/>
      <c r="R84" s="53"/>
      <c r="S84" s="53"/>
      <c r="T84" s="54"/>
      <c r="U84" s="54"/>
      <c r="V84" s="54"/>
      <c r="W84" s="54"/>
      <c r="X84" s="54"/>
      <c r="Y84" s="54"/>
      <c r="Z84" s="53"/>
      <c r="AA84" s="53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3"/>
      <c r="AQ84" s="53"/>
      <c r="AR84" s="54"/>
      <c r="AS84" s="54"/>
      <c r="AT84" s="54"/>
    </row>
    <row r="85" spans="1:46" x14ac:dyDescent="0.3">
      <c r="A85" s="2" t="s">
        <v>163</v>
      </c>
      <c r="B85" s="3" t="s">
        <v>164</v>
      </c>
      <c r="C85" s="53"/>
      <c r="D85" s="53"/>
      <c r="E85" s="53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3"/>
      <c r="Q85" s="53"/>
      <c r="R85" s="53"/>
      <c r="S85" s="53"/>
      <c r="T85" s="54"/>
      <c r="U85" s="54"/>
      <c r="V85" s="54"/>
      <c r="W85" s="54"/>
      <c r="X85" s="54"/>
      <c r="Y85" s="54"/>
      <c r="Z85" s="53"/>
      <c r="AA85" s="53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3"/>
      <c r="AQ85" s="53"/>
      <c r="AR85" s="54"/>
      <c r="AS85" s="54"/>
      <c r="AT85" s="54"/>
    </row>
    <row r="86" spans="1:46" x14ac:dyDescent="0.3">
      <c r="A86" s="4" t="s">
        <v>165</v>
      </c>
      <c r="B86" s="5" t="s">
        <v>166</v>
      </c>
      <c r="C86" s="53"/>
      <c r="D86" s="53"/>
      <c r="E86" s="53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3"/>
      <c r="Q86" s="53"/>
      <c r="R86" s="53"/>
      <c r="S86" s="53"/>
      <c r="T86" s="54"/>
      <c r="U86" s="54"/>
      <c r="V86" s="54"/>
      <c r="W86" s="54"/>
      <c r="X86" s="54"/>
      <c r="Y86" s="54"/>
      <c r="Z86" s="53"/>
      <c r="AA86" s="53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3"/>
      <c r="AQ86" s="53"/>
      <c r="AR86" s="54"/>
      <c r="AS86" s="54"/>
      <c r="AT86" s="54"/>
    </row>
    <row r="87" spans="1:46" x14ac:dyDescent="0.3">
      <c r="A87" s="4" t="s">
        <v>167</v>
      </c>
      <c r="B87" s="5" t="s">
        <v>168</v>
      </c>
      <c r="C87" s="53"/>
      <c r="D87" s="53"/>
      <c r="E87" s="53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3"/>
      <c r="Q87" s="53"/>
      <c r="R87" s="53"/>
      <c r="S87" s="53"/>
      <c r="T87" s="54"/>
      <c r="U87" s="54"/>
      <c r="V87" s="54"/>
      <c r="W87" s="54"/>
      <c r="X87" s="54"/>
      <c r="Y87" s="54"/>
      <c r="Z87" s="53"/>
      <c r="AA87" s="53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3"/>
      <c r="AQ87" s="53"/>
      <c r="AR87" s="54"/>
      <c r="AS87" s="54"/>
      <c r="AT87" s="54"/>
    </row>
    <row r="88" spans="1:46" x14ac:dyDescent="0.3">
      <c r="A88" s="15" t="s">
        <v>169</v>
      </c>
      <c r="B88" s="16" t="s">
        <v>170</v>
      </c>
      <c r="C88" s="53"/>
      <c r="D88" s="53"/>
      <c r="E88" s="53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3"/>
      <c r="Q88" s="53"/>
      <c r="R88" s="53"/>
      <c r="S88" s="53"/>
      <c r="T88" s="54"/>
      <c r="U88" s="54"/>
      <c r="V88" s="54"/>
      <c r="W88" s="54"/>
      <c r="X88" s="54"/>
      <c r="Y88" s="54"/>
      <c r="Z88" s="53"/>
      <c r="AA88" s="53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3"/>
      <c r="AQ88" s="53"/>
      <c r="AR88" s="54"/>
      <c r="AS88" s="54"/>
      <c r="AT88" s="54"/>
    </row>
    <row r="89" spans="1:46" x14ac:dyDescent="0.3">
      <c r="A89" s="17" t="s">
        <v>171</v>
      </c>
      <c r="B89" s="18" t="s">
        <v>172</v>
      </c>
      <c r="C89" s="53"/>
      <c r="D89" s="53"/>
      <c r="E89" s="53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3"/>
      <c r="Q89" s="53"/>
      <c r="R89" s="53"/>
      <c r="S89" s="53"/>
      <c r="T89" s="54"/>
      <c r="U89" s="54"/>
      <c r="V89" s="54"/>
      <c r="W89" s="54"/>
      <c r="X89" s="54"/>
      <c r="Y89" s="54"/>
      <c r="Z89" s="53"/>
      <c r="AA89" s="53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3"/>
      <c r="AQ89" s="53"/>
      <c r="AR89" s="54"/>
      <c r="AS89" s="54"/>
      <c r="AT89" s="54"/>
    </row>
    <row r="90" spans="1:46" x14ac:dyDescent="0.3">
      <c r="A90" s="2" t="s">
        <v>173</v>
      </c>
      <c r="B90" s="3" t="s">
        <v>174</v>
      </c>
      <c r="C90" s="53"/>
      <c r="D90" s="53"/>
      <c r="E90" s="53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3"/>
      <c r="Q90" s="53"/>
      <c r="R90" s="53"/>
      <c r="S90" s="53"/>
      <c r="T90" s="54"/>
      <c r="U90" s="54"/>
      <c r="V90" s="54"/>
      <c r="W90" s="54"/>
      <c r="X90" s="54"/>
      <c r="Y90" s="54"/>
      <c r="Z90" s="53"/>
      <c r="AA90" s="53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3"/>
      <c r="AQ90" s="53"/>
      <c r="AR90" s="54"/>
      <c r="AS90" s="54"/>
      <c r="AT90" s="54"/>
    </row>
    <row r="91" spans="1:46" x14ac:dyDescent="0.3">
      <c r="A91" s="2" t="s">
        <v>175</v>
      </c>
      <c r="B91" s="3" t="s">
        <v>176</v>
      </c>
      <c r="C91" s="53"/>
      <c r="D91" s="53"/>
      <c r="E91" s="53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3"/>
      <c r="Q91" s="53"/>
      <c r="R91" s="53"/>
      <c r="S91" s="53"/>
      <c r="T91" s="54"/>
      <c r="U91" s="54"/>
      <c r="V91" s="54"/>
      <c r="W91" s="54"/>
      <c r="X91" s="54"/>
      <c r="Y91" s="54"/>
      <c r="Z91" s="53"/>
      <c r="AA91" s="53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3"/>
      <c r="AQ91" s="53"/>
      <c r="AR91" s="54"/>
      <c r="AS91" s="54"/>
      <c r="AT91" s="54"/>
    </row>
    <row r="92" spans="1:46" x14ac:dyDescent="0.3">
      <c r="A92" s="2" t="s">
        <v>177</v>
      </c>
      <c r="B92" s="3" t="s">
        <v>178</v>
      </c>
      <c r="C92" s="53"/>
      <c r="D92" s="53"/>
      <c r="E92" s="53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3"/>
      <c r="Q92" s="53"/>
      <c r="R92" s="53"/>
      <c r="S92" s="53"/>
      <c r="T92" s="54"/>
      <c r="U92" s="54"/>
      <c r="V92" s="54"/>
      <c r="W92" s="54"/>
      <c r="X92" s="54"/>
      <c r="Y92" s="54"/>
      <c r="Z92" s="53"/>
      <c r="AA92" s="53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3"/>
      <c r="AQ92" s="53"/>
      <c r="AR92" s="54"/>
      <c r="AS92" s="54"/>
      <c r="AT92" s="54"/>
    </row>
    <row r="93" spans="1:46" x14ac:dyDescent="0.3">
      <c r="A93" s="4" t="s">
        <v>179</v>
      </c>
      <c r="B93" s="5" t="s">
        <v>180</v>
      </c>
      <c r="C93" s="53"/>
      <c r="D93" s="53"/>
      <c r="E93" s="53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3"/>
      <c r="Q93" s="53"/>
      <c r="R93" s="53"/>
      <c r="S93" s="53"/>
      <c r="T93" s="54"/>
      <c r="U93" s="54"/>
      <c r="V93" s="54"/>
      <c r="W93" s="54"/>
      <c r="X93" s="54"/>
      <c r="Y93" s="54"/>
      <c r="Z93" s="53"/>
      <c r="AA93" s="53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3"/>
      <c r="AQ93" s="53"/>
      <c r="AR93" s="54"/>
      <c r="AS93" s="54"/>
      <c r="AT93" s="54"/>
    </row>
    <row r="94" spans="1:46" x14ac:dyDescent="0.3">
      <c r="A94" s="2" t="s">
        <v>181</v>
      </c>
      <c r="B94" s="3" t="s">
        <v>182</v>
      </c>
      <c r="C94" s="53"/>
      <c r="D94" s="53"/>
      <c r="E94" s="53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3"/>
      <c r="Q94" s="53"/>
      <c r="R94" s="53"/>
      <c r="S94" s="53"/>
      <c r="T94" s="54"/>
      <c r="U94" s="54"/>
      <c r="V94" s="54"/>
      <c r="W94" s="54"/>
      <c r="X94" s="54"/>
      <c r="Y94" s="54"/>
      <c r="Z94" s="53"/>
      <c r="AA94" s="53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3"/>
      <c r="AQ94" s="53"/>
      <c r="AR94" s="54"/>
      <c r="AS94" s="54"/>
      <c r="AT94" s="54"/>
    </row>
    <row r="95" spans="1:46" x14ac:dyDescent="0.3">
      <c r="A95" s="22" t="s">
        <v>183</v>
      </c>
      <c r="B95" s="23" t="s">
        <v>184</v>
      </c>
      <c r="C95" s="53"/>
      <c r="D95" s="53"/>
      <c r="E95" s="53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3"/>
      <c r="Q95" s="53"/>
      <c r="R95" s="53"/>
      <c r="S95" s="53"/>
      <c r="T95" s="54"/>
      <c r="U95" s="54"/>
      <c r="V95" s="54"/>
      <c r="W95" s="54"/>
      <c r="X95" s="54"/>
      <c r="Y95" s="54"/>
      <c r="Z95" s="53"/>
      <c r="AA95" s="53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3"/>
      <c r="AQ95" s="53"/>
      <c r="AR95" s="54"/>
      <c r="AS95" s="54"/>
      <c r="AT95" s="54"/>
    </row>
    <row r="96" spans="1:46" x14ac:dyDescent="0.3">
      <c r="A96" s="2" t="s">
        <v>185</v>
      </c>
      <c r="B96" s="3" t="s">
        <v>186</v>
      </c>
      <c r="C96" s="53"/>
      <c r="D96" s="53"/>
      <c r="E96" s="53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3"/>
      <c r="Q96" s="53"/>
      <c r="R96" s="53"/>
      <c r="S96" s="53"/>
      <c r="T96" s="54"/>
      <c r="U96" s="54"/>
      <c r="V96" s="54"/>
      <c r="W96" s="54"/>
      <c r="X96" s="54"/>
      <c r="Y96" s="54"/>
      <c r="Z96" s="53"/>
      <c r="AA96" s="53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3"/>
      <c r="AQ96" s="53"/>
      <c r="AR96" s="54"/>
      <c r="AS96" s="54"/>
      <c r="AT96" s="54"/>
    </row>
    <row r="97" spans="1:46" x14ac:dyDescent="0.3">
      <c r="A97" s="2" t="s">
        <v>187</v>
      </c>
      <c r="B97" s="3" t="s">
        <v>188</v>
      </c>
      <c r="C97" s="53"/>
      <c r="D97" s="53"/>
      <c r="E97" s="53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3"/>
      <c r="Q97" s="53"/>
      <c r="R97" s="53"/>
      <c r="S97" s="53"/>
      <c r="T97" s="54"/>
      <c r="U97" s="54"/>
      <c r="V97" s="54"/>
      <c r="W97" s="54"/>
      <c r="X97" s="54"/>
      <c r="Y97" s="54"/>
      <c r="Z97" s="53"/>
      <c r="AA97" s="53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3"/>
      <c r="AQ97" s="53"/>
      <c r="AR97" s="54"/>
      <c r="AS97" s="54"/>
      <c r="AT97" s="54"/>
    </row>
    <row r="98" spans="1:46" x14ac:dyDescent="0.3">
      <c r="A98" s="4" t="s">
        <v>189</v>
      </c>
      <c r="B98" s="5" t="s">
        <v>190</v>
      </c>
      <c r="C98" s="53"/>
      <c r="D98" s="53"/>
      <c r="E98" s="53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3"/>
      <c r="Q98" s="53"/>
      <c r="R98" s="53"/>
      <c r="S98" s="53"/>
      <c r="T98" s="54"/>
      <c r="U98" s="54"/>
      <c r="V98" s="54"/>
      <c r="W98" s="54"/>
      <c r="X98" s="54"/>
      <c r="Y98" s="54"/>
      <c r="Z98" s="53"/>
      <c r="AA98" s="53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3"/>
      <c r="AQ98" s="53"/>
      <c r="AR98" s="54"/>
      <c r="AS98" s="54"/>
      <c r="AT98" s="54"/>
    </row>
    <row r="99" spans="1:46" x14ac:dyDescent="0.3">
      <c r="A99" s="2" t="s">
        <v>191</v>
      </c>
      <c r="B99" s="3" t="s">
        <v>192</v>
      </c>
      <c r="C99" s="53"/>
      <c r="D99" s="53"/>
      <c r="E99" s="53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3"/>
      <c r="Q99" s="53"/>
      <c r="R99" s="53"/>
      <c r="S99" s="53"/>
      <c r="T99" s="54"/>
      <c r="U99" s="54"/>
      <c r="V99" s="54"/>
      <c r="W99" s="54"/>
      <c r="X99" s="54"/>
      <c r="Y99" s="54"/>
      <c r="Z99" s="53"/>
      <c r="AA99" s="53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3"/>
      <c r="AQ99" s="53"/>
      <c r="AR99" s="54"/>
      <c r="AS99" s="54"/>
      <c r="AT99" s="54"/>
    </row>
    <row r="100" spans="1:46" x14ac:dyDescent="0.3">
      <c r="A100" s="13" t="s">
        <v>193</v>
      </c>
      <c r="B100" s="14" t="s">
        <v>194</v>
      </c>
      <c r="C100" s="53"/>
      <c r="D100" s="53"/>
      <c r="E100" s="53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3"/>
      <c r="Q100" s="53"/>
      <c r="R100" s="53"/>
      <c r="S100" s="53"/>
      <c r="T100" s="54"/>
      <c r="U100" s="54"/>
      <c r="V100" s="54"/>
      <c r="W100" s="54"/>
      <c r="X100" s="54"/>
      <c r="Y100" s="54"/>
      <c r="Z100" s="53"/>
      <c r="AA100" s="53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3"/>
      <c r="AQ100" s="53"/>
      <c r="AR100" s="54"/>
      <c r="AS100" s="54"/>
      <c r="AT100" s="54"/>
    </row>
    <row r="101" spans="1:46" x14ac:dyDescent="0.3">
      <c r="A101" s="2" t="s">
        <v>195</v>
      </c>
      <c r="B101" s="3" t="s">
        <v>196</v>
      </c>
      <c r="C101" s="53"/>
      <c r="D101" s="53"/>
      <c r="E101" s="53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3"/>
      <c r="Q101" s="53"/>
      <c r="R101" s="53"/>
      <c r="S101" s="53"/>
      <c r="T101" s="54"/>
      <c r="U101" s="54"/>
      <c r="V101" s="54"/>
      <c r="W101" s="54"/>
      <c r="X101" s="54"/>
      <c r="Y101" s="54"/>
      <c r="Z101" s="53"/>
      <c r="AA101" s="53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  <c r="AP101" s="53"/>
      <c r="AQ101" s="53"/>
      <c r="AR101" s="54"/>
      <c r="AS101" s="54"/>
      <c r="AT101" s="54"/>
    </row>
    <row r="102" spans="1:46" x14ac:dyDescent="0.3">
      <c r="A102" s="4" t="s">
        <v>197</v>
      </c>
      <c r="B102" s="5" t="s">
        <v>198</v>
      </c>
      <c r="C102" s="53"/>
      <c r="D102" s="53"/>
      <c r="E102" s="53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3"/>
      <c r="Q102" s="53"/>
      <c r="R102" s="53"/>
      <c r="S102" s="53"/>
      <c r="T102" s="54"/>
      <c r="U102" s="54"/>
      <c r="V102" s="54"/>
      <c r="W102" s="54"/>
      <c r="X102" s="54"/>
      <c r="Y102" s="54"/>
      <c r="Z102" s="53"/>
      <c r="AA102" s="53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3"/>
      <c r="AQ102" s="53"/>
      <c r="AR102" s="54"/>
      <c r="AS102" s="54"/>
      <c r="AT102" s="54"/>
    </row>
    <row r="103" spans="1:46" x14ac:dyDescent="0.3">
      <c r="A103" s="13" t="s">
        <v>199</v>
      </c>
      <c r="B103" s="14" t="s">
        <v>200</v>
      </c>
      <c r="C103" s="53"/>
      <c r="D103" s="53"/>
      <c r="E103" s="53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3"/>
      <c r="Q103" s="53"/>
      <c r="R103" s="53"/>
      <c r="S103" s="53"/>
      <c r="T103" s="54"/>
      <c r="U103" s="54"/>
      <c r="V103" s="54"/>
      <c r="W103" s="54"/>
      <c r="X103" s="54"/>
      <c r="Y103" s="54"/>
      <c r="Z103" s="53"/>
      <c r="AA103" s="53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53"/>
      <c r="AQ103" s="53"/>
      <c r="AR103" s="54"/>
      <c r="AS103" s="54"/>
      <c r="AT103" s="54"/>
    </row>
    <row r="104" spans="1:46" x14ac:dyDescent="0.3">
      <c r="A104" s="4" t="s">
        <v>201</v>
      </c>
      <c r="B104" s="5" t="s">
        <v>202</v>
      </c>
      <c r="C104" s="53"/>
      <c r="D104" s="53"/>
      <c r="E104" s="53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3"/>
      <c r="Q104" s="53"/>
      <c r="R104" s="53"/>
      <c r="S104" s="53"/>
      <c r="T104" s="54"/>
      <c r="U104" s="54"/>
      <c r="V104" s="54"/>
      <c r="W104" s="54"/>
      <c r="X104" s="54"/>
      <c r="Y104" s="54"/>
      <c r="Z104" s="53"/>
      <c r="AA104" s="53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3"/>
      <c r="AQ104" s="53"/>
      <c r="AR104" s="54"/>
      <c r="AS104" s="54"/>
      <c r="AT104" s="54"/>
    </row>
    <row r="105" spans="1:46" x14ac:dyDescent="0.3">
      <c r="A105" s="2" t="s">
        <v>203</v>
      </c>
      <c r="B105" s="3" t="s">
        <v>204</v>
      </c>
      <c r="C105" s="53"/>
      <c r="D105" s="53"/>
      <c r="E105" s="53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3"/>
      <c r="Q105" s="53"/>
      <c r="R105" s="53"/>
      <c r="S105" s="53"/>
      <c r="T105" s="54"/>
      <c r="U105" s="54"/>
      <c r="V105" s="54"/>
      <c r="W105" s="54"/>
      <c r="X105" s="54"/>
      <c r="Y105" s="54"/>
      <c r="Z105" s="53"/>
      <c r="AA105" s="53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  <c r="AP105" s="53"/>
      <c r="AQ105" s="53"/>
      <c r="AR105" s="54"/>
      <c r="AS105" s="54"/>
      <c r="AT105" s="54"/>
    </row>
    <row r="106" spans="1:46" x14ac:dyDescent="0.3">
      <c r="A106" s="22" t="s">
        <v>205</v>
      </c>
      <c r="B106" s="23" t="s">
        <v>206</v>
      </c>
      <c r="C106" s="53"/>
      <c r="D106" s="53"/>
      <c r="E106" s="53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3"/>
      <c r="Q106" s="53"/>
      <c r="R106" s="53"/>
      <c r="S106" s="53"/>
      <c r="T106" s="54"/>
      <c r="U106" s="54"/>
      <c r="V106" s="54"/>
      <c r="W106" s="54"/>
      <c r="X106" s="54"/>
      <c r="Y106" s="54"/>
      <c r="Z106" s="53"/>
      <c r="AA106" s="53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3"/>
      <c r="AQ106" s="53"/>
      <c r="AR106" s="54"/>
      <c r="AS106" s="54"/>
      <c r="AT106" s="54"/>
    </row>
    <row r="107" spans="1:46" x14ac:dyDescent="0.3">
      <c r="A107" s="22" t="s">
        <v>207</v>
      </c>
      <c r="B107" s="23" t="s">
        <v>208</v>
      </c>
      <c r="C107" s="53"/>
      <c r="D107" s="53"/>
      <c r="E107" s="53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3"/>
      <c r="Q107" s="53"/>
      <c r="R107" s="53"/>
      <c r="S107" s="53"/>
      <c r="T107" s="54"/>
      <c r="U107" s="54"/>
      <c r="V107" s="54"/>
      <c r="W107" s="54"/>
      <c r="X107" s="54"/>
      <c r="Y107" s="54"/>
      <c r="Z107" s="53"/>
      <c r="AA107" s="53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  <c r="AO107" s="54"/>
      <c r="AP107" s="53"/>
      <c r="AQ107" s="53"/>
      <c r="AR107" s="54"/>
      <c r="AS107" s="54"/>
      <c r="AT107" s="54"/>
    </row>
    <row r="108" spans="1:46" x14ac:dyDescent="0.3">
      <c r="A108" s="2" t="s">
        <v>209</v>
      </c>
      <c r="B108" s="3" t="s">
        <v>210</v>
      </c>
      <c r="C108" s="53"/>
      <c r="D108" s="53"/>
      <c r="E108" s="53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3"/>
      <c r="Q108" s="53"/>
      <c r="R108" s="53"/>
      <c r="S108" s="53"/>
      <c r="T108" s="54"/>
      <c r="U108" s="54"/>
      <c r="V108" s="54"/>
      <c r="W108" s="54"/>
      <c r="X108" s="54"/>
      <c r="Y108" s="54"/>
      <c r="Z108" s="53"/>
      <c r="AA108" s="53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53"/>
      <c r="AQ108" s="53"/>
      <c r="AR108" s="54"/>
      <c r="AS108" s="54"/>
      <c r="AT108" s="54"/>
    </row>
    <row r="109" spans="1:46" x14ac:dyDescent="0.3">
      <c r="A109" s="2" t="s">
        <v>211</v>
      </c>
      <c r="B109" s="3" t="s">
        <v>212</v>
      </c>
      <c r="C109" s="53"/>
      <c r="D109" s="53"/>
      <c r="E109" s="53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3"/>
      <c r="Q109" s="53"/>
      <c r="R109" s="53"/>
      <c r="S109" s="53"/>
      <c r="T109" s="54"/>
      <c r="U109" s="54"/>
      <c r="V109" s="54"/>
      <c r="W109" s="54"/>
      <c r="X109" s="54"/>
      <c r="Y109" s="54"/>
      <c r="Z109" s="53"/>
      <c r="AA109" s="53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4"/>
      <c r="AM109" s="54"/>
      <c r="AN109" s="54"/>
      <c r="AO109" s="54"/>
      <c r="AP109" s="53"/>
      <c r="AQ109" s="53"/>
      <c r="AR109" s="54"/>
      <c r="AS109" s="54"/>
      <c r="AT109" s="54"/>
    </row>
    <row r="110" spans="1:46" x14ac:dyDescent="0.3">
      <c r="A110" s="17" t="s">
        <v>213</v>
      </c>
      <c r="B110" s="18" t="s">
        <v>214</v>
      </c>
      <c r="C110" s="53"/>
      <c r="D110" s="53"/>
      <c r="E110" s="53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3"/>
      <c r="Q110" s="53"/>
      <c r="R110" s="53"/>
      <c r="S110" s="53"/>
      <c r="T110" s="54"/>
      <c r="U110" s="54"/>
      <c r="V110" s="54"/>
      <c r="W110" s="54"/>
      <c r="X110" s="54"/>
      <c r="Y110" s="54"/>
      <c r="Z110" s="53"/>
      <c r="AA110" s="53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  <c r="AL110" s="54"/>
      <c r="AM110" s="54"/>
      <c r="AN110" s="54"/>
      <c r="AO110" s="54"/>
      <c r="AP110" s="53"/>
      <c r="AQ110" s="53"/>
      <c r="AR110" s="54"/>
      <c r="AS110" s="54"/>
      <c r="AT110" s="54"/>
    </row>
    <row r="111" spans="1:46" x14ac:dyDescent="0.3">
      <c r="A111" s="2" t="s">
        <v>215</v>
      </c>
      <c r="B111" s="3" t="s">
        <v>216</v>
      </c>
      <c r="C111" s="53"/>
      <c r="D111" s="53"/>
      <c r="E111" s="53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3"/>
      <c r="Q111" s="53"/>
      <c r="R111" s="53"/>
      <c r="S111" s="53"/>
      <c r="T111" s="54"/>
      <c r="U111" s="54"/>
      <c r="V111" s="54"/>
      <c r="W111" s="54"/>
      <c r="X111" s="54"/>
      <c r="Y111" s="54"/>
      <c r="Z111" s="53"/>
      <c r="AA111" s="53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3"/>
      <c r="AQ111" s="53"/>
      <c r="AR111" s="54"/>
      <c r="AS111" s="54"/>
      <c r="AT111" s="54"/>
    </row>
    <row r="112" spans="1:46" x14ac:dyDescent="0.3">
      <c r="A112" s="19" t="s">
        <v>217</v>
      </c>
      <c r="B112" s="20" t="s">
        <v>218</v>
      </c>
      <c r="C112" s="53"/>
      <c r="D112" s="53"/>
      <c r="E112" s="53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3"/>
      <c r="Q112" s="53"/>
      <c r="R112" s="53"/>
      <c r="S112" s="53"/>
      <c r="T112" s="54"/>
      <c r="U112" s="54"/>
      <c r="V112" s="54"/>
      <c r="W112" s="54"/>
      <c r="X112" s="54"/>
      <c r="Y112" s="54"/>
      <c r="Z112" s="53"/>
      <c r="AA112" s="53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3"/>
      <c r="AQ112" s="53"/>
      <c r="AR112" s="54"/>
      <c r="AS112" s="54"/>
      <c r="AT112" s="54"/>
    </row>
    <row r="113" spans="1:46" x14ac:dyDescent="0.3">
      <c r="A113" s="2" t="s">
        <v>219</v>
      </c>
      <c r="B113" s="3" t="s">
        <v>220</v>
      </c>
      <c r="C113" s="53"/>
      <c r="D113" s="53"/>
      <c r="E113" s="53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3"/>
      <c r="Q113" s="53"/>
      <c r="R113" s="53"/>
      <c r="S113" s="53"/>
      <c r="T113" s="54"/>
      <c r="U113" s="54"/>
      <c r="V113" s="54"/>
      <c r="W113" s="54"/>
      <c r="X113" s="54"/>
      <c r="Y113" s="54"/>
      <c r="Z113" s="53"/>
      <c r="AA113" s="53"/>
      <c r="AB113" s="54"/>
      <c r="AC113" s="54"/>
      <c r="AD113" s="54"/>
      <c r="AE113" s="54"/>
      <c r="AF113" s="54"/>
      <c r="AG113" s="54"/>
      <c r="AH113" s="54"/>
      <c r="AI113" s="54"/>
      <c r="AJ113" s="54"/>
      <c r="AK113" s="54"/>
      <c r="AL113" s="54"/>
      <c r="AM113" s="54"/>
      <c r="AN113" s="54"/>
      <c r="AO113" s="54"/>
      <c r="AP113" s="53"/>
      <c r="AQ113" s="53"/>
      <c r="AR113" s="54"/>
      <c r="AS113" s="54"/>
      <c r="AT113" s="54"/>
    </row>
    <row r="114" spans="1:46" x14ac:dyDescent="0.3">
      <c r="A114" s="2" t="s">
        <v>221</v>
      </c>
      <c r="B114" s="3" t="s">
        <v>222</v>
      </c>
      <c r="C114" s="53"/>
      <c r="D114" s="53"/>
      <c r="E114" s="53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3"/>
      <c r="Q114" s="53"/>
      <c r="R114" s="53"/>
      <c r="S114" s="53"/>
      <c r="T114" s="54"/>
      <c r="U114" s="54"/>
      <c r="V114" s="54"/>
      <c r="W114" s="54"/>
      <c r="X114" s="54"/>
      <c r="Y114" s="54"/>
      <c r="Z114" s="53"/>
      <c r="AA114" s="53"/>
      <c r="AB114" s="54"/>
      <c r="AC114" s="54"/>
      <c r="AD114" s="54"/>
      <c r="AE114" s="54"/>
      <c r="AF114" s="54"/>
      <c r="AG114" s="54"/>
      <c r="AH114" s="54"/>
      <c r="AI114" s="54"/>
      <c r="AJ114" s="54"/>
      <c r="AK114" s="54"/>
      <c r="AL114" s="54"/>
      <c r="AM114" s="54"/>
      <c r="AN114" s="54"/>
      <c r="AO114" s="54"/>
      <c r="AP114" s="53"/>
      <c r="AQ114" s="53"/>
      <c r="AR114" s="54"/>
      <c r="AS114" s="54"/>
      <c r="AT114" s="54"/>
    </row>
    <row r="115" spans="1:46" x14ac:dyDescent="0.3">
      <c r="A115" s="2" t="s">
        <v>223</v>
      </c>
      <c r="B115" s="3" t="s">
        <v>224</v>
      </c>
      <c r="C115" s="53"/>
      <c r="D115" s="53"/>
      <c r="E115" s="53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3"/>
      <c r="Q115" s="53"/>
      <c r="R115" s="53"/>
      <c r="S115" s="53"/>
      <c r="T115" s="54"/>
      <c r="U115" s="54"/>
      <c r="V115" s="54"/>
      <c r="W115" s="54"/>
      <c r="X115" s="54"/>
      <c r="Y115" s="54"/>
      <c r="Z115" s="53"/>
      <c r="AA115" s="53"/>
      <c r="AB115" s="54"/>
      <c r="AC115" s="54"/>
      <c r="AD115" s="54"/>
      <c r="AE115" s="54"/>
      <c r="AF115" s="54"/>
      <c r="AG115" s="54"/>
      <c r="AH115" s="54"/>
      <c r="AI115" s="54"/>
      <c r="AJ115" s="54"/>
      <c r="AK115" s="54"/>
      <c r="AL115" s="54"/>
      <c r="AM115" s="54"/>
      <c r="AN115" s="54"/>
      <c r="AO115" s="54"/>
      <c r="AP115" s="53"/>
      <c r="AQ115" s="53"/>
      <c r="AR115" s="54"/>
      <c r="AS115" s="54"/>
      <c r="AT115" s="54"/>
    </row>
    <row r="116" spans="1:46" x14ac:dyDescent="0.3">
      <c r="A116" s="4" t="s">
        <v>225</v>
      </c>
      <c r="B116" s="5" t="s">
        <v>226</v>
      </c>
      <c r="C116" s="53"/>
      <c r="D116" s="53"/>
      <c r="E116" s="53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3"/>
      <c r="Q116" s="53"/>
      <c r="R116" s="53"/>
      <c r="S116" s="53"/>
      <c r="T116" s="54"/>
      <c r="U116" s="54"/>
      <c r="V116" s="54"/>
      <c r="W116" s="54"/>
      <c r="X116" s="54"/>
      <c r="Y116" s="54"/>
      <c r="Z116" s="53"/>
      <c r="AA116" s="53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  <c r="AL116" s="54"/>
      <c r="AM116" s="54"/>
      <c r="AN116" s="54"/>
      <c r="AO116" s="54"/>
      <c r="AP116" s="53"/>
      <c r="AQ116" s="53"/>
      <c r="AR116" s="54"/>
      <c r="AS116" s="54"/>
      <c r="AT116" s="54"/>
    </row>
    <row r="117" spans="1:46" x14ac:dyDescent="0.3">
      <c r="A117" s="4" t="s">
        <v>227</v>
      </c>
      <c r="B117" s="5" t="s">
        <v>228</v>
      </c>
      <c r="C117" s="53"/>
      <c r="D117" s="53"/>
      <c r="E117" s="53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3"/>
      <c r="Q117" s="53"/>
      <c r="R117" s="53"/>
      <c r="S117" s="53"/>
      <c r="T117" s="54"/>
      <c r="U117" s="54"/>
      <c r="V117" s="54"/>
      <c r="W117" s="54"/>
      <c r="X117" s="54"/>
      <c r="Y117" s="54"/>
      <c r="Z117" s="53"/>
      <c r="AA117" s="53"/>
      <c r="AB117" s="54"/>
      <c r="AC117" s="54"/>
      <c r="AD117" s="54"/>
      <c r="AE117" s="54"/>
      <c r="AF117" s="54"/>
      <c r="AG117" s="54"/>
      <c r="AH117" s="54"/>
      <c r="AI117" s="54"/>
      <c r="AJ117" s="54"/>
      <c r="AK117" s="54"/>
      <c r="AL117" s="54"/>
      <c r="AM117" s="54"/>
      <c r="AN117" s="54"/>
      <c r="AO117" s="54"/>
      <c r="AP117" s="53"/>
      <c r="AQ117" s="53"/>
      <c r="AR117" s="54"/>
      <c r="AS117" s="54"/>
      <c r="AT117" s="54"/>
    </row>
    <row r="118" spans="1:46" x14ac:dyDescent="0.3">
      <c r="A118" s="24" t="s">
        <v>229</v>
      </c>
      <c r="B118" s="25" t="s">
        <v>230</v>
      </c>
      <c r="C118" s="53"/>
      <c r="D118" s="53"/>
      <c r="E118" s="53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3"/>
      <c r="Q118" s="53"/>
      <c r="R118" s="53"/>
      <c r="S118" s="53"/>
      <c r="T118" s="54"/>
      <c r="U118" s="54"/>
      <c r="V118" s="54"/>
      <c r="W118" s="54"/>
      <c r="X118" s="54"/>
      <c r="Y118" s="54"/>
      <c r="Z118" s="53"/>
      <c r="AA118" s="53"/>
      <c r="AB118" s="54"/>
      <c r="AC118" s="54"/>
      <c r="AD118" s="54"/>
      <c r="AE118" s="54"/>
      <c r="AF118" s="54"/>
      <c r="AG118" s="54"/>
      <c r="AH118" s="54"/>
      <c r="AI118" s="54"/>
      <c r="AJ118" s="54"/>
      <c r="AK118" s="54"/>
      <c r="AL118" s="54"/>
      <c r="AM118" s="54"/>
      <c r="AN118" s="54"/>
      <c r="AO118" s="54"/>
      <c r="AP118" s="53"/>
      <c r="AQ118" s="53"/>
      <c r="AR118" s="54"/>
      <c r="AS118" s="54"/>
      <c r="AT118" s="54"/>
    </row>
    <row r="119" spans="1:46" x14ac:dyDescent="0.3">
      <c r="A119" s="2" t="s">
        <v>231</v>
      </c>
      <c r="B119" s="3" t="s">
        <v>232</v>
      </c>
      <c r="C119" s="53"/>
      <c r="D119" s="53"/>
      <c r="E119" s="53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3"/>
      <c r="Q119" s="53"/>
      <c r="R119" s="53"/>
      <c r="S119" s="53"/>
      <c r="T119" s="54"/>
      <c r="U119" s="54"/>
      <c r="V119" s="54"/>
      <c r="W119" s="54"/>
      <c r="X119" s="54"/>
      <c r="Y119" s="54"/>
      <c r="Z119" s="53"/>
      <c r="AA119" s="53"/>
      <c r="AB119" s="54"/>
      <c r="AC119" s="54"/>
      <c r="AD119" s="54"/>
      <c r="AE119" s="54"/>
      <c r="AF119" s="54"/>
      <c r="AG119" s="54"/>
      <c r="AH119" s="54"/>
      <c r="AI119" s="54"/>
      <c r="AJ119" s="54"/>
      <c r="AK119" s="54"/>
      <c r="AL119" s="54"/>
      <c r="AM119" s="54"/>
      <c r="AN119" s="54"/>
      <c r="AO119" s="54"/>
      <c r="AP119" s="53"/>
      <c r="AQ119" s="53"/>
      <c r="AR119" s="54"/>
      <c r="AS119" s="54"/>
      <c r="AT119" s="54"/>
    </row>
    <row r="120" spans="1:46" x14ac:dyDescent="0.3">
      <c r="A120" s="4" t="s">
        <v>233</v>
      </c>
      <c r="B120" s="5" t="s">
        <v>234</v>
      </c>
      <c r="C120" s="53"/>
      <c r="D120" s="53"/>
      <c r="E120" s="53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3"/>
      <c r="Q120" s="53"/>
      <c r="R120" s="53"/>
      <c r="S120" s="53"/>
      <c r="T120" s="54"/>
      <c r="U120" s="54"/>
      <c r="V120" s="54"/>
      <c r="W120" s="54"/>
      <c r="X120" s="54"/>
      <c r="Y120" s="54"/>
      <c r="Z120" s="53"/>
      <c r="AA120" s="53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3"/>
      <c r="AQ120" s="53"/>
      <c r="AR120" s="54"/>
      <c r="AS120" s="54"/>
      <c r="AT120" s="54"/>
    </row>
    <row r="121" spans="1:46" x14ac:dyDescent="0.3">
      <c r="A121" s="2" t="s">
        <v>235</v>
      </c>
      <c r="B121" s="3" t="s">
        <v>236</v>
      </c>
      <c r="C121" s="53"/>
      <c r="D121" s="53"/>
      <c r="E121" s="53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3"/>
      <c r="Q121" s="53"/>
      <c r="R121" s="53"/>
      <c r="S121" s="53"/>
      <c r="T121" s="54"/>
      <c r="U121" s="54"/>
      <c r="V121" s="54"/>
      <c r="W121" s="54"/>
      <c r="X121" s="54"/>
      <c r="Y121" s="54"/>
      <c r="Z121" s="53"/>
      <c r="AA121" s="53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3"/>
      <c r="AQ121" s="53"/>
      <c r="AR121" s="54"/>
      <c r="AS121" s="54"/>
      <c r="AT121" s="54"/>
    </row>
    <row r="122" spans="1:46" x14ac:dyDescent="0.3">
      <c r="A122" s="2" t="s">
        <v>237</v>
      </c>
      <c r="B122" s="3" t="s">
        <v>238</v>
      </c>
      <c r="C122" s="53"/>
      <c r="D122" s="53"/>
      <c r="E122" s="53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3"/>
      <c r="Q122" s="53"/>
      <c r="R122" s="53"/>
      <c r="S122" s="53"/>
      <c r="T122" s="54"/>
      <c r="U122" s="54"/>
      <c r="V122" s="54"/>
      <c r="W122" s="54"/>
      <c r="X122" s="54"/>
      <c r="Y122" s="54"/>
      <c r="Z122" s="53"/>
      <c r="AA122" s="53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4"/>
      <c r="AM122" s="54"/>
      <c r="AN122" s="54"/>
      <c r="AO122" s="54"/>
      <c r="AP122" s="53"/>
      <c r="AQ122" s="53"/>
      <c r="AR122" s="54"/>
      <c r="AS122" s="54"/>
      <c r="AT122" s="54"/>
    </row>
    <row r="123" spans="1:46" x14ac:dyDescent="0.3">
      <c r="A123" s="11" t="s">
        <v>239</v>
      </c>
      <c r="B123" s="12" t="s">
        <v>240</v>
      </c>
      <c r="C123" s="53"/>
      <c r="D123" s="53"/>
      <c r="E123" s="53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3"/>
      <c r="Q123" s="53"/>
      <c r="R123" s="53"/>
      <c r="S123" s="53"/>
      <c r="T123" s="54"/>
      <c r="U123" s="54"/>
      <c r="V123" s="54"/>
      <c r="W123" s="54"/>
      <c r="X123" s="54"/>
      <c r="Y123" s="54"/>
      <c r="Z123" s="53"/>
      <c r="AA123" s="53"/>
      <c r="AB123" s="54"/>
      <c r="AC123" s="54"/>
      <c r="AD123" s="54"/>
      <c r="AE123" s="54"/>
      <c r="AF123" s="54"/>
      <c r="AG123" s="54"/>
      <c r="AH123" s="54"/>
      <c r="AI123" s="54"/>
      <c r="AJ123" s="54"/>
      <c r="AK123" s="54"/>
      <c r="AL123" s="54"/>
      <c r="AM123" s="54"/>
      <c r="AN123" s="54"/>
      <c r="AO123" s="54"/>
      <c r="AP123" s="53"/>
      <c r="AQ123" s="53"/>
      <c r="AR123" s="54"/>
      <c r="AS123" s="54"/>
      <c r="AT123" s="54"/>
    </row>
    <row r="124" spans="1:46" x14ac:dyDescent="0.3">
      <c r="A124" s="2" t="s">
        <v>241</v>
      </c>
      <c r="B124" s="3" t="s">
        <v>242</v>
      </c>
      <c r="C124" s="53"/>
      <c r="D124" s="53"/>
      <c r="E124" s="53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3"/>
      <c r="Q124" s="53"/>
      <c r="R124" s="53"/>
      <c r="S124" s="53"/>
      <c r="T124" s="54"/>
      <c r="U124" s="54"/>
      <c r="V124" s="54"/>
      <c r="W124" s="54"/>
      <c r="X124" s="54"/>
      <c r="Y124" s="54"/>
      <c r="Z124" s="53"/>
      <c r="AA124" s="53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3"/>
      <c r="AQ124" s="53"/>
      <c r="AR124" s="54"/>
      <c r="AS124" s="54"/>
      <c r="AT124" s="54"/>
    </row>
    <row r="125" spans="1:46" x14ac:dyDescent="0.3">
      <c r="A125" s="11" t="s">
        <v>243</v>
      </c>
      <c r="B125" s="12" t="s">
        <v>244</v>
      </c>
      <c r="C125" s="53"/>
      <c r="D125" s="53"/>
      <c r="E125" s="53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3"/>
      <c r="Q125" s="53"/>
      <c r="R125" s="53"/>
      <c r="S125" s="53"/>
      <c r="T125" s="54"/>
      <c r="U125" s="54"/>
      <c r="V125" s="54"/>
      <c r="W125" s="54"/>
      <c r="X125" s="54"/>
      <c r="Y125" s="54"/>
      <c r="Z125" s="53"/>
      <c r="AA125" s="53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3"/>
      <c r="AQ125" s="53"/>
      <c r="AR125" s="54"/>
      <c r="AS125" s="54"/>
      <c r="AT125" s="54"/>
    </row>
    <row r="126" spans="1:46" x14ac:dyDescent="0.3">
      <c r="A126" s="2" t="s">
        <v>245</v>
      </c>
      <c r="B126" s="3" t="s">
        <v>246</v>
      </c>
      <c r="C126" s="53"/>
      <c r="D126" s="53"/>
      <c r="E126" s="53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3"/>
      <c r="Q126" s="53"/>
      <c r="R126" s="53"/>
      <c r="S126" s="53"/>
      <c r="T126" s="54"/>
      <c r="U126" s="54"/>
      <c r="V126" s="54"/>
      <c r="W126" s="54"/>
      <c r="X126" s="54"/>
      <c r="Y126" s="54"/>
      <c r="Z126" s="53"/>
      <c r="AA126" s="53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3"/>
      <c r="AQ126" s="53"/>
      <c r="AR126" s="54"/>
      <c r="AS126" s="54"/>
      <c r="AT126" s="54"/>
    </row>
    <row r="127" spans="1:46" x14ac:dyDescent="0.3">
      <c r="A127" s="24" t="s">
        <v>247</v>
      </c>
      <c r="B127" s="25" t="s">
        <v>248</v>
      </c>
      <c r="C127" s="53"/>
      <c r="D127" s="53"/>
      <c r="E127" s="53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3"/>
      <c r="Q127" s="53"/>
      <c r="R127" s="53"/>
      <c r="S127" s="53"/>
      <c r="T127" s="54"/>
      <c r="U127" s="54"/>
      <c r="V127" s="54"/>
      <c r="W127" s="54"/>
      <c r="X127" s="54"/>
      <c r="Y127" s="54"/>
      <c r="Z127" s="53"/>
      <c r="AA127" s="53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39"/>
      <c r="AQ127" s="53"/>
      <c r="AR127" s="54"/>
      <c r="AS127" s="54"/>
      <c r="AT127" s="54"/>
    </row>
    <row r="128" spans="1:46" x14ac:dyDescent="0.3">
      <c r="A128" s="4" t="s">
        <v>249</v>
      </c>
      <c r="B128" s="5" t="s">
        <v>250</v>
      </c>
      <c r="C128" s="53"/>
      <c r="D128" s="53"/>
      <c r="E128" s="53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3"/>
      <c r="Q128" s="53"/>
      <c r="R128" s="53"/>
      <c r="S128" s="53"/>
      <c r="T128" s="54"/>
      <c r="U128" s="54"/>
      <c r="V128" s="54"/>
      <c r="W128" s="54"/>
      <c r="X128" s="54"/>
      <c r="Y128" s="54"/>
      <c r="Z128" s="53"/>
      <c r="AA128" s="53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3"/>
      <c r="AQ128" s="53"/>
      <c r="AR128" s="54"/>
      <c r="AS128" s="54"/>
      <c r="AT128" s="54"/>
    </row>
    <row r="129" spans="1:46" x14ac:dyDescent="0.3">
      <c r="A129" s="13" t="s">
        <v>251</v>
      </c>
      <c r="B129" s="14" t="s">
        <v>252</v>
      </c>
      <c r="C129" s="53"/>
      <c r="D129" s="53"/>
      <c r="E129" s="53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3"/>
      <c r="Q129" s="53"/>
      <c r="R129" s="53"/>
      <c r="S129" s="53"/>
      <c r="T129" s="54"/>
      <c r="U129" s="54"/>
      <c r="V129" s="54"/>
      <c r="W129" s="54"/>
      <c r="X129" s="54"/>
      <c r="Y129" s="54"/>
      <c r="Z129" s="53"/>
      <c r="AA129" s="53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3"/>
      <c r="AQ129" s="53"/>
      <c r="AR129" s="54"/>
      <c r="AS129" s="54"/>
      <c r="AT129" s="54"/>
    </row>
    <row r="130" spans="1:46" x14ac:dyDescent="0.3">
      <c r="A130" s="24" t="s">
        <v>253</v>
      </c>
      <c r="B130" s="25" t="s">
        <v>254</v>
      </c>
      <c r="C130" s="53"/>
      <c r="D130" s="53"/>
      <c r="E130" s="53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3"/>
      <c r="Q130" s="53"/>
      <c r="R130" s="53"/>
      <c r="S130" s="53"/>
      <c r="T130" s="54"/>
      <c r="U130" s="54"/>
      <c r="V130" s="54"/>
      <c r="W130" s="54"/>
      <c r="X130" s="54"/>
      <c r="Y130" s="54"/>
      <c r="Z130" s="53"/>
      <c r="AA130" s="53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3"/>
      <c r="AQ130" s="53"/>
      <c r="AR130" s="54"/>
      <c r="AS130" s="54"/>
      <c r="AT130" s="54"/>
    </row>
    <row r="131" spans="1:46" x14ac:dyDescent="0.3">
      <c r="A131" s="4" t="s">
        <v>255</v>
      </c>
      <c r="B131" s="5" t="s">
        <v>256</v>
      </c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</row>
    <row r="132" spans="1:46" x14ac:dyDescent="0.3">
      <c r="A132" s="22" t="s">
        <v>257</v>
      </c>
      <c r="B132" s="23" t="s">
        <v>258</v>
      </c>
      <c r="C132" s="53"/>
      <c r="D132" s="53"/>
      <c r="E132" s="53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3"/>
      <c r="Q132" s="53"/>
      <c r="R132" s="53"/>
      <c r="S132" s="53"/>
      <c r="T132" s="54"/>
      <c r="U132" s="54"/>
      <c r="V132" s="54"/>
      <c r="W132" s="54"/>
      <c r="X132" s="54"/>
      <c r="Y132" s="54"/>
      <c r="Z132" s="53"/>
      <c r="AA132" s="53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3"/>
      <c r="AQ132" s="53"/>
      <c r="AR132" s="54"/>
      <c r="AS132" s="54"/>
      <c r="AT132" s="54"/>
    </row>
    <row r="133" spans="1:46" x14ac:dyDescent="0.3">
      <c r="A133" s="2" t="s">
        <v>259</v>
      </c>
      <c r="B133" s="3" t="s">
        <v>260</v>
      </c>
      <c r="C133" s="53"/>
      <c r="D133" s="53"/>
      <c r="E133" s="53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3"/>
      <c r="Q133" s="53"/>
      <c r="R133" s="53"/>
      <c r="S133" s="53"/>
      <c r="T133" s="54"/>
      <c r="U133" s="54"/>
      <c r="V133" s="54"/>
      <c r="W133" s="54"/>
      <c r="X133" s="54"/>
      <c r="Y133" s="54"/>
      <c r="Z133" s="53"/>
      <c r="AA133" s="53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3"/>
      <c r="AQ133" s="53"/>
      <c r="AR133" s="54"/>
      <c r="AS133" s="54"/>
      <c r="AT133" s="54"/>
    </row>
    <row r="134" spans="1:46" x14ac:dyDescent="0.3">
      <c r="A134" s="22" t="s">
        <v>261</v>
      </c>
      <c r="B134" s="23" t="s">
        <v>262</v>
      </c>
      <c r="C134" s="53"/>
      <c r="D134" s="53"/>
      <c r="E134" s="53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3"/>
      <c r="Q134" s="53"/>
      <c r="R134" s="53"/>
      <c r="S134" s="53"/>
      <c r="T134" s="54"/>
      <c r="U134" s="54"/>
      <c r="V134" s="54"/>
      <c r="W134" s="54"/>
      <c r="X134" s="54"/>
      <c r="Y134" s="54"/>
      <c r="Z134" s="53"/>
      <c r="AA134" s="53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  <c r="AN134" s="54"/>
      <c r="AO134" s="54"/>
      <c r="AP134" s="53"/>
      <c r="AQ134" s="53"/>
      <c r="AR134" s="54"/>
      <c r="AS134" s="54"/>
      <c r="AT134" s="54"/>
    </row>
    <row r="135" spans="1:46" x14ac:dyDescent="0.3">
      <c r="A135" s="2" t="s">
        <v>263</v>
      </c>
      <c r="B135" s="3" t="s">
        <v>264</v>
      </c>
      <c r="C135" s="53"/>
      <c r="D135" s="53"/>
      <c r="E135" s="53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3"/>
      <c r="Q135" s="53"/>
      <c r="R135" s="53"/>
      <c r="S135" s="53"/>
      <c r="T135" s="54"/>
      <c r="U135" s="54"/>
      <c r="V135" s="54"/>
      <c r="W135" s="54"/>
      <c r="X135" s="54"/>
      <c r="Y135" s="54"/>
      <c r="Z135" s="53"/>
      <c r="AA135" s="53"/>
      <c r="AB135" s="54"/>
      <c r="AC135" s="54"/>
      <c r="AD135" s="54"/>
      <c r="AE135" s="54"/>
      <c r="AF135" s="54"/>
      <c r="AG135" s="54"/>
      <c r="AH135" s="54"/>
      <c r="AI135" s="54"/>
      <c r="AJ135" s="54"/>
      <c r="AK135" s="54"/>
      <c r="AL135" s="54"/>
      <c r="AM135" s="54"/>
      <c r="AN135" s="54"/>
      <c r="AO135" s="54"/>
      <c r="AP135" s="53"/>
      <c r="AQ135" s="53"/>
      <c r="AR135" s="54"/>
      <c r="AS135" s="54"/>
      <c r="AT135" s="54"/>
    </row>
    <row r="136" spans="1:46" x14ac:dyDescent="0.3">
      <c r="A136" s="4" t="s">
        <v>265</v>
      </c>
      <c r="B136" s="5" t="s">
        <v>266</v>
      </c>
      <c r="C136" s="53"/>
      <c r="D136" s="53"/>
      <c r="E136" s="53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3"/>
      <c r="Q136" s="53"/>
      <c r="R136" s="53"/>
      <c r="S136" s="53"/>
      <c r="T136" s="54"/>
      <c r="U136" s="54"/>
      <c r="V136" s="54"/>
      <c r="W136" s="54"/>
      <c r="X136" s="54"/>
      <c r="Y136" s="54"/>
      <c r="Z136" s="53"/>
      <c r="AA136" s="53"/>
      <c r="AB136" s="54"/>
      <c r="AC136" s="54"/>
      <c r="AD136" s="54"/>
      <c r="AE136" s="54"/>
      <c r="AF136" s="54"/>
      <c r="AG136" s="54"/>
      <c r="AH136" s="54"/>
      <c r="AI136" s="54"/>
      <c r="AJ136" s="54"/>
      <c r="AK136" s="54"/>
      <c r="AL136" s="54"/>
      <c r="AM136" s="54"/>
      <c r="AN136" s="54"/>
      <c r="AO136" s="54"/>
      <c r="AP136" s="53"/>
      <c r="AQ136" s="53"/>
      <c r="AR136" s="54"/>
      <c r="AS136" s="54"/>
      <c r="AT136" s="54"/>
    </row>
    <row r="137" spans="1:46" x14ac:dyDescent="0.3">
      <c r="A137" s="19" t="s">
        <v>267</v>
      </c>
      <c r="B137" s="20" t="s">
        <v>268</v>
      </c>
      <c r="C137" s="53"/>
      <c r="D137" s="53"/>
      <c r="E137" s="53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3"/>
      <c r="Q137" s="53"/>
      <c r="R137" s="53"/>
      <c r="S137" s="53"/>
      <c r="T137" s="54"/>
      <c r="U137" s="54"/>
      <c r="V137" s="54"/>
      <c r="W137" s="54"/>
      <c r="X137" s="54"/>
      <c r="Y137" s="54"/>
      <c r="Z137" s="53"/>
      <c r="AA137" s="53"/>
      <c r="AB137" s="54"/>
      <c r="AC137" s="54"/>
      <c r="AD137" s="54"/>
      <c r="AE137" s="54"/>
      <c r="AF137" s="54"/>
      <c r="AG137" s="54"/>
      <c r="AH137" s="54"/>
      <c r="AI137" s="54"/>
      <c r="AJ137" s="54"/>
      <c r="AK137" s="54"/>
      <c r="AL137" s="54"/>
      <c r="AM137" s="54"/>
      <c r="AN137" s="54"/>
      <c r="AO137" s="54"/>
      <c r="AP137" s="53"/>
      <c r="AQ137" s="53"/>
      <c r="AR137" s="54"/>
      <c r="AS137" s="54"/>
      <c r="AT137" s="54"/>
    </row>
    <row r="138" spans="1:46" x14ac:dyDescent="0.3">
      <c r="A138" s="17" t="s">
        <v>269</v>
      </c>
      <c r="B138" s="18" t="s">
        <v>270</v>
      </c>
      <c r="C138" s="53"/>
      <c r="D138" s="53"/>
      <c r="E138" s="53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3"/>
      <c r="Q138" s="53"/>
      <c r="R138" s="53"/>
      <c r="S138" s="53"/>
      <c r="T138" s="54"/>
      <c r="U138" s="54"/>
      <c r="V138" s="54"/>
      <c r="W138" s="54"/>
      <c r="X138" s="54"/>
      <c r="Y138" s="54"/>
      <c r="Z138" s="53"/>
      <c r="AA138" s="53"/>
      <c r="AB138" s="54"/>
      <c r="AC138" s="54"/>
      <c r="AD138" s="54"/>
      <c r="AE138" s="54"/>
      <c r="AF138" s="54"/>
      <c r="AG138" s="54"/>
      <c r="AH138" s="54"/>
      <c r="AI138" s="54"/>
      <c r="AJ138" s="54"/>
      <c r="AK138" s="54"/>
      <c r="AL138" s="54"/>
      <c r="AM138" s="54"/>
      <c r="AN138" s="54"/>
      <c r="AO138" s="54"/>
      <c r="AP138" s="53"/>
      <c r="AQ138" s="53"/>
      <c r="AR138" s="54"/>
      <c r="AS138" s="54"/>
      <c r="AT138" s="54"/>
    </row>
    <row r="139" spans="1:46" x14ac:dyDescent="0.3">
      <c r="A139" s="15" t="s">
        <v>271</v>
      </c>
      <c r="B139" s="16" t="s">
        <v>272</v>
      </c>
      <c r="C139" s="53"/>
      <c r="D139" s="53"/>
      <c r="E139" s="53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3"/>
      <c r="Q139" s="53"/>
      <c r="R139" s="53"/>
      <c r="S139" s="53"/>
      <c r="T139" s="54"/>
      <c r="U139" s="54"/>
      <c r="V139" s="54"/>
      <c r="W139" s="54"/>
      <c r="X139" s="54"/>
      <c r="Y139" s="54"/>
      <c r="Z139" s="53"/>
      <c r="AA139" s="53"/>
      <c r="AB139" s="54"/>
      <c r="AC139" s="54"/>
      <c r="AD139" s="54"/>
      <c r="AE139" s="54"/>
      <c r="AF139" s="54"/>
      <c r="AG139" s="54"/>
      <c r="AH139" s="54"/>
      <c r="AI139" s="54"/>
      <c r="AJ139" s="54"/>
      <c r="AK139" s="54"/>
      <c r="AL139" s="54"/>
      <c r="AM139" s="54"/>
      <c r="AN139" s="54"/>
      <c r="AO139" s="54"/>
      <c r="AP139" s="53"/>
      <c r="AQ139" s="53"/>
      <c r="AR139" s="54"/>
      <c r="AS139" s="54"/>
      <c r="AT139" s="54"/>
    </row>
    <row r="140" spans="1:46" x14ac:dyDescent="0.3">
      <c r="A140" s="13" t="s">
        <v>273</v>
      </c>
      <c r="B140" s="14" t="s">
        <v>274</v>
      </c>
      <c r="C140" s="53"/>
      <c r="D140" s="53"/>
      <c r="E140" s="53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3"/>
      <c r="Q140" s="53"/>
      <c r="R140" s="53"/>
      <c r="S140" s="53"/>
      <c r="T140" s="54"/>
      <c r="U140" s="54"/>
      <c r="V140" s="54"/>
      <c r="W140" s="54"/>
      <c r="X140" s="54"/>
      <c r="Y140" s="54"/>
      <c r="Z140" s="53"/>
      <c r="AA140" s="53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4"/>
      <c r="AO140" s="54"/>
      <c r="AP140" s="53"/>
      <c r="AQ140" s="53"/>
      <c r="AR140" s="54"/>
      <c r="AS140" s="54"/>
      <c r="AT140" s="54"/>
    </row>
    <row r="141" spans="1:46" x14ac:dyDescent="0.3">
      <c r="A141" s="4" t="s">
        <v>275</v>
      </c>
      <c r="B141" s="5" t="s">
        <v>276</v>
      </c>
      <c r="C141" s="53"/>
      <c r="D141" s="53"/>
      <c r="E141" s="53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3"/>
      <c r="Q141" s="53"/>
      <c r="R141" s="53"/>
      <c r="S141" s="53"/>
      <c r="T141" s="54"/>
      <c r="U141" s="54"/>
      <c r="V141" s="54"/>
      <c r="W141" s="54"/>
      <c r="X141" s="54"/>
      <c r="Y141" s="54"/>
      <c r="Z141" s="53"/>
      <c r="AA141" s="53"/>
      <c r="AB141" s="54"/>
      <c r="AC141" s="54"/>
      <c r="AD141" s="54"/>
      <c r="AE141" s="54"/>
      <c r="AF141" s="54"/>
      <c r="AG141" s="54"/>
      <c r="AH141" s="54"/>
      <c r="AI141" s="54"/>
      <c r="AJ141" s="54"/>
      <c r="AK141" s="54"/>
      <c r="AL141" s="54"/>
      <c r="AM141" s="54"/>
      <c r="AN141" s="54"/>
      <c r="AO141" s="54"/>
      <c r="AP141" s="53"/>
      <c r="AQ141" s="53"/>
      <c r="AR141" s="54"/>
      <c r="AS141" s="54"/>
      <c r="AT141" s="54"/>
    </row>
    <row r="142" spans="1:46" x14ac:dyDescent="0.3">
      <c r="A142" s="13" t="s">
        <v>277</v>
      </c>
      <c r="B142" s="14" t="s">
        <v>278</v>
      </c>
      <c r="C142" s="53"/>
      <c r="D142" s="53"/>
      <c r="E142" s="53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3"/>
      <c r="Q142" s="53"/>
      <c r="R142" s="53"/>
      <c r="S142" s="53"/>
      <c r="T142" s="54"/>
      <c r="U142" s="54"/>
      <c r="V142" s="54"/>
      <c r="W142" s="54"/>
      <c r="X142" s="54"/>
      <c r="Y142" s="54"/>
      <c r="Z142" s="53"/>
      <c r="AA142" s="53"/>
      <c r="AB142" s="54"/>
      <c r="AC142" s="54"/>
      <c r="AD142" s="54"/>
      <c r="AE142" s="54"/>
      <c r="AF142" s="54"/>
      <c r="AG142" s="54"/>
      <c r="AH142" s="54"/>
      <c r="AI142" s="54"/>
      <c r="AJ142" s="54"/>
      <c r="AK142" s="54"/>
      <c r="AL142" s="54"/>
      <c r="AM142" s="54"/>
      <c r="AN142" s="54"/>
      <c r="AO142" s="54"/>
      <c r="AP142" s="53"/>
      <c r="AQ142" s="53"/>
      <c r="AR142" s="54"/>
      <c r="AS142" s="54"/>
      <c r="AT142" s="54"/>
    </row>
    <row r="143" spans="1:46" x14ac:dyDescent="0.3">
      <c r="A143" s="2" t="s">
        <v>279</v>
      </c>
      <c r="B143" s="3" t="s">
        <v>280</v>
      </c>
      <c r="C143" s="53"/>
      <c r="D143" s="53"/>
      <c r="E143" s="53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3"/>
      <c r="Q143" s="53"/>
      <c r="R143" s="53"/>
      <c r="S143" s="53"/>
      <c r="T143" s="54"/>
      <c r="U143" s="54"/>
      <c r="V143" s="54"/>
      <c r="W143" s="54"/>
      <c r="X143" s="54"/>
      <c r="Y143" s="54"/>
      <c r="Z143" s="53"/>
      <c r="AA143" s="53"/>
      <c r="AB143" s="54"/>
      <c r="AC143" s="54"/>
      <c r="AD143" s="54"/>
      <c r="AE143" s="54"/>
      <c r="AF143" s="54"/>
      <c r="AG143" s="54"/>
      <c r="AH143" s="54"/>
      <c r="AI143" s="54"/>
      <c r="AJ143" s="54"/>
      <c r="AK143" s="54"/>
      <c r="AL143" s="54"/>
      <c r="AM143" s="54"/>
      <c r="AN143" s="54"/>
      <c r="AO143" s="54"/>
      <c r="AP143" s="53"/>
      <c r="AQ143" s="53"/>
      <c r="AR143" s="54"/>
      <c r="AS143" s="54"/>
      <c r="AT143" s="54"/>
    </row>
    <row r="144" spans="1:46" x14ac:dyDescent="0.3">
      <c r="A144" s="2" t="s">
        <v>281</v>
      </c>
      <c r="B144" s="3" t="s">
        <v>282</v>
      </c>
      <c r="C144" s="53"/>
      <c r="D144" s="53"/>
      <c r="E144" s="53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3"/>
      <c r="Q144" s="53"/>
      <c r="R144" s="53"/>
      <c r="S144" s="53"/>
      <c r="T144" s="54"/>
      <c r="U144" s="54"/>
      <c r="V144" s="54"/>
      <c r="W144" s="54"/>
      <c r="X144" s="54"/>
      <c r="Y144" s="54"/>
      <c r="Z144" s="53"/>
      <c r="AA144" s="53"/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/>
      <c r="AN144" s="54"/>
      <c r="AO144" s="54"/>
      <c r="AP144" s="53"/>
      <c r="AQ144" s="53"/>
      <c r="AR144" s="54"/>
      <c r="AS144" s="54"/>
      <c r="AT144" s="54"/>
    </row>
    <row r="145" spans="1:46" x14ac:dyDescent="0.3">
      <c r="A145" s="22" t="s">
        <v>283</v>
      </c>
      <c r="B145" s="23" t="s">
        <v>284</v>
      </c>
      <c r="C145" s="53"/>
      <c r="D145" s="53"/>
      <c r="E145" s="53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3"/>
      <c r="Q145" s="53"/>
      <c r="R145" s="53"/>
      <c r="S145" s="53"/>
      <c r="T145" s="54"/>
      <c r="U145" s="54"/>
      <c r="V145" s="54"/>
      <c r="W145" s="54"/>
      <c r="X145" s="54"/>
      <c r="Y145" s="54"/>
      <c r="Z145" s="53"/>
      <c r="AA145" s="53"/>
      <c r="AB145" s="54"/>
      <c r="AC145" s="54"/>
      <c r="AD145" s="54"/>
      <c r="AE145" s="54"/>
      <c r="AF145" s="54"/>
      <c r="AG145" s="54"/>
      <c r="AH145" s="54"/>
      <c r="AI145" s="54"/>
      <c r="AJ145" s="54"/>
      <c r="AK145" s="54"/>
      <c r="AL145" s="54"/>
      <c r="AM145" s="54"/>
      <c r="AN145" s="54"/>
      <c r="AO145" s="54"/>
      <c r="AP145" s="53"/>
      <c r="AQ145" s="53"/>
      <c r="AR145" s="54"/>
      <c r="AS145" s="54"/>
      <c r="AT145" s="54"/>
    </row>
    <row r="146" spans="1:46" x14ac:dyDescent="0.3">
      <c r="A146" s="2" t="s">
        <v>285</v>
      </c>
      <c r="B146" s="3" t="s">
        <v>286</v>
      </c>
      <c r="C146" s="53"/>
      <c r="D146" s="53"/>
      <c r="E146" s="53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3"/>
      <c r="Q146" s="53"/>
      <c r="R146" s="53"/>
      <c r="S146" s="53"/>
      <c r="T146" s="54"/>
      <c r="U146" s="54"/>
      <c r="V146" s="54"/>
      <c r="W146" s="54"/>
      <c r="X146" s="54"/>
      <c r="Y146" s="54"/>
      <c r="Z146" s="53"/>
      <c r="AA146" s="53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/>
      <c r="AN146" s="54"/>
      <c r="AO146" s="54"/>
      <c r="AP146" s="53"/>
      <c r="AQ146" s="53"/>
      <c r="AR146" s="54"/>
      <c r="AS146" s="54"/>
      <c r="AT146" s="54"/>
    </row>
    <row r="147" spans="1:46" x14ac:dyDescent="0.3">
      <c r="A147" s="2" t="s">
        <v>287</v>
      </c>
      <c r="B147" s="3" t="s">
        <v>288</v>
      </c>
      <c r="C147" s="53"/>
      <c r="D147" s="53"/>
      <c r="E147" s="53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3"/>
      <c r="Q147" s="53"/>
      <c r="R147" s="53"/>
      <c r="S147" s="53"/>
      <c r="T147" s="54"/>
      <c r="U147" s="54"/>
      <c r="V147" s="54"/>
      <c r="W147" s="54"/>
      <c r="X147" s="54"/>
      <c r="Y147" s="54"/>
      <c r="Z147" s="53"/>
      <c r="AA147" s="53"/>
      <c r="AB147" s="54"/>
      <c r="AC147" s="54"/>
      <c r="AD147" s="54"/>
      <c r="AE147" s="54"/>
      <c r="AF147" s="54"/>
      <c r="AG147" s="54"/>
      <c r="AH147" s="54"/>
      <c r="AI147" s="54"/>
      <c r="AJ147" s="54"/>
      <c r="AK147" s="54"/>
      <c r="AL147" s="54"/>
      <c r="AM147" s="54"/>
      <c r="AN147" s="54"/>
      <c r="AO147" s="54"/>
      <c r="AP147" s="53"/>
      <c r="AQ147" s="53"/>
      <c r="AR147" s="54"/>
      <c r="AS147" s="54"/>
      <c r="AT147" s="54"/>
    </row>
    <row r="148" spans="1:46" x14ac:dyDescent="0.3">
      <c r="A148" s="2" t="s">
        <v>289</v>
      </c>
      <c r="B148" s="3" t="s">
        <v>290</v>
      </c>
      <c r="C148" s="53"/>
      <c r="D148" s="53"/>
      <c r="E148" s="53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3"/>
      <c r="Q148" s="53"/>
      <c r="R148" s="53"/>
      <c r="S148" s="53"/>
      <c r="T148" s="54"/>
      <c r="U148" s="54"/>
      <c r="V148" s="54"/>
      <c r="W148" s="54"/>
      <c r="X148" s="54"/>
      <c r="Y148" s="54"/>
      <c r="Z148" s="53"/>
      <c r="AA148" s="53"/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/>
      <c r="AN148" s="54"/>
      <c r="AO148" s="54"/>
      <c r="AP148" s="53"/>
      <c r="AQ148" s="53"/>
      <c r="AR148" s="54"/>
      <c r="AS148" s="54"/>
      <c r="AT148" s="54"/>
    </row>
    <row r="149" spans="1:46" x14ac:dyDescent="0.3">
      <c r="A149" s="17" t="s">
        <v>291</v>
      </c>
      <c r="B149" s="18" t="s">
        <v>292</v>
      </c>
      <c r="C149" s="53"/>
      <c r="D149" s="53"/>
      <c r="E149" s="53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3"/>
      <c r="Q149" s="53"/>
      <c r="R149" s="53"/>
      <c r="S149" s="53"/>
      <c r="T149" s="54"/>
      <c r="U149" s="54"/>
      <c r="V149" s="54"/>
      <c r="W149" s="54"/>
      <c r="X149" s="54"/>
      <c r="Y149" s="54"/>
      <c r="Z149" s="53"/>
      <c r="AA149" s="53"/>
      <c r="AB149" s="54"/>
      <c r="AC149" s="54"/>
      <c r="AD149" s="54"/>
      <c r="AE149" s="54"/>
      <c r="AF149" s="54"/>
      <c r="AG149" s="54"/>
      <c r="AH149" s="54"/>
      <c r="AI149" s="54"/>
      <c r="AJ149" s="54"/>
      <c r="AK149" s="54"/>
      <c r="AL149" s="54"/>
      <c r="AM149" s="54"/>
      <c r="AN149" s="54"/>
      <c r="AO149" s="54"/>
      <c r="AP149" s="53"/>
      <c r="AQ149" s="53"/>
      <c r="AR149" s="54"/>
      <c r="AS149" s="54"/>
      <c r="AT149" s="54"/>
    </row>
    <row r="150" spans="1:46" x14ac:dyDescent="0.3">
      <c r="A150" s="9" t="s">
        <v>293</v>
      </c>
      <c r="B150" s="10" t="s">
        <v>294</v>
      </c>
      <c r="C150" s="53"/>
      <c r="D150" s="53"/>
      <c r="E150" s="53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3"/>
      <c r="Q150" s="53"/>
      <c r="R150" s="53"/>
      <c r="S150" s="53"/>
      <c r="T150" s="54"/>
      <c r="U150" s="54"/>
      <c r="V150" s="54"/>
      <c r="W150" s="54"/>
      <c r="X150" s="54"/>
      <c r="Y150" s="54"/>
      <c r="Z150" s="53"/>
      <c r="AA150" s="53"/>
      <c r="AB150" s="54"/>
      <c r="AC150" s="54"/>
      <c r="AD150" s="54"/>
      <c r="AE150" s="54"/>
      <c r="AF150" s="54"/>
      <c r="AG150" s="54"/>
      <c r="AH150" s="54"/>
      <c r="AI150" s="54"/>
      <c r="AJ150" s="54"/>
      <c r="AK150" s="54"/>
      <c r="AL150" s="54"/>
      <c r="AM150" s="54"/>
      <c r="AN150" s="54"/>
      <c r="AO150" s="54"/>
      <c r="AP150" s="53"/>
      <c r="AQ150" s="53"/>
      <c r="AR150" s="54"/>
      <c r="AS150" s="54"/>
      <c r="AT150" s="54"/>
    </row>
    <row r="151" spans="1:46" x14ac:dyDescent="0.3">
      <c r="A151" s="13" t="s">
        <v>295</v>
      </c>
      <c r="B151" s="14" t="s">
        <v>296</v>
      </c>
      <c r="C151" s="53"/>
      <c r="D151" s="53"/>
      <c r="E151" s="53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3"/>
      <c r="Q151" s="53"/>
      <c r="R151" s="53"/>
      <c r="S151" s="53"/>
      <c r="T151" s="54"/>
      <c r="U151" s="54"/>
      <c r="V151" s="54"/>
      <c r="W151" s="54"/>
      <c r="X151" s="54"/>
      <c r="Y151" s="54"/>
      <c r="Z151" s="53"/>
      <c r="AA151" s="53"/>
      <c r="AB151" s="54"/>
      <c r="AC151" s="54"/>
      <c r="AD151" s="54"/>
      <c r="AE151" s="54"/>
      <c r="AF151" s="54"/>
      <c r="AG151" s="54"/>
      <c r="AH151" s="54"/>
      <c r="AI151" s="54"/>
      <c r="AJ151" s="54"/>
      <c r="AK151" s="54"/>
      <c r="AL151" s="54"/>
      <c r="AM151" s="54"/>
      <c r="AN151" s="54"/>
      <c r="AO151" s="54"/>
      <c r="AP151" s="53"/>
      <c r="AQ151" s="53"/>
      <c r="AR151" s="54"/>
      <c r="AS151" s="54"/>
      <c r="AT151" s="54"/>
    </row>
    <row r="152" spans="1:46" x14ac:dyDescent="0.3">
      <c r="A152" s="24" t="s">
        <v>297</v>
      </c>
      <c r="B152" s="25" t="s">
        <v>298</v>
      </c>
      <c r="C152" s="53"/>
      <c r="D152" s="53"/>
      <c r="E152" s="53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3"/>
      <c r="Q152" s="53"/>
      <c r="R152" s="53"/>
      <c r="S152" s="53"/>
      <c r="T152" s="54"/>
      <c r="U152" s="54"/>
      <c r="V152" s="54"/>
      <c r="W152" s="54"/>
      <c r="X152" s="54"/>
      <c r="Y152" s="54"/>
      <c r="Z152" s="53"/>
      <c r="AA152" s="53"/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54"/>
      <c r="AM152" s="54"/>
      <c r="AN152" s="54"/>
      <c r="AO152" s="54"/>
      <c r="AP152" s="53"/>
      <c r="AQ152" s="53"/>
      <c r="AR152" s="54"/>
      <c r="AS152" s="54"/>
      <c r="AT152" s="54"/>
    </row>
    <row r="153" spans="1:46" x14ac:dyDescent="0.3">
      <c r="A153" s="19" t="s">
        <v>299</v>
      </c>
      <c r="B153" s="20" t="s">
        <v>300</v>
      </c>
      <c r="C153" s="53"/>
      <c r="D153" s="53"/>
      <c r="E153" s="53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3"/>
      <c r="Q153" s="53"/>
      <c r="R153" s="53"/>
      <c r="S153" s="53"/>
      <c r="T153" s="54"/>
      <c r="U153" s="54"/>
      <c r="V153" s="54"/>
      <c r="W153" s="54"/>
      <c r="X153" s="54"/>
      <c r="Y153" s="54"/>
      <c r="Z153" s="53"/>
      <c r="AA153" s="53"/>
      <c r="AB153" s="54"/>
      <c r="AC153" s="54"/>
      <c r="AD153" s="54"/>
      <c r="AE153" s="54"/>
      <c r="AF153" s="54"/>
      <c r="AG153" s="54"/>
      <c r="AH153" s="54"/>
      <c r="AI153" s="54"/>
      <c r="AJ153" s="54"/>
      <c r="AK153" s="54"/>
      <c r="AL153" s="54"/>
      <c r="AM153" s="54"/>
      <c r="AN153" s="54"/>
      <c r="AO153" s="54"/>
      <c r="AP153" s="53"/>
      <c r="AQ153" s="53"/>
      <c r="AR153" s="54"/>
      <c r="AS153" s="54"/>
      <c r="AT153" s="54"/>
    </row>
    <row r="154" spans="1:46" x14ac:dyDescent="0.3">
      <c r="A154" s="2" t="s">
        <v>301</v>
      </c>
      <c r="B154" s="3" t="s">
        <v>302</v>
      </c>
      <c r="C154" s="53"/>
      <c r="D154" s="53"/>
      <c r="E154" s="53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3"/>
      <c r="Q154" s="53"/>
      <c r="R154" s="53"/>
      <c r="S154" s="53"/>
      <c r="T154" s="54"/>
      <c r="U154" s="54"/>
      <c r="V154" s="54"/>
      <c r="W154" s="54"/>
      <c r="X154" s="54"/>
      <c r="Y154" s="54"/>
      <c r="Z154" s="53"/>
      <c r="AA154" s="53"/>
      <c r="AB154" s="54"/>
      <c r="AC154" s="54"/>
      <c r="AD154" s="54"/>
      <c r="AE154" s="54"/>
      <c r="AF154" s="54"/>
      <c r="AG154" s="54"/>
      <c r="AH154" s="54"/>
      <c r="AI154" s="54"/>
      <c r="AJ154" s="54"/>
      <c r="AK154" s="54"/>
      <c r="AL154" s="54"/>
      <c r="AM154" s="54"/>
      <c r="AN154" s="54"/>
      <c r="AO154" s="54"/>
      <c r="AP154" s="53"/>
      <c r="AQ154" s="53"/>
      <c r="AR154" s="54"/>
      <c r="AS154" s="54"/>
      <c r="AT154" s="54"/>
    </row>
    <row r="155" spans="1:46" x14ac:dyDescent="0.3">
      <c r="A155" s="4" t="s">
        <v>303</v>
      </c>
      <c r="B155" s="5" t="s">
        <v>304</v>
      </c>
      <c r="C155" s="53"/>
      <c r="D155" s="53"/>
      <c r="E155" s="53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3"/>
      <c r="Q155" s="53"/>
      <c r="R155" s="53"/>
      <c r="S155" s="53"/>
      <c r="T155" s="54"/>
      <c r="U155" s="54"/>
      <c r="V155" s="54"/>
      <c r="W155" s="54"/>
      <c r="X155" s="54"/>
      <c r="Y155" s="54"/>
      <c r="Z155" s="53"/>
      <c r="AA155" s="53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3"/>
      <c r="AQ155" s="53"/>
      <c r="AR155" s="54"/>
      <c r="AS155" s="54"/>
      <c r="AT155" s="54"/>
    </row>
    <row r="156" spans="1:46" x14ac:dyDescent="0.3">
      <c r="A156" s="2" t="s">
        <v>305</v>
      </c>
      <c r="B156" s="3" t="s">
        <v>306</v>
      </c>
      <c r="C156" s="53"/>
      <c r="D156" s="53"/>
      <c r="E156" s="53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3"/>
      <c r="Q156" s="53"/>
      <c r="R156" s="53"/>
      <c r="S156" s="53"/>
      <c r="T156" s="54"/>
      <c r="U156" s="54"/>
      <c r="V156" s="54"/>
      <c r="W156" s="54"/>
      <c r="X156" s="54"/>
      <c r="Y156" s="54"/>
      <c r="Z156" s="53"/>
      <c r="AA156" s="53"/>
      <c r="AB156" s="54"/>
      <c r="AC156" s="54"/>
      <c r="AD156" s="54"/>
      <c r="AE156" s="54"/>
      <c r="AF156" s="54"/>
      <c r="AG156" s="54"/>
      <c r="AH156" s="54"/>
      <c r="AI156" s="54"/>
      <c r="AJ156" s="54"/>
      <c r="AK156" s="54"/>
      <c r="AL156" s="54"/>
      <c r="AM156" s="54"/>
      <c r="AN156" s="54"/>
      <c r="AO156" s="54"/>
      <c r="AP156" s="53"/>
      <c r="AQ156" s="53"/>
      <c r="AR156" s="54"/>
      <c r="AS156" s="54"/>
      <c r="AT156" s="54"/>
    </row>
    <row r="157" spans="1:46" x14ac:dyDescent="0.3">
      <c r="A157" s="9" t="s">
        <v>307</v>
      </c>
      <c r="B157" s="10" t="s">
        <v>308</v>
      </c>
      <c r="C157" s="53"/>
      <c r="D157" s="53"/>
      <c r="E157" s="53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3"/>
      <c r="Q157" s="53"/>
      <c r="R157" s="53"/>
      <c r="S157" s="53"/>
      <c r="T157" s="54"/>
      <c r="U157" s="54"/>
      <c r="V157" s="54"/>
      <c r="W157" s="54"/>
      <c r="X157" s="54"/>
      <c r="Y157" s="54"/>
      <c r="Z157" s="53"/>
      <c r="AA157" s="53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3"/>
      <c r="AQ157" s="53"/>
      <c r="AR157" s="54"/>
      <c r="AS157" s="54"/>
      <c r="AT157" s="54"/>
    </row>
    <row r="158" spans="1:46" x14ac:dyDescent="0.3">
      <c r="A158" s="15" t="s">
        <v>309</v>
      </c>
      <c r="B158" s="16" t="s">
        <v>310</v>
      </c>
      <c r="C158" s="53"/>
      <c r="D158" s="53"/>
      <c r="E158" s="53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3"/>
      <c r="Q158" s="53"/>
      <c r="R158" s="53"/>
      <c r="S158" s="53"/>
      <c r="T158" s="54"/>
      <c r="U158" s="54"/>
      <c r="V158" s="54"/>
      <c r="W158" s="54"/>
      <c r="X158" s="54"/>
      <c r="Y158" s="54"/>
      <c r="Z158" s="53"/>
      <c r="AA158" s="53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3"/>
      <c r="AQ158" s="53"/>
      <c r="AR158" s="54"/>
      <c r="AS158" s="54"/>
      <c r="AT158" s="54"/>
    </row>
    <row r="159" spans="1:46" x14ac:dyDescent="0.3">
      <c r="A159" s="17" t="s">
        <v>311</v>
      </c>
      <c r="B159" s="18" t="s">
        <v>312</v>
      </c>
      <c r="C159" s="53"/>
      <c r="D159" s="53"/>
      <c r="E159" s="53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3"/>
      <c r="Q159" s="53"/>
      <c r="R159" s="53"/>
      <c r="S159" s="53"/>
      <c r="T159" s="54"/>
      <c r="U159" s="54"/>
      <c r="V159" s="54"/>
      <c r="W159" s="54"/>
      <c r="X159" s="54"/>
      <c r="Y159" s="54"/>
      <c r="Z159" s="53"/>
      <c r="AA159" s="53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3"/>
      <c r="AQ159" s="53"/>
      <c r="AR159" s="54"/>
      <c r="AS159" s="54"/>
      <c r="AT159" s="54"/>
    </row>
    <row r="160" spans="1:46" x14ac:dyDescent="0.3">
      <c r="A160" s="2" t="s">
        <v>313</v>
      </c>
      <c r="B160" s="3" t="s">
        <v>314</v>
      </c>
      <c r="C160" s="53"/>
      <c r="D160" s="53"/>
      <c r="E160" s="53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3"/>
      <c r="Q160" s="53"/>
      <c r="R160" s="53"/>
      <c r="S160" s="53"/>
      <c r="T160" s="54"/>
      <c r="U160" s="54"/>
      <c r="V160" s="54"/>
      <c r="W160" s="54"/>
      <c r="X160" s="54"/>
      <c r="Y160" s="54"/>
      <c r="Z160" s="53"/>
      <c r="AA160" s="53"/>
      <c r="AB160" s="54"/>
      <c r="AC160" s="54"/>
      <c r="AD160" s="54"/>
      <c r="AE160" s="54"/>
      <c r="AF160" s="54"/>
      <c r="AG160" s="54"/>
      <c r="AH160" s="54"/>
      <c r="AI160" s="54"/>
      <c r="AJ160" s="54"/>
      <c r="AK160" s="54"/>
      <c r="AL160" s="54"/>
      <c r="AM160" s="54"/>
      <c r="AN160" s="54"/>
      <c r="AO160" s="54"/>
      <c r="AP160" s="53"/>
      <c r="AQ160" s="53"/>
      <c r="AR160" s="54"/>
      <c r="AS160" s="54"/>
      <c r="AT160" s="54"/>
    </row>
    <row r="161" spans="1:46" x14ac:dyDescent="0.3">
      <c r="A161" s="13" t="s">
        <v>315</v>
      </c>
      <c r="B161" s="14" t="s">
        <v>316</v>
      </c>
      <c r="C161" s="53"/>
      <c r="D161" s="53"/>
      <c r="E161" s="53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3"/>
      <c r="Q161" s="53"/>
      <c r="R161" s="53"/>
      <c r="S161" s="53"/>
      <c r="T161" s="54"/>
      <c r="U161" s="54"/>
      <c r="V161" s="54"/>
      <c r="W161" s="54"/>
      <c r="X161" s="54"/>
      <c r="Y161" s="54"/>
      <c r="Z161" s="53"/>
      <c r="AA161" s="53"/>
      <c r="AB161" s="54"/>
      <c r="AC161" s="54"/>
      <c r="AD161" s="54"/>
      <c r="AE161" s="54"/>
      <c r="AF161" s="54"/>
      <c r="AG161" s="54"/>
      <c r="AH161" s="54"/>
      <c r="AI161" s="54"/>
      <c r="AJ161" s="54"/>
      <c r="AK161" s="54"/>
      <c r="AL161" s="54"/>
      <c r="AM161" s="54"/>
      <c r="AN161" s="54"/>
      <c r="AO161" s="54"/>
      <c r="AP161" s="53"/>
      <c r="AQ161" s="53"/>
      <c r="AR161" s="54"/>
      <c r="AS161" s="54"/>
      <c r="AT161" s="54"/>
    </row>
    <row r="162" spans="1:46" x14ac:dyDescent="0.3">
      <c r="A162" s="24" t="s">
        <v>317</v>
      </c>
      <c r="B162" s="25" t="s">
        <v>318</v>
      </c>
      <c r="C162" s="53"/>
      <c r="D162" s="53"/>
      <c r="E162" s="53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3"/>
      <c r="Q162" s="53"/>
      <c r="R162" s="53"/>
      <c r="S162" s="53"/>
      <c r="T162" s="54"/>
      <c r="U162" s="54"/>
      <c r="V162" s="54"/>
      <c r="W162" s="54"/>
      <c r="X162" s="54"/>
      <c r="Y162" s="54"/>
      <c r="Z162" s="53"/>
      <c r="AA162" s="53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3"/>
      <c r="AQ162" s="53"/>
      <c r="AR162" s="54"/>
      <c r="AS162" s="54"/>
      <c r="AT162" s="54"/>
    </row>
    <row r="163" spans="1:46" x14ac:dyDescent="0.3">
      <c r="A163" s="2" t="s">
        <v>319</v>
      </c>
      <c r="B163" s="3" t="s">
        <v>320</v>
      </c>
      <c r="C163" s="53"/>
      <c r="D163" s="53"/>
      <c r="E163" s="53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3"/>
      <c r="Q163" s="53"/>
      <c r="R163" s="53"/>
      <c r="S163" s="53"/>
      <c r="T163" s="54"/>
      <c r="U163" s="54"/>
      <c r="V163" s="54"/>
      <c r="W163" s="54"/>
      <c r="X163" s="54"/>
      <c r="Y163" s="54"/>
      <c r="Z163" s="53"/>
      <c r="AA163" s="53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3"/>
      <c r="AQ163" s="53"/>
      <c r="AR163" s="54"/>
      <c r="AS163" s="54"/>
      <c r="AT163" s="54"/>
    </row>
    <row r="164" spans="1:46" x14ac:dyDescent="0.3">
      <c r="A164" s="2" t="s">
        <v>321</v>
      </c>
      <c r="B164" s="3" t="s">
        <v>322</v>
      </c>
      <c r="C164" s="53"/>
      <c r="D164" s="53"/>
      <c r="E164" s="53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3"/>
      <c r="Q164" s="53"/>
      <c r="R164" s="53"/>
      <c r="S164" s="53"/>
      <c r="T164" s="54"/>
      <c r="U164" s="54"/>
      <c r="V164" s="54"/>
      <c r="W164" s="54"/>
      <c r="X164" s="54"/>
      <c r="Y164" s="54"/>
      <c r="Z164" s="53"/>
      <c r="AA164" s="53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3"/>
      <c r="AQ164" s="53"/>
      <c r="AR164" s="54"/>
      <c r="AS164" s="54"/>
      <c r="AT164" s="54"/>
    </row>
    <row r="165" spans="1:46" x14ac:dyDescent="0.3">
      <c r="A165" s="2" t="s">
        <v>323</v>
      </c>
      <c r="B165" s="3" t="s">
        <v>324</v>
      </c>
      <c r="C165" s="53"/>
      <c r="D165" s="53"/>
      <c r="E165" s="53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3"/>
      <c r="Q165" s="53"/>
      <c r="R165" s="53"/>
      <c r="S165" s="53"/>
      <c r="T165" s="54"/>
      <c r="U165" s="54"/>
      <c r="V165" s="54"/>
      <c r="W165" s="54"/>
      <c r="X165" s="54"/>
      <c r="Y165" s="54"/>
      <c r="Z165" s="53"/>
      <c r="AA165" s="53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3"/>
      <c r="AQ165" s="53"/>
      <c r="AR165" s="54"/>
      <c r="AS165" s="54"/>
      <c r="AT165" s="54"/>
    </row>
    <row r="166" spans="1:46" x14ac:dyDescent="0.3">
      <c r="A166" s="13" t="s">
        <v>325</v>
      </c>
      <c r="B166" s="14" t="s">
        <v>326</v>
      </c>
      <c r="C166" s="53"/>
      <c r="D166" s="53"/>
      <c r="E166" s="53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3"/>
      <c r="Q166" s="53"/>
      <c r="R166" s="53"/>
      <c r="S166" s="53"/>
      <c r="T166" s="54"/>
      <c r="U166" s="54"/>
      <c r="V166" s="54"/>
      <c r="W166" s="54"/>
      <c r="X166" s="54"/>
      <c r="Y166" s="54"/>
      <c r="Z166" s="53"/>
      <c r="AA166" s="53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3"/>
      <c r="AQ166" s="53"/>
      <c r="AR166" s="54"/>
      <c r="AS166" s="54"/>
      <c r="AT166" s="54"/>
    </row>
    <row r="167" spans="1:46" x14ac:dyDescent="0.3">
      <c r="A167" s="2" t="s">
        <v>327</v>
      </c>
      <c r="B167" s="3" t="s">
        <v>328</v>
      </c>
      <c r="C167" s="53"/>
      <c r="D167" s="53"/>
      <c r="E167" s="53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3"/>
      <c r="Q167" s="53"/>
      <c r="R167" s="53"/>
      <c r="S167" s="53"/>
      <c r="T167" s="54"/>
      <c r="U167" s="54"/>
      <c r="V167" s="54"/>
      <c r="W167" s="54"/>
      <c r="X167" s="54"/>
      <c r="Y167" s="54"/>
      <c r="Z167" s="53"/>
      <c r="AA167" s="53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3"/>
      <c r="AQ167" s="53"/>
      <c r="AR167" s="54"/>
      <c r="AS167" s="54"/>
      <c r="AT167" s="54"/>
    </row>
    <row r="168" spans="1:46" x14ac:dyDescent="0.3">
      <c r="A168" s="2" t="s">
        <v>329</v>
      </c>
      <c r="B168" s="3" t="s">
        <v>330</v>
      </c>
      <c r="C168" s="53"/>
      <c r="D168" s="53"/>
      <c r="E168" s="53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3"/>
      <c r="Q168" s="53"/>
      <c r="R168" s="53"/>
      <c r="S168" s="53"/>
      <c r="T168" s="54"/>
      <c r="U168" s="54"/>
      <c r="V168" s="54"/>
      <c r="W168" s="54"/>
      <c r="X168" s="54"/>
      <c r="Y168" s="54"/>
      <c r="Z168" s="53"/>
      <c r="AA168" s="53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3"/>
      <c r="AQ168" s="53"/>
      <c r="AR168" s="54"/>
      <c r="AS168" s="54"/>
      <c r="AT168" s="54"/>
    </row>
    <row r="169" spans="1:46" x14ac:dyDescent="0.3">
      <c r="A169" s="2" t="s">
        <v>331</v>
      </c>
      <c r="B169" s="3" t="s">
        <v>332</v>
      </c>
      <c r="C169" s="53"/>
      <c r="D169" s="53"/>
      <c r="E169" s="53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3"/>
      <c r="Q169" s="53"/>
      <c r="R169" s="53"/>
      <c r="S169" s="53"/>
      <c r="T169" s="54"/>
      <c r="U169" s="54"/>
      <c r="V169" s="54"/>
      <c r="W169" s="54"/>
      <c r="X169" s="54"/>
      <c r="Y169" s="54"/>
      <c r="Z169" s="53"/>
      <c r="AA169" s="53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3"/>
      <c r="AQ169" s="53"/>
      <c r="AR169" s="54"/>
      <c r="AS169" s="54"/>
      <c r="AT169" s="54"/>
    </row>
    <row r="170" spans="1:46" x14ac:dyDescent="0.3">
      <c r="A170" s="2" t="s">
        <v>333</v>
      </c>
      <c r="B170" s="3" t="s">
        <v>334</v>
      </c>
      <c r="C170" s="53"/>
      <c r="D170" s="53"/>
      <c r="E170" s="53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3"/>
      <c r="Q170" s="53"/>
      <c r="R170" s="53"/>
      <c r="S170" s="53"/>
      <c r="T170" s="54"/>
      <c r="U170" s="54"/>
      <c r="V170" s="54"/>
      <c r="W170" s="54"/>
      <c r="X170" s="54"/>
      <c r="Y170" s="54"/>
      <c r="Z170" s="53"/>
      <c r="AA170" s="53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3"/>
      <c r="AQ170" s="53"/>
      <c r="AR170" s="54"/>
      <c r="AS170" s="54"/>
      <c r="AT170" s="54"/>
    </row>
    <row r="171" spans="1:46" x14ac:dyDescent="0.3">
      <c r="A171" s="4" t="s">
        <v>335</v>
      </c>
      <c r="B171" s="5" t="s">
        <v>336</v>
      </c>
      <c r="C171" s="53"/>
      <c r="D171" s="53"/>
      <c r="E171" s="53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3"/>
      <c r="Q171" s="53"/>
      <c r="R171" s="53"/>
      <c r="S171" s="53"/>
      <c r="T171" s="54"/>
      <c r="U171" s="54"/>
      <c r="V171" s="54"/>
      <c r="W171" s="54"/>
      <c r="X171" s="54"/>
      <c r="Y171" s="54"/>
      <c r="Z171" s="53"/>
      <c r="AA171" s="53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3"/>
      <c r="AQ171" s="53"/>
      <c r="AR171" s="54"/>
      <c r="AS171" s="54"/>
      <c r="AT171" s="54"/>
    </row>
    <row r="172" spans="1:46" x14ac:dyDescent="0.3">
      <c r="A172" s="22" t="s">
        <v>337</v>
      </c>
      <c r="B172" s="23" t="s">
        <v>338</v>
      </c>
      <c r="C172" s="53"/>
      <c r="D172" s="53"/>
      <c r="E172" s="53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3"/>
      <c r="Q172" s="53"/>
      <c r="R172" s="53"/>
      <c r="S172" s="53"/>
      <c r="T172" s="54"/>
      <c r="U172" s="54"/>
      <c r="V172" s="54"/>
      <c r="W172" s="54"/>
      <c r="X172" s="54"/>
      <c r="Y172" s="54"/>
      <c r="Z172" s="53"/>
      <c r="AA172" s="53"/>
      <c r="AB172" s="54"/>
      <c r="AC172" s="54"/>
      <c r="AD172" s="54"/>
      <c r="AE172" s="54"/>
      <c r="AF172" s="54"/>
      <c r="AG172" s="54"/>
      <c r="AH172" s="54"/>
      <c r="AI172" s="54"/>
      <c r="AJ172" s="54"/>
      <c r="AK172" s="54"/>
      <c r="AL172" s="54"/>
      <c r="AM172" s="54"/>
      <c r="AN172" s="54"/>
      <c r="AO172" s="54"/>
      <c r="AP172" s="53"/>
      <c r="AQ172" s="53"/>
      <c r="AR172" s="54"/>
      <c r="AS172" s="54"/>
      <c r="AT172" s="54"/>
    </row>
    <row r="173" spans="1:46" x14ac:dyDescent="0.3">
      <c r="A173" s="13" t="s">
        <v>339</v>
      </c>
      <c r="B173" s="14" t="s">
        <v>340</v>
      </c>
      <c r="C173" s="53"/>
      <c r="D173" s="53"/>
      <c r="E173" s="53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3"/>
      <c r="Q173" s="53"/>
      <c r="R173" s="53"/>
      <c r="S173" s="53"/>
      <c r="T173" s="54"/>
      <c r="U173" s="54"/>
      <c r="V173" s="54"/>
      <c r="W173" s="54"/>
      <c r="X173" s="54"/>
      <c r="Y173" s="54"/>
      <c r="Z173" s="53"/>
      <c r="AA173" s="53"/>
      <c r="AB173" s="54"/>
      <c r="AC173" s="54"/>
      <c r="AD173" s="54"/>
      <c r="AE173" s="54"/>
      <c r="AF173" s="54"/>
      <c r="AG173" s="54"/>
      <c r="AH173" s="54"/>
      <c r="AI173" s="54"/>
      <c r="AJ173" s="54"/>
      <c r="AK173" s="54"/>
      <c r="AL173" s="54"/>
      <c r="AM173" s="54"/>
      <c r="AN173" s="54"/>
      <c r="AO173" s="54"/>
      <c r="AP173" s="53"/>
      <c r="AQ173" s="53"/>
      <c r="AR173" s="54"/>
      <c r="AS173" s="54"/>
      <c r="AT173" s="54"/>
    </row>
    <row r="174" spans="1:46" x14ac:dyDescent="0.3">
      <c r="A174" s="2" t="s">
        <v>341</v>
      </c>
      <c r="B174" s="3" t="s">
        <v>342</v>
      </c>
      <c r="C174" s="53"/>
      <c r="D174" s="53"/>
      <c r="E174" s="53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3"/>
      <c r="Q174" s="53"/>
      <c r="R174" s="53"/>
      <c r="S174" s="53"/>
      <c r="T174" s="54"/>
      <c r="U174" s="54"/>
      <c r="V174" s="54"/>
      <c r="W174" s="54"/>
      <c r="X174" s="54"/>
      <c r="Y174" s="54"/>
      <c r="Z174" s="53"/>
      <c r="AA174" s="53"/>
      <c r="AB174" s="54"/>
      <c r="AC174" s="54"/>
      <c r="AD174" s="54"/>
      <c r="AE174" s="54"/>
      <c r="AF174" s="54"/>
      <c r="AG174" s="54"/>
      <c r="AH174" s="54"/>
      <c r="AI174" s="54"/>
      <c r="AJ174" s="54"/>
      <c r="AK174" s="54"/>
      <c r="AL174" s="54"/>
      <c r="AM174" s="54"/>
      <c r="AN174" s="54"/>
      <c r="AO174" s="54"/>
      <c r="AP174" s="53"/>
      <c r="AQ174" s="53"/>
      <c r="AR174" s="54"/>
      <c r="AS174" s="54"/>
      <c r="AT174" s="54"/>
    </row>
    <row r="175" spans="1:46" x14ac:dyDescent="0.3">
      <c r="A175" s="2" t="s">
        <v>343</v>
      </c>
      <c r="B175" s="3" t="s">
        <v>344</v>
      </c>
      <c r="C175" s="53"/>
      <c r="D175" s="53"/>
      <c r="E175" s="53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3"/>
      <c r="Q175" s="53"/>
      <c r="R175" s="53"/>
      <c r="S175" s="53"/>
      <c r="T175" s="54"/>
      <c r="U175" s="54"/>
      <c r="V175" s="54"/>
      <c r="W175" s="54"/>
      <c r="X175" s="54"/>
      <c r="Y175" s="54"/>
      <c r="Z175" s="53"/>
      <c r="AA175" s="53"/>
      <c r="AB175" s="54"/>
      <c r="AC175" s="54"/>
      <c r="AD175" s="54"/>
      <c r="AE175" s="54"/>
      <c r="AF175" s="54"/>
      <c r="AG175" s="54"/>
      <c r="AH175" s="54"/>
      <c r="AI175" s="54"/>
      <c r="AJ175" s="54"/>
      <c r="AK175" s="54"/>
      <c r="AL175" s="54"/>
      <c r="AM175" s="54"/>
      <c r="AN175" s="54"/>
      <c r="AO175" s="54"/>
      <c r="AP175" s="53"/>
      <c r="AQ175" s="53"/>
      <c r="AR175" s="54"/>
      <c r="AS175" s="54"/>
      <c r="AT175" s="54"/>
    </row>
    <row r="176" spans="1:46" x14ac:dyDescent="0.3">
      <c r="A176" s="4" t="s">
        <v>345</v>
      </c>
      <c r="B176" s="5" t="s">
        <v>346</v>
      </c>
      <c r="C176" s="53"/>
      <c r="D176" s="53"/>
      <c r="E176" s="53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3"/>
      <c r="Q176" s="53"/>
      <c r="R176" s="53"/>
      <c r="S176" s="53"/>
      <c r="T176" s="54"/>
      <c r="U176" s="54"/>
      <c r="V176" s="54"/>
      <c r="W176" s="54"/>
      <c r="X176" s="54"/>
      <c r="Y176" s="54"/>
      <c r="Z176" s="53"/>
      <c r="AA176" s="53"/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  <c r="AL176" s="54"/>
      <c r="AM176" s="54"/>
      <c r="AN176" s="54"/>
      <c r="AO176" s="54"/>
      <c r="AP176" s="53"/>
      <c r="AQ176" s="53"/>
      <c r="AR176" s="54"/>
      <c r="AS176" s="54"/>
      <c r="AT176" s="54"/>
    </row>
    <row r="177" spans="1:46" x14ac:dyDescent="0.3">
      <c r="A177" s="4" t="s">
        <v>347</v>
      </c>
      <c r="B177" s="5" t="s">
        <v>348</v>
      </c>
      <c r="C177" s="53"/>
      <c r="D177" s="53"/>
      <c r="E177" s="53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3"/>
      <c r="Q177" s="53"/>
      <c r="R177" s="53"/>
      <c r="S177" s="53"/>
      <c r="T177" s="54"/>
      <c r="U177" s="54"/>
      <c r="V177" s="54"/>
      <c r="W177" s="54"/>
      <c r="X177" s="54"/>
      <c r="Y177" s="54"/>
      <c r="Z177" s="53"/>
      <c r="AA177" s="53"/>
      <c r="AB177" s="54"/>
      <c r="AC177" s="54"/>
      <c r="AD177" s="54"/>
      <c r="AE177" s="54"/>
      <c r="AF177" s="54"/>
      <c r="AG177" s="54"/>
      <c r="AH177" s="54"/>
      <c r="AI177" s="54"/>
      <c r="AJ177" s="54"/>
      <c r="AK177" s="54"/>
      <c r="AL177" s="54"/>
      <c r="AM177" s="54"/>
      <c r="AN177" s="54"/>
      <c r="AO177" s="54"/>
      <c r="AP177" s="53"/>
      <c r="AQ177" s="53"/>
      <c r="AR177" s="54"/>
      <c r="AS177" s="54"/>
      <c r="AT177" s="54"/>
    </row>
    <row r="178" spans="1:46" x14ac:dyDescent="0.3">
      <c r="A178" s="4" t="s">
        <v>349</v>
      </c>
      <c r="B178" s="5" t="s">
        <v>350</v>
      </c>
      <c r="C178" s="53"/>
      <c r="D178" s="53"/>
      <c r="E178" s="53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3"/>
      <c r="Q178" s="53"/>
      <c r="R178" s="53"/>
      <c r="S178" s="53"/>
      <c r="T178" s="54"/>
      <c r="U178" s="54"/>
      <c r="V178" s="54"/>
      <c r="W178" s="54"/>
      <c r="X178" s="54"/>
      <c r="Y178" s="54"/>
      <c r="Z178" s="53"/>
      <c r="AA178" s="53"/>
      <c r="AB178" s="54"/>
      <c r="AC178" s="54"/>
      <c r="AD178" s="54"/>
      <c r="AE178" s="54"/>
      <c r="AF178" s="54"/>
      <c r="AG178" s="54"/>
      <c r="AH178" s="54"/>
      <c r="AI178" s="54"/>
      <c r="AJ178" s="54"/>
      <c r="AK178" s="54"/>
      <c r="AL178" s="54"/>
      <c r="AM178" s="54"/>
      <c r="AN178" s="54"/>
      <c r="AO178" s="54"/>
      <c r="AP178" s="53"/>
      <c r="AQ178" s="53"/>
      <c r="AR178" s="54"/>
      <c r="AS178" s="54"/>
      <c r="AT178" s="54"/>
    </row>
    <row r="179" spans="1:46" x14ac:dyDescent="0.3">
      <c r="A179" s="13" t="s">
        <v>351</v>
      </c>
      <c r="B179" s="14" t="s">
        <v>352</v>
      </c>
      <c r="C179" s="53"/>
      <c r="D179" s="53"/>
      <c r="E179" s="53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3"/>
      <c r="Q179" s="53"/>
      <c r="R179" s="53"/>
      <c r="S179" s="53"/>
      <c r="T179" s="54"/>
      <c r="U179" s="54"/>
      <c r="V179" s="54"/>
      <c r="W179" s="54"/>
      <c r="X179" s="54"/>
      <c r="Y179" s="54"/>
      <c r="Z179" s="53"/>
      <c r="AA179" s="53"/>
      <c r="AB179" s="54"/>
      <c r="AC179" s="54"/>
      <c r="AD179" s="54"/>
      <c r="AE179" s="54"/>
      <c r="AF179" s="54"/>
      <c r="AG179" s="54"/>
      <c r="AH179" s="54"/>
      <c r="AI179" s="54"/>
      <c r="AJ179" s="54"/>
      <c r="AK179" s="54"/>
      <c r="AL179" s="54"/>
      <c r="AM179" s="54"/>
      <c r="AN179" s="54"/>
      <c r="AO179" s="54"/>
      <c r="AP179" s="53"/>
      <c r="AQ179" s="53"/>
      <c r="AR179" s="54"/>
      <c r="AS179" s="54"/>
      <c r="AT179" s="54"/>
    </row>
    <row r="180" spans="1:46" x14ac:dyDescent="0.3">
      <c r="A180" s="24" t="s">
        <v>353</v>
      </c>
      <c r="B180" s="25" t="s">
        <v>354</v>
      </c>
      <c r="C180" s="53"/>
      <c r="D180" s="53"/>
      <c r="E180" s="53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3"/>
      <c r="Q180" s="53"/>
      <c r="R180" s="53"/>
      <c r="S180" s="53"/>
      <c r="T180" s="54"/>
      <c r="U180" s="54"/>
      <c r="V180" s="54"/>
      <c r="W180" s="54"/>
      <c r="X180" s="54"/>
      <c r="Y180" s="54"/>
      <c r="Z180" s="53"/>
      <c r="AA180" s="53"/>
      <c r="AB180" s="54"/>
      <c r="AC180" s="54"/>
      <c r="AD180" s="54"/>
      <c r="AE180" s="54"/>
      <c r="AF180" s="54"/>
      <c r="AG180" s="54"/>
      <c r="AH180" s="54"/>
      <c r="AI180" s="54"/>
      <c r="AJ180" s="54"/>
      <c r="AK180" s="54"/>
      <c r="AL180" s="54"/>
      <c r="AM180" s="54"/>
      <c r="AN180" s="54"/>
      <c r="AO180" s="54"/>
      <c r="AP180" s="53"/>
      <c r="AQ180" s="53"/>
      <c r="AR180" s="54"/>
      <c r="AS180" s="54"/>
      <c r="AT180" s="54"/>
    </row>
    <row r="181" spans="1:46" x14ac:dyDescent="0.3">
      <c r="A181" s="17" t="s">
        <v>355</v>
      </c>
      <c r="B181" s="18" t="s">
        <v>356</v>
      </c>
      <c r="C181" s="53"/>
      <c r="D181" s="53"/>
      <c r="E181" s="53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3"/>
      <c r="Q181" s="53"/>
      <c r="R181" s="53"/>
      <c r="S181" s="53"/>
      <c r="T181" s="54"/>
      <c r="U181" s="54"/>
      <c r="V181" s="54"/>
      <c r="W181" s="54"/>
      <c r="X181" s="54"/>
      <c r="Y181" s="54"/>
      <c r="Z181" s="53"/>
      <c r="AA181" s="53"/>
      <c r="AB181" s="54"/>
      <c r="AC181" s="54"/>
      <c r="AD181" s="54"/>
      <c r="AE181" s="54"/>
      <c r="AF181" s="54"/>
      <c r="AG181" s="54"/>
      <c r="AH181" s="54"/>
      <c r="AI181" s="54"/>
      <c r="AJ181" s="54"/>
      <c r="AK181" s="54"/>
      <c r="AL181" s="54"/>
      <c r="AM181" s="54"/>
      <c r="AN181" s="54"/>
      <c r="AO181" s="54"/>
      <c r="AP181" s="53"/>
      <c r="AQ181" s="53"/>
      <c r="AR181" s="54"/>
      <c r="AS181" s="54"/>
      <c r="AT181" s="54"/>
    </row>
    <row r="182" spans="1:46" x14ac:dyDescent="0.3">
      <c r="A182" s="2" t="s">
        <v>357</v>
      </c>
      <c r="B182" s="3" t="s">
        <v>358</v>
      </c>
      <c r="C182" s="53"/>
      <c r="D182" s="53"/>
      <c r="E182" s="53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3"/>
      <c r="Q182" s="53"/>
      <c r="R182" s="53"/>
      <c r="S182" s="53"/>
      <c r="T182" s="54"/>
      <c r="U182" s="54"/>
      <c r="V182" s="54"/>
      <c r="W182" s="54"/>
      <c r="X182" s="54"/>
      <c r="Y182" s="54"/>
      <c r="Z182" s="53"/>
      <c r="AA182" s="53"/>
      <c r="AB182" s="54"/>
      <c r="AC182" s="54"/>
      <c r="AD182" s="54"/>
      <c r="AE182" s="54"/>
      <c r="AF182" s="54"/>
      <c r="AG182" s="54"/>
      <c r="AH182" s="54"/>
      <c r="AI182" s="54"/>
      <c r="AJ182" s="54"/>
      <c r="AK182" s="54"/>
      <c r="AL182" s="54"/>
      <c r="AM182" s="54"/>
      <c r="AN182" s="54"/>
      <c r="AO182" s="54"/>
      <c r="AP182" s="53"/>
      <c r="AQ182" s="53"/>
      <c r="AR182" s="54"/>
      <c r="AS182" s="54"/>
      <c r="AT182" s="54"/>
    </row>
    <row r="183" spans="1:46" x14ac:dyDescent="0.3">
      <c r="A183" s="2" t="s">
        <v>359</v>
      </c>
      <c r="B183" s="3" t="s">
        <v>360</v>
      </c>
      <c r="C183" s="53"/>
      <c r="D183" s="53"/>
      <c r="E183" s="53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3"/>
      <c r="Q183" s="53"/>
      <c r="R183" s="53"/>
      <c r="S183" s="53"/>
      <c r="T183" s="54"/>
      <c r="U183" s="54"/>
      <c r="V183" s="54"/>
      <c r="W183" s="54"/>
      <c r="X183" s="54"/>
      <c r="Y183" s="54"/>
      <c r="Z183" s="53"/>
      <c r="AA183" s="53"/>
      <c r="AB183" s="54"/>
      <c r="AC183" s="54"/>
      <c r="AD183" s="54"/>
      <c r="AE183" s="54"/>
      <c r="AF183" s="54"/>
      <c r="AG183" s="54"/>
      <c r="AH183" s="54"/>
      <c r="AI183" s="54"/>
      <c r="AJ183" s="54"/>
      <c r="AK183" s="54"/>
      <c r="AL183" s="54"/>
      <c r="AM183" s="54"/>
      <c r="AN183" s="54"/>
      <c r="AO183" s="54"/>
      <c r="AP183" s="53"/>
      <c r="AQ183" s="53"/>
      <c r="AR183" s="54"/>
      <c r="AS183" s="54"/>
      <c r="AT183" s="54"/>
    </row>
    <row r="184" spans="1:46" x14ac:dyDescent="0.3">
      <c r="A184" s="22" t="s">
        <v>361</v>
      </c>
      <c r="B184" s="23" t="s">
        <v>362</v>
      </c>
      <c r="C184" s="53"/>
      <c r="D184" s="53"/>
      <c r="E184" s="53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3"/>
      <c r="Q184" s="53"/>
      <c r="R184" s="53"/>
      <c r="S184" s="53"/>
      <c r="T184" s="54"/>
      <c r="U184" s="54"/>
      <c r="V184" s="54"/>
      <c r="W184" s="54"/>
      <c r="X184" s="54"/>
      <c r="Y184" s="54"/>
      <c r="Z184" s="53"/>
      <c r="AA184" s="53"/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/>
      <c r="AN184" s="54"/>
      <c r="AO184" s="54"/>
      <c r="AP184" s="53"/>
      <c r="AQ184" s="53"/>
      <c r="AR184" s="54"/>
      <c r="AS184" s="54"/>
      <c r="AT184" s="54"/>
    </row>
    <row r="185" spans="1:46" x14ac:dyDescent="0.3">
      <c r="A185" s="4" t="s">
        <v>363</v>
      </c>
      <c r="B185" s="5" t="s">
        <v>364</v>
      </c>
      <c r="C185" s="53"/>
      <c r="D185" s="53"/>
      <c r="E185" s="53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3"/>
      <c r="Q185" s="53"/>
      <c r="R185" s="53"/>
      <c r="S185" s="53"/>
      <c r="T185" s="54"/>
      <c r="U185" s="54"/>
      <c r="V185" s="54"/>
      <c r="W185" s="54"/>
      <c r="X185" s="54"/>
      <c r="Y185" s="54"/>
      <c r="Z185" s="53"/>
      <c r="AA185" s="53"/>
      <c r="AB185" s="54"/>
      <c r="AC185" s="54"/>
      <c r="AD185" s="54"/>
      <c r="AE185" s="54"/>
      <c r="AF185" s="54"/>
      <c r="AG185" s="54"/>
      <c r="AH185" s="54"/>
      <c r="AI185" s="54"/>
      <c r="AJ185" s="54"/>
      <c r="AK185" s="54"/>
      <c r="AL185" s="54"/>
      <c r="AM185" s="54"/>
      <c r="AN185" s="54"/>
      <c r="AO185" s="54"/>
      <c r="AP185" s="53"/>
      <c r="AQ185" s="53"/>
      <c r="AR185" s="54"/>
      <c r="AS185" s="54"/>
      <c r="AT185" s="54"/>
    </row>
    <row r="186" spans="1:46" x14ac:dyDescent="0.3">
      <c r="A186" s="13" t="s">
        <v>365</v>
      </c>
      <c r="B186" s="14" t="s">
        <v>366</v>
      </c>
      <c r="C186" s="53"/>
      <c r="D186" s="53"/>
      <c r="E186" s="53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3"/>
      <c r="Q186" s="53"/>
      <c r="R186" s="53"/>
      <c r="S186" s="53"/>
      <c r="T186" s="54"/>
      <c r="U186" s="54"/>
      <c r="V186" s="54"/>
      <c r="W186" s="54"/>
      <c r="X186" s="54"/>
      <c r="Y186" s="54"/>
      <c r="Z186" s="53"/>
      <c r="AA186" s="53"/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54"/>
      <c r="AM186" s="54"/>
      <c r="AN186" s="54"/>
      <c r="AO186" s="54"/>
      <c r="AP186" s="53"/>
      <c r="AQ186" s="53"/>
      <c r="AR186" s="54"/>
      <c r="AS186" s="54"/>
      <c r="AT186" s="54"/>
    </row>
    <row r="187" spans="1:46" x14ac:dyDescent="0.3">
      <c r="A187" s="24" t="s">
        <v>367</v>
      </c>
      <c r="B187" s="23" t="s">
        <v>368</v>
      </c>
      <c r="C187" s="53"/>
      <c r="D187" s="53"/>
      <c r="E187" s="53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3"/>
      <c r="Q187" s="53"/>
      <c r="R187" s="53"/>
      <c r="S187" s="53"/>
      <c r="T187" s="54"/>
      <c r="U187" s="54"/>
      <c r="V187" s="54"/>
      <c r="W187" s="54"/>
      <c r="X187" s="54"/>
      <c r="Y187" s="54"/>
      <c r="Z187" s="53"/>
      <c r="AA187" s="53"/>
      <c r="AB187" s="54"/>
      <c r="AC187" s="54"/>
      <c r="AD187" s="54"/>
      <c r="AE187" s="54"/>
      <c r="AF187" s="54"/>
      <c r="AG187" s="54"/>
      <c r="AH187" s="54"/>
      <c r="AI187" s="54"/>
      <c r="AJ187" s="54"/>
      <c r="AK187" s="54"/>
      <c r="AL187" s="54"/>
      <c r="AM187" s="54"/>
      <c r="AN187" s="54"/>
      <c r="AO187" s="54"/>
      <c r="AP187" s="53"/>
      <c r="AQ187" s="53"/>
      <c r="AR187" s="54"/>
      <c r="AS187" s="54"/>
      <c r="AT187" s="54"/>
    </row>
    <row r="188" spans="1:46" x14ac:dyDescent="0.3">
      <c r="A188" s="4" t="s">
        <v>369</v>
      </c>
      <c r="B188" s="5" t="s">
        <v>370</v>
      </c>
      <c r="C188" s="53"/>
      <c r="D188" s="53"/>
      <c r="E188" s="53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3"/>
      <c r="Q188" s="53"/>
      <c r="R188" s="53"/>
      <c r="S188" s="53"/>
      <c r="T188" s="54"/>
      <c r="U188" s="54"/>
      <c r="V188" s="54"/>
      <c r="W188" s="54"/>
      <c r="X188" s="54"/>
      <c r="Y188" s="54"/>
      <c r="Z188" s="53"/>
      <c r="AA188" s="53"/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/>
      <c r="AN188" s="54"/>
      <c r="AO188" s="54"/>
      <c r="AP188" s="53"/>
      <c r="AQ188" s="53"/>
      <c r="AR188" s="54"/>
      <c r="AS188" s="54"/>
      <c r="AT188" s="54"/>
    </row>
    <row r="189" spans="1:46" x14ac:dyDescent="0.3">
      <c r="A189" s="2" t="s">
        <v>371</v>
      </c>
      <c r="B189" s="3" t="s">
        <v>372</v>
      </c>
      <c r="C189" s="53"/>
      <c r="D189" s="53"/>
      <c r="E189" s="53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3"/>
      <c r="Q189" s="53"/>
      <c r="R189" s="53"/>
      <c r="S189" s="53"/>
      <c r="T189" s="54"/>
      <c r="U189" s="54"/>
      <c r="V189" s="54"/>
      <c r="W189" s="54"/>
      <c r="X189" s="54"/>
      <c r="Y189" s="54"/>
      <c r="Z189" s="53"/>
      <c r="AA189" s="53"/>
      <c r="AB189" s="54"/>
      <c r="AC189" s="54"/>
      <c r="AD189" s="54"/>
      <c r="AE189" s="54"/>
      <c r="AF189" s="54"/>
      <c r="AG189" s="54"/>
      <c r="AH189" s="54"/>
      <c r="AI189" s="54"/>
      <c r="AJ189" s="54"/>
      <c r="AK189" s="54"/>
      <c r="AL189" s="54"/>
      <c r="AM189" s="54"/>
      <c r="AN189" s="54"/>
      <c r="AO189" s="54"/>
      <c r="AP189" s="53"/>
      <c r="AQ189" s="53"/>
      <c r="AR189" s="54"/>
      <c r="AS189" s="54"/>
      <c r="AT189" s="54"/>
    </row>
    <row r="190" spans="1:46" x14ac:dyDescent="0.3">
      <c r="A190" s="2" t="s">
        <v>373</v>
      </c>
      <c r="B190" s="3" t="s">
        <v>374</v>
      </c>
      <c r="C190" s="53"/>
      <c r="D190" s="53"/>
      <c r="E190" s="53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3"/>
      <c r="Q190" s="53"/>
      <c r="R190" s="53"/>
      <c r="S190" s="53"/>
      <c r="T190" s="54"/>
      <c r="U190" s="54"/>
      <c r="V190" s="54"/>
      <c r="W190" s="54"/>
      <c r="X190" s="54"/>
      <c r="Y190" s="54"/>
      <c r="Z190" s="53"/>
      <c r="AA190" s="53"/>
      <c r="AB190" s="54"/>
      <c r="AC190" s="54"/>
      <c r="AD190" s="54"/>
      <c r="AE190" s="54"/>
      <c r="AF190" s="54"/>
      <c r="AG190" s="54"/>
      <c r="AH190" s="54"/>
      <c r="AI190" s="54"/>
      <c r="AJ190" s="54"/>
      <c r="AK190" s="54"/>
      <c r="AL190" s="54"/>
      <c r="AM190" s="54"/>
      <c r="AN190" s="54"/>
      <c r="AO190" s="54"/>
      <c r="AP190" s="53"/>
      <c r="AQ190" s="53"/>
      <c r="AR190" s="54"/>
      <c r="AS190" s="54"/>
      <c r="AT190" s="54"/>
    </row>
    <row r="191" spans="1:46" x14ac:dyDescent="0.3">
      <c r="A191" s="2" t="s">
        <v>375</v>
      </c>
      <c r="B191" s="3" t="s">
        <v>376</v>
      </c>
      <c r="C191" s="53"/>
      <c r="D191" s="53"/>
      <c r="E191" s="53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3"/>
      <c r="Q191" s="53"/>
      <c r="R191" s="53"/>
      <c r="S191" s="53"/>
      <c r="T191" s="54"/>
      <c r="U191" s="54"/>
      <c r="V191" s="54"/>
      <c r="W191" s="54"/>
      <c r="X191" s="54"/>
      <c r="Y191" s="54"/>
      <c r="Z191" s="53"/>
      <c r="AA191" s="53"/>
      <c r="AB191" s="54"/>
      <c r="AC191" s="54"/>
      <c r="AD191" s="54"/>
      <c r="AE191" s="54"/>
      <c r="AF191" s="54"/>
      <c r="AG191" s="54"/>
      <c r="AH191" s="54"/>
      <c r="AI191" s="54"/>
      <c r="AJ191" s="54"/>
      <c r="AK191" s="54"/>
      <c r="AL191" s="54"/>
      <c r="AM191" s="54"/>
      <c r="AN191" s="54"/>
      <c r="AO191" s="54"/>
      <c r="AP191" s="53"/>
      <c r="AQ191" s="53"/>
      <c r="AR191" s="54"/>
      <c r="AS191" s="54"/>
      <c r="AT191" s="54"/>
    </row>
    <row r="192" spans="1:46" x14ac:dyDescent="0.3">
      <c r="A192" s="17" t="s">
        <v>377</v>
      </c>
      <c r="B192" s="18" t="s">
        <v>378</v>
      </c>
      <c r="C192" s="53"/>
      <c r="D192" s="53"/>
      <c r="E192" s="53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3"/>
      <c r="Q192" s="53"/>
      <c r="R192" s="53"/>
      <c r="S192" s="53"/>
      <c r="T192" s="54"/>
      <c r="U192" s="54"/>
      <c r="V192" s="54"/>
      <c r="W192" s="54"/>
      <c r="X192" s="54"/>
      <c r="Y192" s="54"/>
      <c r="Z192" s="53"/>
      <c r="AA192" s="53"/>
      <c r="AB192" s="54"/>
      <c r="AC192" s="54"/>
      <c r="AD192" s="54"/>
      <c r="AE192" s="54"/>
      <c r="AF192" s="54"/>
      <c r="AG192" s="54"/>
      <c r="AH192" s="54"/>
      <c r="AI192" s="54"/>
      <c r="AJ192" s="54"/>
      <c r="AK192" s="54"/>
      <c r="AL192" s="54"/>
      <c r="AM192" s="54"/>
      <c r="AN192" s="54"/>
      <c r="AO192" s="54"/>
      <c r="AP192" s="53"/>
      <c r="AQ192" s="53"/>
      <c r="AR192" s="54"/>
      <c r="AS192" s="54"/>
      <c r="AT192" s="54"/>
    </row>
    <row r="193" spans="1:47" x14ac:dyDescent="0.3">
      <c r="A193" s="9" t="s">
        <v>379</v>
      </c>
      <c r="B193" s="10" t="s">
        <v>380</v>
      </c>
      <c r="C193" s="53"/>
      <c r="D193" s="53"/>
      <c r="E193" s="53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3"/>
      <c r="Q193" s="53"/>
      <c r="R193" s="53"/>
      <c r="S193" s="53"/>
      <c r="T193" s="54"/>
      <c r="U193" s="54"/>
      <c r="V193" s="54"/>
      <c r="W193" s="54"/>
      <c r="X193" s="54"/>
      <c r="Y193" s="54"/>
      <c r="Z193" s="53"/>
      <c r="AA193" s="53"/>
      <c r="AB193" s="54"/>
      <c r="AC193" s="54"/>
      <c r="AD193" s="54"/>
      <c r="AE193" s="54"/>
      <c r="AF193" s="54"/>
      <c r="AG193" s="54"/>
      <c r="AH193" s="54"/>
      <c r="AI193" s="54"/>
      <c r="AJ193" s="54"/>
      <c r="AK193" s="54"/>
      <c r="AL193" s="54"/>
      <c r="AM193" s="54"/>
      <c r="AN193" s="54"/>
      <c r="AO193" s="54"/>
      <c r="AP193" s="53"/>
      <c r="AQ193" s="53"/>
      <c r="AR193" s="54"/>
      <c r="AS193" s="54"/>
      <c r="AT193" s="54"/>
    </row>
    <row r="194" spans="1:47" x14ac:dyDescent="0.3">
      <c r="A194" s="9" t="s">
        <v>381</v>
      </c>
      <c r="B194" s="10" t="s">
        <v>382</v>
      </c>
      <c r="C194" s="53"/>
      <c r="D194" s="53"/>
      <c r="E194" s="53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3"/>
      <c r="Q194" s="53"/>
      <c r="R194" s="53"/>
      <c r="S194" s="53"/>
      <c r="T194" s="54"/>
      <c r="U194" s="54"/>
      <c r="V194" s="54"/>
      <c r="W194" s="54"/>
      <c r="X194" s="54"/>
      <c r="Y194" s="54"/>
      <c r="Z194" s="53"/>
      <c r="AA194" s="53"/>
      <c r="AB194" s="54"/>
      <c r="AC194" s="54"/>
      <c r="AD194" s="54"/>
      <c r="AE194" s="54"/>
      <c r="AF194" s="54"/>
      <c r="AG194" s="54"/>
      <c r="AH194" s="54"/>
      <c r="AI194" s="54"/>
      <c r="AJ194" s="54"/>
      <c r="AK194" s="54"/>
      <c r="AL194" s="54"/>
      <c r="AM194" s="54"/>
      <c r="AN194" s="54"/>
      <c r="AO194" s="54"/>
      <c r="AP194" s="53"/>
      <c r="AQ194" s="53"/>
      <c r="AR194" s="54"/>
      <c r="AS194" s="54"/>
      <c r="AT194" s="54"/>
    </row>
    <row r="195" spans="1:47" x14ac:dyDescent="0.3">
      <c r="A195" s="21" t="s">
        <v>383</v>
      </c>
      <c r="B195" s="18" t="s">
        <v>384</v>
      </c>
      <c r="C195" s="53"/>
      <c r="D195" s="53"/>
      <c r="E195" s="53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3"/>
      <c r="Q195" s="53"/>
      <c r="R195" s="53"/>
      <c r="S195" s="53"/>
      <c r="T195" s="54"/>
      <c r="U195" s="54"/>
      <c r="V195" s="54"/>
      <c r="W195" s="54"/>
      <c r="X195" s="54"/>
      <c r="Y195" s="54"/>
      <c r="Z195" s="53"/>
      <c r="AA195" s="53"/>
      <c r="AB195" s="54"/>
      <c r="AC195" s="54"/>
      <c r="AD195" s="54"/>
      <c r="AE195" s="54"/>
      <c r="AF195" s="54"/>
      <c r="AG195" s="54"/>
      <c r="AH195" s="54"/>
      <c r="AI195" s="54"/>
      <c r="AJ195" s="54"/>
      <c r="AK195" s="54"/>
      <c r="AL195" s="54"/>
      <c r="AM195" s="54"/>
      <c r="AN195" s="54"/>
      <c r="AO195" s="54"/>
      <c r="AP195" s="53"/>
      <c r="AQ195" s="53"/>
      <c r="AR195" s="54"/>
      <c r="AS195" s="54"/>
      <c r="AT195" s="54"/>
    </row>
    <row r="196" spans="1:47" x14ac:dyDescent="0.3">
      <c r="A196" s="2" t="s">
        <v>385</v>
      </c>
      <c r="B196" s="3" t="s">
        <v>386</v>
      </c>
      <c r="C196" s="53"/>
      <c r="D196" s="53"/>
      <c r="E196" s="53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3"/>
      <c r="Q196" s="53"/>
      <c r="R196" s="53"/>
      <c r="S196" s="53"/>
      <c r="T196" s="54"/>
      <c r="U196" s="54"/>
      <c r="V196" s="54"/>
      <c r="W196" s="54"/>
      <c r="X196" s="54"/>
      <c r="Y196" s="54"/>
      <c r="Z196" s="53"/>
      <c r="AA196" s="53"/>
      <c r="AB196" s="54"/>
      <c r="AC196" s="54"/>
      <c r="AD196" s="54"/>
      <c r="AE196" s="54"/>
      <c r="AF196" s="54"/>
      <c r="AG196" s="54"/>
      <c r="AH196" s="54"/>
      <c r="AI196" s="54"/>
      <c r="AJ196" s="54"/>
      <c r="AK196" s="54"/>
      <c r="AL196" s="54"/>
      <c r="AM196" s="54"/>
      <c r="AN196" s="54"/>
      <c r="AO196" s="54"/>
      <c r="AP196" s="53"/>
      <c r="AQ196" s="53"/>
      <c r="AR196" s="54"/>
      <c r="AS196" s="54"/>
      <c r="AT196" s="54"/>
    </row>
    <row r="197" spans="1:47" x14ac:dyDescent="0.3">
      <c r="A197" s="6" t="s">
        <v>387</v>
      </c>
      <c r="B197" s="3" t="s">
        <v>388</v>
      </c>
      <c r="C197" s="53"/>
      <c r="D197" s="53"/>
      <c r="E197" s="53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3"/>
      <c r="Q197" s="53"/>
      <c r="R197" s="53"/>
      <c r="S197" s="53"/>
      <c r="T197" s="54"/>
      <c r="U197" s="54"/>
      <c r="V197" s="54"/>
      <c r="W197" s="54"/>
      <c r="X197" s="54"/>
      <c r="Y197" s="54"/>
      <c r="Z197" s="53"/>
      <c r="AA197" s="53"/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  <c r="AL197" s="54"/>
      <c r="AM197" s="54"/>
      <c r="AN197" s="54"/>
      <c r="AO197" s="54"/>
      <c r="AP197" s="53"/>
      <c r="AQ197" s="53"/>
      <c r="AR197" s="54"/>
      <c r="AS197" s="54"/>
      <c r="AT197" s="54"/>
    </row>
    <row r="198" spans="1:47" x14ac:dyDescent="0.3">
      <c r="A198" s="6" t="s">
        <v>389</v>
      </c>
      <c r="B198" s="5" t="s">
        <v>390</v>
      </c>
      <c r="C198" s="53"/>
      <c r="D198" s="53"/>
      <c r="E198" s="53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3"/>
      <c r="Q198" s="53"/>
      <c r="R198" s="53"/>
      <c r="S198" s="53"/>
      <c r="T198" s="54"/>
      <c r="U198" s="54"/>
      <c r="V198" s="54"/>
      <c r="W198" s="54"/>
      <c r="X198" s="54"/>
      <c r="Y198" s="54"/>
      <c r="Z198" s="53"/>
      <c r="AA198" s="53"/>
      <c r="AB198" s="54"/>
      <c r="AC198" s="54"/>
      <c r="AD198" s="54"/>
      <c r="AE198" s="54"/>
      <c r="AF198" s="54"/>
      <c r="AG198" s="54"/>
      <c r="AH198" s="54"/>
      <c r="AI198" s="54"/>
      <c r="AJ198" s="54"/>
      <c r="AK198" s="54"/>
      <c r="AL198" s="54"/>
      <c r="AM198" s="54"/>
      <c r="AN198" s="54"/>
      <c r="AO198" s="54"/>
      <c r="AP198" s="53"/>
      <c r="AQ198" s="53"/>
      <c r="AR198" s="54"/>
      <c r="AS198" s="54"/>
      <c r="AT198" s="54"/>
    </row>
    <row r="199" spans="1:47" x14ac:dyDescent="0.3">
      <c r="A199" s="1" t="s">
        <v>401</v>
      </c>
      <c r="B199" s="1"/>
      <c r="C199" s="39"/>
      <c r="D199" s="39"/>
      <c r="E199" s="39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39"/>
      <c r="Q199" s="39"/>
      <c r="R199" s="39"/>
      <c r="S199" s="39"/>
      <c r="T199" s="1"/>
      <c r="U199" s="1"/>
      <c r="V199" s="1"/>
      <c r="W199" s="1"/>
      <c r="X199" s="1"/>
      <c r="Y199" s="1"/>
      <c r="Z199" s="39"/>
      <c r="AA199" s="39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39"/>
      <c r="AQ199" s="39"/>
      <c r="AR199" s="1"/>
      <c r="AS199" s="1"/>
      <c r="AT199" s="1"/>
      <c r="AU199" t="s">
        <v>401</v>
      </c>
    </row>
  </sheetData>
  <mergeCells count="3">
    <mergeCell ref="F1:M1"/>
    <mergeCell ref="T1:Y1"/>
    <mergeCell ref="AB1:AO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69848-9E65-420B-BE71-5681FAB8AC91}">
  <dimension ref="A1:D14"/>
  <sheetViews>
    <sheetView workbookViewId="0">
      <selection activeCell="B14" sqref="B14"/>
    </sheetView>
  </sheetViews>
  <sheetFormatPr baseColWidth="10" defaultRowHeight="14.4" x14ac:dyDescent="0.3"/>
  <cols>
    <col min="2" max="2" width="36.19921875" style="8" customWidth="1"/>
  </cols>
  <sheetData>
    <row r="1" spans="1:4" x14ac:dyDescent="0.3">
      <c r="A1" s="7" t="s">
        <v>394</v>
      </c>
      <c r="B1" s="26" t="s">
        <v>446</v>
      </c>
      <c r="C1" s="34" t="s">
        <v>402</v>
      </c>
      <c r="D1" s="33">
        <v>45885</v>
      </c>
    </row>
    <row r="2" spans="1:4" x14ac:dyDescent="0.3">
      <c r="B2" s="27" t="s">
        <v>396</v>
      </c>
    </row>
    <row r="3" spans="1:4" x14ac:dyDescent="0.3">
      <c r="B3" s="28" t="s">
        <v>395</v>
      </c>
    </row>
    <row r="4" spans="1:4" x14ac:dyDescent="0.3">
      <c r="B4" s="29" t="s">
        <v>397</v>
      </c>
    </row>
    <row r="5" spans="1:4" x14ac:dyDescent="0.3">
      <c r="B5" s="30" t="s">
        <v>398</v>
      </c>
    </row>
    <row r="6" spans="1:4" x14ac:dyDescent="0.3">
      <c r="B6" s="30" t="s">
        <v>399</v>
      </c>
    </row>
    <row r="7" spans="1:4" x14ac:dyDescent="0.3">
      <c r="B7" s="31" t="s">
        <v>400</v>
      </c>
    </row>
    <row r="9" spans="1:4" x14ac:dyDescent="0.3">
      <c r="B9" s="26" t="s">
        <v>447</v>
      </c>
    </row>
    <row r="10" spans="1:4" x14ac:dyDescent="0.3">
      <c r="B10" s="43" t="s">
        <v>396</v>
      </c>
    </row>
    <row r="11" spans="1:4" x14ac:dyDescent="0.3">
      <c r="B11" s="49" t="s">
        <v>395</v>
      </c>
    </row>
    <row r="12" spans="1:4" x14ac:dyDescent="0.3">
      <c r="B12" s="50" t="s">
        <v>397</v>
      </c>
    </row>
    <row r="13" spans="1:4" x14ac:dyDescent="0.3">
      <c r="B13" s="51" t="s">
        <v>398</v>
      </c>
    </row>
    <row r="14" spans="1:4" x14ac:dyDescent="0.3">
      <c r="B14" s="52" t="s">
        <v>448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5711226-3f78-4ae3-bbe1-618f205b36a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6966E7547B9FE4C88046A968C6DF6EA" ma:contentTypeVersion="9" ma:contentTypeDescription="Ein neues Dokument erstellen." ma:contentTypeScope="" ma:versionID="629ac320563063a5d55d55e74bd58f4d">
  <xsd:schema xmlns:xsd="http://www.w3.org/2001/XMLSchema" xmlns:xs="http://www.w3.org/2001/XMLSchema" xmlns:p="http://schemas.microsoft.com/office/2006/metadata/properties" xmlns:ns3="95711226-3f78-4ae3-bbe1-618f205b36ad" xmlns:ns4="8e9677e9-9288-4844-89b3-c17efaf1161d" targetNamespace="http://schemas.microsoft.com/office/2006/metadata/properties" ma:root="true" ma:fieldsID="b7853aa649339c320c5917a055ba0568" ns3:_="" ns4:_="">
    <xsd:import namespace="95711226-3f78-4ae3-bbe1-618f205b36ad"/>
    <xsd:import namespace="8e9677e9-9288-4844-89b3-c17efaf1161d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711226-3f78-4ae3-bbe1-618f205b36ad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9677e9-9288-4844-89b3-c17efaf1161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A9CE3C-D1EE-4774-AE98-1A70B53F9E92}">
  <ds:schemaRefs>
    <ds:schemaRef ds:uri="http://www.w3.org/XML/1998/namespace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purl.org/dc/terms/"/>
    <ds:schemaRef ds:uri="http://schemas.openxmlformats.org/package/2006/metadata/core-properties"/>
    <ds:schemaRef ds:uri="8e9677e9-9288-4844-89b3-c17efaf1161d"/>
    <ds:schemaRef ds:uri="http://schemas.microsoft.com/office/2006/documentManagement/types"/>
    <ds:schemaRef ds:uri="95711226-3f78-4ae3-bbe1-618f205b36ad"/>
  </ds:schemaRefs>
</ds:datastoreItem>
</file>

<file path=customXml/itemProps2.xml><?xml version="1.0" encoding="utf-8"?>
<ds:datastoreItem xmlns:ds="http://schemas.openxmlformats.org/officeDocument/2006/customXml" ds:itemID="{B285DC59-F3DB-4AA3-A303-D5E022207D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711226-3f78-4ae3-bbe1-618f205b36ad"/>
    <ds:schemaRef ds:uri="8e9677e9-9288-4844-89b3-c17efaf116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48BB29F-9564-4268-BBE9-EF665B24146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Daten Training Regression</vt:lpstr>
      <vt:lpstr>Quellen</vt:lpstr>
      <vt:lpstr>Kommentare</vt:lpstr>
      <vt:lpstr>Legende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Graf von Stillfried-Rattonitz</dc:creator>
  <cp:lastModifiedBy>Aaron Graf von Stillfried-Rattonitz</cp:lastModifiedBy>
  <dcterms:created xsi:type="dcterms:W3CDTF">2025-04-29T13:59:48Z</dcterms:created>
  <dcterms:modified xsi:type="dcterms:W3CDTF">2025-11-24T15:28:38Z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0x010100C6966E7547B9FE4C88046A968C6DF6EA</vt:lpwstr>
  </property>
</Properties>
</file>