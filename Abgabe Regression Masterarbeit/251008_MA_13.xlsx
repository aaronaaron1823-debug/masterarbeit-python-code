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B9080B38-A82F-4F82-B034-36E43DB5FD9C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07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101" i="2"/>
  <c r="H32" i="2"/>
  <c r="H33" i="2"/>
  <c r="H34" i="2"/>
  <c r="H35" i="2"/>
  <c r="H36" i="2"/>
  <c r="H37" i="2"/>
  <c r="H38" i="2"/>
  <c r="H47" i="2"/>
  <c r="H199" i="2"/>
  <c r="H41" i="2"/>
  <c r="H42" i="2"/>
  <c r="H43" i="2"/>
  <c r="H44" i="2"/>
  <c r="H45" i="2"/>
  <c r="H46" i="2"/>
  <c r="H111" i="2"/>
  <c r="H48" i="2"/>
  <c r="H100" i="2"/>
  <c r="H160" i="2"/>
  <c r="H51" i="2"/>
  <c r="H52" i="2"/>
  <c r="H53" i="2"/>
  <c r="H131" i="2"/>
  <c r="H55" i="2"/>
  <c r="H71" i="2"/>
  <c r="H57" i="2"/>
  <c r="H58" i="2"/>
  <c r="H59" i="2"/>
  <c r="H60" i="2"/>
  <c r="H61" i="2"/>
  <c r="H62" i="2"/>
  <c r="H63" i="2"/>
  <c r="H64" i="2"/>
  <c r="H65" i="2"/>
  <c r="H66" i="2"/>
  <c r="H95" i="2"/>
  <c r="H68" i="2"/>
  <c r="H69" i="2"/>
  <c r="H49" i="2"/>
  <c r="H130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15" i="2"/>
  <c r="H96" i="2"/>
  <c r="H97" i="2"/>
  <c r="H98" i="2"/>
  <c r="H99" i="2"/>
  <c r="H152" i="2"/>
  <c r="H39" i="2"/>
  <c r="H102" i="2"/>
  <c r="H103" i="2"/>
  <c r="H104" i="2"/>
  <c r="H105" i="2"/>
  <c r="H106" i="2"/>
  <c r="H67" i="2"/>
  <c r="H108" i="2"/>
  <c r="H109" i="2"/>
  <c r="H110" i="2"/>
  <c r="H132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51" i="2"/>
  <c r="H127" i="2"/>
  <c r="H128" i="2"/>
  <c r="H129" i="2"/>
  <c r="H187" i="2"/>
  <c r="H56" i="2"/>
  <c r="H31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54" i="2"/>
  <c r="H126" i="2"/>
  <c r="H153" i="2"/>
  <c r="H154" i="2"/>
  <c r="H155" i="2"/>
  <c r="H156" i="2"/>
  <c r="H157" i="2"/>
  <c r="H158" i="2"/>
  <c r="H159" i="2"/>
  <c r="H162" i="2"/>
  <c r="H161" i="2"/>
  <c r="H173" i="2"/>
  <c r="H163" i="2"/>
  <c r="H164" i="2"/>
  <c r="H165" i="2"/>
  <c r="H166" i="2"/>
  <c r="H167" i="2"/>
  <c r="H168" i="2"/>
  <c r="H169" i="2"/>
  <c r="H170" i="2"/>
  <c r="H171" i="2"/>
  <c r="H172" i="2"/>
  <c r="H70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50" i="2"/>
  <c r="H188" i="2"/>
  <c r="H189" i="2"/>
  <c r="H190" i="2"/>
  <c r="H191" i="2"/>
  <c r="H192" i="2"/>
  <c r="H193" i="2"/>
  <c r="H194" i="2"/>
  <c r="H195" i="2"/>
  <c r="H196" i="2"/>
  <c r="H197" i="2"/>
  <c r="H198" i="2"/>
  <c r="H40" i="2"/>
  <c r="H200" i="2"/>
  <c r="K9" i="2"/>
  <c r="K2" i="2"/>
  <c r="K3" i="2"/>
  <c r="K4" i="2"/>
  <c r="K5" i="2"/>
  <c r="K6" i="2"/>
  <c r="K7" i="2"/>
  <c r="K8" i="2"/>
  <c r="K10" i="2"/>
  <c r="K11" i="2"/>
  <c r="K12" i="2"/>
  <c r="K13" i="2"/>
  <c r="K14" i="2"/>
  <c r="K107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101" i="2"/>
  <c r="K32" i="2"/>
  <c r="K33" i="2"/>
  <c r="K34" i="2"/>
  <c r="K35" i="2"/>
  <c r="K36" i="2"/>
  <c r="K37" i="2"/>
  <c r="K38" i="2"/>
  <c r="K47" i="2"/>
  <c r="K199" i="2"/>
  <c r="K41" i="2"/>
  <c r="K42" i="2"/>
  <c r="K43" i="2"/>
  <c r="K44" i="2"/>
  <c r="K45" i="2"/>
  <c r="K46" i="2"/>
  <c r="K111" i="2"/>
  <c r="K48" i="2"/>
  <c r="K100" i="2"/>
  <c r="K160" i="2"/>
  <c r="K51" i="2"/>
  <c r="K52" i="2"/>
  <c r="K53" i="2"/>
  <c r="K131" i="2"/>
  <c r="K55" i="2"/>
  <c r="K71" i="2"/>
  <c r="K57" i="2"/>
  <c r="K58" i="2"/>
  <c r="K59" i="2"/>
  <c r="K60" i="2"/>
  <c r="K61" i="2"/>
  <c r="K62" i="2"/>
  <c r="K63" i="2"/>
  <c r="K64" i="2"/>
  <c r="K65" i="2"/>
  <c r="K66" i="2"/>
  <c r="K95" i="2"/>
  <c r="K68" i="2"/>
  <c r="K69" i="2"/>
  <c r="K49" i="2"/>
  <c r="K130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15" i="2"/>
  <c r="K96" i="2"/>
  <c r="K97" i="2"/>
  <c r="K98" i="2"/>
  <c r="K99" i="2"/>
  <c r="K152" i="2"/>
  <c r="K39" i="2"/>
  <c r="K102" i="2"/>
  <c r="K103" i="2"/>
  <c r="K104" i="2"/>
  <c r="K105" i="2"/>
  <c r="K106" i="2"/>
  <c r="K67" i="2"/>
  <c r="K108" i="2"/>
  <c r="K109" i="2"/>
  <c r="K110" i="2"/>
  <c r="K132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51" i="2"/>
  <c r="K127" i="2"/>
  <c r="K128" i="2"/>
  <c r="K129" i="2"/>
  <c r="K187" i="2"/>
  <c r="K56" i="2"/>
  <c r="K31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54" i="2"/>
  <c r="K126" i="2"/>
  <c r="K153" i="2"/>
  <c r="K154" i="2"/>
  <c r="K155" i="2"/>
  <c r="K156" i="2"/>
  <c r="K157" i="2"/>
  <c r="K158" i="2"/>
  <c r="K159" i="2"/>
  <c r="K162" i="2"/>
  <c r="K161" i="2"/>
  <c r="K173" i="2"/>
  <c r="K163" i="2"/>
  <c r="K164" i="2"/>
  <c r="K165" i="2"/>
  <c r="K166" i="2"/>
  <c r="K167" i="2"/>
  <c r="K168" i="2"/>
  <c r="K169" i="2"/>
  <c r="K170" i="2"/>
  <c r="K171" i="2"/>
  <c r="K172" i="2"/>
  <c r="K70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50" i="2"/>
  <c r="K188" i="2"/>
  <c r="K189" i="2"/>
  <c r="K190" i="2"/>
  <c r="K191" i="2"/>
  <c r="K192" i="2"/>
  <c r="K193" i="2"/>
  <c r="K194" i="2"/>
  <c r="K195" i="2"/>
  <c r="K196" i="2"/>
  <c r="K197" i="2"/>
  <c r="K198" i="2"/>
  <c r="K40" i="2"/>
  <c r="K200" i="2"/>
  <c r="L2" i="2" l="1"/>
  <c r="L3" i="2"/>
  <c r="L4" i="2"/>
  <c r="L5" i="2"/>
  <c r="L6" i="2"/>
  <c r="L7" i="2"/>
  <c r="L8" i="2"/>
  <c r="L32" i="2"/>
  <c r="L104" i="2"/>
  <c r="L176" i="2"/>
  <c r="L200" i="2"/>
  <c r="L9" i="2"/>
  <c r="L10" i="2"/>
  <c r="L11" i="2"/>
  <c r="L12" i="2"/>
  <c r="L13" i="2"/>
  <c r="L14" i="2"/>
  <c r="L107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101" i="2"/>
  <c r="L33" i="2"/>
  <c r="L34" i="2"/>
  <c r="L35" i="2"/>
  <c r="L36" i="2"/>
  <c r="L37" i="2"/>
  <c r="L38" i="2"/>
  <c r="L47" i="2"/>
  <c r="L199" i="2"/>
  <c r="L41" i="2"/>
  <c r="L42" i="2"/>
  <c r="L43" i="2"/>
  <c r="L44" i="2"/>
  <c r="L45" i="2"/>
  <c r="L46" i="2"/>
  <c r="L111" i="2"/>
  <c r="L48" i="2"/>
  <c r="L100" i="2"/>
  <c r="L160" i="2"/>
  <c r="L51" i="2"/>
  <c r="L52" i="2"/>
  <c r="L53" i="2"/>
  <c r="L131" i="2"/>
  <c r="L55" i="2"/>
  <c r="L71" i="2"/>
  <c r="L57" i="2"/>
  <c r="L58" i="2"/>
  <c r="L59" i="2"/>
  <c r="L60" i="2"/>
  <c r="L61" i="2"/>
  <c r="L62" i="2"/>
  <c r="L63" i="2"/>
  <c r="L64" i="2"/>
  <c r="L65" i="2"/>
  <c r="L66" i="2"/>
  <c r="L95" i="2"/>
  <c r="L68" i="2"/>
  <c r="L69" i="2"/>
  <c r="L49" i="2"/>
  <c r="L130" i="2"/>
  <c r="L72" i="2"/>
  <c r="L73" i="2"/>
  <c r="L74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15" i="2"/>
  <c r="L96" i="2"/>
  <c r="L97" i="2"/>
  <c r="L98" i="2"/>
  <c r="L99" i="2"/>
  <c r="L152" i="2"/>
  <c r="L39" i="2"/>
  <c r="L102" i="2"/>
  <c r="L103" i="2"/>
  <c r="L105" i="2"/>
  <c r="L106" i="2"/>
  <c r="L67" i="2"/>
  <c r="L108" i="2"/>
  <c r="L109" i="2"/>
  <c r="L110" i="2"/>
  <c r="L132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51" i="2"/>
  <c r="L127" i="2"/>
  <c r="L128" i="2"/>
  <c r="L129" i="2"/>
  <c r="L187" i="2"/>
  <c r="L56" i="2"/>
  <c r="L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54" i="2"/>
  <c r="L126" i="2"/>
  <c r="L153" i="2"/>
  <c r="L154" i="2"/>
  <c r="L155" i="2"/>
  <c r="L156" i="2"/>
  <c r="L157" i="2"/>
  <c r="L158" i="2"/>
  <c r="L159" i="2"/>
  <c r="L162" i="2"/>
  <c r="L161" i="2"/>
  <c r="L173" i="2"/>
  <c r="L163" i="2"/>
  <c r="L164" i="2"/>
  <c r="L165" i="2"/>
  <c r="L166" i="2"/>
  <c r="L167" i="2"/>
  <c r="L168" i="2"/>
  <c r="L169" i="2"/>
  <c r="L170" i="2"/>
  <c r="L171" i="2"/>
  <c r="L172" i="2"/>
  <c r="L70" i="2"/>
  <c r="L174" i="2"/>
  <c r="L175" i="2"/>
  <c r="L177" i="2"/>
  <c r="L178" i="2"/>
  <c r="L179" i="2"/>
  <c r="L180" i="2"/>
  <c r="L181" i="2"/>
  <c r="L182" i="2"/>
  <c r="L183" i="2"/>
  <c r="L184" i="2"/>
  <c r="L185" i="2"/>
  <c r="L186" i="2"/>
  <c r="L50" i="2"/>
  <c r="L188" i="2"/>
  <c r="L189" i="2"/>
  <c r="L190" i="2"/>
  <c r="L191" i="2"/>
  <c r="L192" i="2"/>
  <c r="L193" i="2"/>
  <c r="L194" i="2"/>
  <c r="L195" i="2"/>
  <c r="L196" i="2"/>
  <c r="L197" i="2"/>
  <c r="L198" i="2"/>
  <c r="L40" i="2"/>
  <c r="J75" i="2"/>
  <c r="L75" i="2" s="1"/>
  <c r="N47" i="2"/>
  <c r="V68" i="2"/>
  <c r="Z39" i="6"/>
  <c r="AJ40" i="2"/>
  <c r="AS40" i="2"/>
  <c r="L201" i="2" l="1"/>
</calcChain>
</file>

<file path=xl/sharedStrings.xml><?xml version="1.0" encoding="utf-8"?>
<sst xmlns="http://schemas.openxmlformats.org/spreadsheetml/2006/main" count="2700" uniqueCount="1015">
  <si>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</si>
  <si>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</si>
  <si>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</si>
  <si>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</si>
  <si>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</si>
  <si>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</si>
  <si>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</si>
  <si>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</si>
  <si>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</si>
  <si>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</si>
  <si>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</si>
  <si>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</si>
  <si>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</si>
  <si>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</si>
  <si>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</si>
  <si>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</si>
  <si>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</si>
  <si>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</si>
  <si>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</si>
  <si>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</si>
  <si>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</si>
  <si>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</si>
  <si>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</si>
  <si>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</si>
  <si>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</si>
  <si>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</si>
  <si>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</si>
  <si>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</si>
  <si>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</si>
  <si>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</si>
  <si>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</si>
  <si>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</si>
  <si>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</si>
  <si>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</si>
  <si>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</si>
  <si>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</si>
  <si>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</si>
  <si>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</si>
  <si>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</si>
  <si>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</si>
  <si>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</si>
  <si>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</si>
  <si>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</si>
  <si>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</si>
  <si>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</si>
  <si>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</si>
  <si>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</si>
  <si>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</si>
  <si>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</si>
  <si>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</si>
  <si>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</si>
  <si>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</si>
  <si>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</si>
  <si>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</si>
  <si>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</si>
  <si>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</si>
  <si>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</si>
  <si>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</si>
  <si>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</si>
  <si>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</si>
  <si>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</si>
  <si>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</si>
  <si>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</si>
  <si>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</si>
  <si>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</si>
  <si>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</si>
  <si>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</si>
  <si>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</si>
  <si>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</si>
  <si>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</si>
  <si>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</si>
  <si>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</si>
  <si>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</si>
  <si>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</si>
  <si>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</si>
  <si>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</si>
  <si>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</si>
  <si>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</si>
  <si>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</si>
  <si>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</si>
  <si>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</si>
  <si>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</si>
  <si>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</si>
  <si>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</si>
  <si>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</si>
  <si>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</si>
  <si>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</si>
  <si>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</si>
  <si>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</si>
  <si>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</si>
  <si>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</si>
  <si>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</si>
  <si>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</si>
  <si>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</si>
  <si>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</si>
  <si>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</si>
  <si>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</si>
  <si>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</si>
  <si>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</si>
  <si>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</si>
  <si>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</si>
  <si>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</si>
  <si>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</si>
  <si>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</si>
  <si>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</si>
  <si>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</si>
  <si>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</si>
  <si>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</si>
  <si>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</si>
  <si>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</si>
  <si>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</si>
  <si>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</si>
  <si>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</si>
  <si>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</si>
  <si>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</si>
  <si>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</si>
  <si>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</si>
  <si>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</si>
  <si>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</si>
  <si>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</si>
  <si>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</si>
  <si>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</si>
  <si>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</si>
  <si>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</si>
  <si>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</si>
  <si>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</si>
  <si>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</si>
  <si>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</si>
  <si>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</si>
  <si>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</si>
  <si>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</si>
  <si>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</si>
  <si>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</si>
  <si>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</si>
  <si>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</si>
  <si>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</si>
  <si>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</si>
  <si>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</si>
  <si>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</si>
  <si>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</si>
  <si>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</si>
  <si>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</si>
  <si>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</si>
  <si>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</si>
  <si>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</si>
  <si>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</si>
  <si>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</si>
  <si>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</si>
  <si>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</si>
  <si>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</si>
  <si>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</si>
  <si>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</si>
  <si>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</si>
  <si>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</si>
  <si>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</si>
  <si>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</si>
  <si>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</si>
  <si>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</si>
  <si>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</si>
  <si>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</si>
  <si>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</si>
  <si>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</si>
  <si>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</si>
  <si>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</si>
  <si>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</si>
  <si>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</si>
  <si>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</si>
  <si>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</si>
  <si>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</si>
  <si>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</si>
  <si>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</si>
  <si>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</si>
  <si>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</si>
  <si>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</si>
  <si>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</si>
  <si>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</si>
  <si>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</si>
  <si>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</si>
  <si>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</si>
  <si>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</si>
  <si>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</si>
  <si>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</si>
  <si>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</si>
  <si>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</si>
  <si>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</si>
  <si>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</si>
  <si>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</si>
  <si>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</si>
  <si>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</si>
  <si>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</si>
  <si>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</si>
  <si>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</si>
  <si>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</si>
  <si>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</si>
  <si>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</si>
  <si>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</si>
  <si>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</si>
  <si>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</si>
  <si>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</si>
  <si>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</si>
  <si>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</si>
  <si>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</si>
  <si>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</si>
  <si>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</si>
  <si>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</si>
  <si>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</si>
  <si>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</si>
  <si>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</si>
  <si>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</si>
  <si>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</si>
  <si>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</si>
  <si>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</si>
  <si>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</si>
  <si>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</si>
  <si>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</si>
  <si>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</si>
  <si>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</si>
  <si>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</si>
  <si>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</si>
  <si>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</si>
  <si>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</si>
  <si>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</si>
  <si>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</si>
  <si>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</si>
  <si>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</si>
  <si>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</si>
  <si>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</si>
  <si>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</si>
  <si>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</si>
  <si>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</si>
  <si>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</si>
  <si>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</si>
  <si>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</si>
  <si>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</si>
  <si>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</si>
  <si>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</si>
  <si>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</si>
  <si>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</si>
  <si>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</si>
  <si>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</si>
  <si>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</si>
  <si>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</si>
  <si>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</si>
  <si>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</si>
  <si>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</si>
  <si>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</si>
  <si>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</si>
  <si>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</si>
  <si>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</si>
  <si>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</si>
  <si>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</si>
  <si>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</si>
  <si>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</si>
  <si>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</si>
  <si>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</si>
  <si>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</si>
  <si>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</si>
  <si>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</si>
  <si>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</si>
  <si>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</si>
  <si>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</si>
  <si>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</si>
  <si>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</si>
  <si>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</si>
  <si>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</si>
  <si>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</si>
  <si>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</si>
  <si>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</si>
  <si>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</si>
  <si>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</si>
  <si>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</si>
  <si>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</si>
  <si>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</si>
  <si>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</si>
  <si>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</si>
  <si>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</si>
  <si>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</si>
  <si>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</si>
  <si>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</si>
  <si>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</si>
  <si>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</si>
  <si>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</si>
  <si>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</si>
  <si>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</si>
  <si>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</si>
  <si>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</si>
  <si>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</si>
  <si>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</si>
  <si>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</si>
  <si>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</si>
  <si>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</si>
  <si>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</si>
  <si>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</si>
  <si>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</si>
  <si>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</si>
  <si>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</si>
  <si>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</si>
  <si>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</si>
  <si>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</si>
  <si>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</si>
  <si>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</si>
  <si>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</si>
  <si>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</si>
  <si>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</si>
  <si>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</si>
  <si>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</si>
  <si>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</si>
  <si>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</si>
  <si>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</si>
  <si>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</si>
  <si>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</si>
  <si>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</si>
  <si>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</si>
  <si>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</si>
  <si>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</si>
  <si>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</si>
  <si>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</si>
  <si>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</si>
  <si>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</si>
  <si>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</si>
  <si>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</si>
  <si>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</si>
  <si>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</si>
  <si>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</si>
  <si>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</si>
  <si>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</si>
  <si>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</si>
  <si>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</si>
  <si>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</si>
  <si>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</si>
  <si>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</si>
  <si>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</si>
  <si>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</si>
  <si>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</si>
  <si>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</si>
  <si>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</si>
  <si>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</si>
  <si>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</si>
  <si>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</si>
  <si>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</si>
  <si>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</si>
  <si>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</si>
  <si>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</si>
  <si>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</si>
  <si>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</si>
  <si>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</si>
  <si>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</si>
  <si>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</si>
  <si>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</si>
  <si>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</si>
  <si>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</si>
  <si>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</si>
  <si>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</si>
  <si>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</si>
  <si>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</si>
  <si>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</si>
  <si>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</si>
  <si>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</si>
  <si>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</si>
  <si>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</si>
  <si>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</si>
  <si>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</si>
  <si>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</si>
  <si>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</si>
  <si>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</si>
  <si>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</si>
  <si>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</si>
  <si>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</si>
  <si>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</si>
  <si>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</si>
  <si>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</si>
  <si>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</si>
  <si>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</si>
  <si>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</si>
  <si>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</si>
  <si>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</si>
  <si>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</si>
  <si>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</si>
  <si>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</si>
  <si>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</si>
  <si>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</si>
  <si>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</si>
  <si>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</si>
  <si>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</si>
  <si>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</si>
  <si>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</si>
  <si>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</si>
  <si>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</si>
  <si>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</si>
  <si>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</si>
  <si>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</si>
  <si>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</si>
  <si>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</si>
  <si>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</si>
  <si>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</si>
  <si>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</si>
  <si>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</si>
  <si>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</si>
  <si>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</si>
  <si>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</si>
  <si>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</si>
  <si>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</si>
  <si>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</si>
  <si>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</si>
  <si>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</si>
  <si>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</si>
  <si>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</si>
  <si>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</si>
  <si>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</si>
  <si>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</si>
  <si>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</si>
  <si>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</si>
  <si>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</si>
  <si>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</si>
  <si>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</si>
  <si>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</si>
  <si>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</si>
  <si>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</si>
  <si>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</si>
  <si>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</si>
  <si>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</si>
  <si>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</si>
  <si>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</si>
  <si>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</si>
  <si>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</si>
  <si>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</si>
  <si>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</si>
  <si>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</si>
  <si>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</si>
  <si>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</si>
  <si>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</si>
  <si>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</si>
  <si>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</si>
  <si>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</si>
  <si>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</si>
  <si>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</si>
  <si>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</si>
  <si>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</si>
  <si>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</si>
  <si>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</si>
  <si>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</si>
  <si>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</si>
  <si>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</si>
  <si>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</si>
  <si>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</si>
  <si>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</si>
  <si>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</si>
  <si>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</si>
  <si>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</si>
  <si>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</si>
  <si>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</si>
  <si>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</si>
  <si>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</si>
  <si>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</si>
  <si>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</si>
  <si>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</si>
  <si>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</si>
  <si>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</si>
  <si>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</si>
  <si>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</si>
  <si>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</si>
  <si>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</si>
  <si>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</si>
  <si>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</si>
  <si>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</si>
  <si>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</si>
  <si>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</si>
  <si>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</si>
  <si>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</si>
  <si>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</si>
  <si>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</si>
  <si>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</si>
  <si>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</si>
  <si>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</si>
  <si>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</si>
  <si>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</si>
  <si>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</si>
  <si>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</si>
  <si>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</si>
  <si>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</si>
  <si>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</si>
  <si>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</si>
  <si>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</si>
  <si>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</si>
  <si>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</si>
  <si>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</si>
  <si>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</si>
  <si>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</si>
  <si>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</si>
  <si>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</si>
  <si>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</si>
  <si>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</si>
  <si>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</si>
  <si>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</si>
  <si>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</si>
  <si>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</si>
  <si>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</si>
  <si>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</si>
  <si>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</si>
  <si>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</si>
  <si>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</si>
  <si>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</si>
  <si>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</si>
  <si>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</si>
  <si>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</si>
  <si>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</si>
  <si>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</si>
  <si>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</si>
  <si>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</si>
  <si>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</si>
  <si>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</si>
  <si>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</si>
  <si>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</si>
  <si>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</si>
  <si>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</si>
  <si>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</si>
  <si>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</si>
  <si>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</si>
  <si>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</si>
  <si>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</si>
  <si>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</si>
  <si>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</si>
  <si>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</si>
  <si>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</si>
  <si>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</si>
  <si>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</si>
  <si>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</si>
  <si>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</si>
  <si>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</si>
  <si>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</si>
  <si>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</si>
  <si>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</si>
  <si>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</si>
  <si>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</si>
  <si>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</si>
  <si>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</si>
  <si>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</si>
  <si>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</si>
  <si>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</si>
  <si>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</si>
  <si>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</si>
  <si>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</si>
  <si>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</si>
  <si>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Anzahl Haushalte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</si>
  <si>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</si>
  <si>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</si>
  <si>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</si>
  <si>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</si>
  <si>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</si>
  <si>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</si>
  <si>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</si>
  <si>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</si>
  <si>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</si>
  <si>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</si>
  <si>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</si>
  <si>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</si>
  <si>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</si>
  <si>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</si>
  <si>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</si>
  <si>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</si>
  <si>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</si>
  <si>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</si>
  <si>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</si>
  <si>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</si>
  <si>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</si>
  <si>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</si>
  <si>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</si>
  <si>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</si>
  <si>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</si>
  <si>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</si>
  <si>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</si>
  <si>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</si>
  <si>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</si>
  <si>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</si>
  <si>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</si>
  <si>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</si>
  <si>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</si>
  <si>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</si>
  <si>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</si>
  <si>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</si>
  <si>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</si>
  <si>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</si>
  <si>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</si>
  <si>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</si>
  <si>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</si>
  <si>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</si>
  <si>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</si>
  <si>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</si>
  <si>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</si>
  <si>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</si>
  <si>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</si>
  <si>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</si>
  <si>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</si>
  <si>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</si>
  <si>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</si>
  <si>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</si>
  <si>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</si>
  <si>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</si>
  <si>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</si>
  <si>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</si>
  <si>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</si>
  <si>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</si>
  <si>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</si>
  <si>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</si>
  <si>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</si>
  <si>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</si>
  <si>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</si>
  <si>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</si>
  <si>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</si>
  <si>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</si>
  <si>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</si>
  <si>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</si>
  <si>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</si>
  <si>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</si>
  <si>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</si>
  <si>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</si>
  <si>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</si>
  <si>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</si>
  <si>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</si>
  <si>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</si>
  <si>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</si>
  <si>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</si>
  <si>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</si>
  <si>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</si>
  <si>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</si>
  <si>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</si>
  <si>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</si>
  <si>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</si>
  <si>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</si>
  <si>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</si>
  <si>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</si>
  <si>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</si>
  <si>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</si>
  <si>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</si>
  <si>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</si>
  <si>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</si>
  <si>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</si>
  <si>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</si>
  <si>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</si>
  <si>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</si>
  <si>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</si>
  <si>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</si>
  <si>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</si>
  <si>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</si>
  <si>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</si>
  <si>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</si>
  <si>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</si>
  <si>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</si>
  <si>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</si>
  <si>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</si>
  <si>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</si>
  <si>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</si>
  <si>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</si>
  <si>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</si>
  <si>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</si>
  <si>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</si>
  <si>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</si>
  <si>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</si>
  <si>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</si>
  <si>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</si>
  <si>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</si>
  <si>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</si>
  <si>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</si>
  <si>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</si>
  <si>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</si>
  <si>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</si>
  <si>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</si>
  <si>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</si>
  <si>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</si>
  <si>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</si>
  <si>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</si>
  <si>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</si>
  <si>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</si>
  <si>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</si>
  <si>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</si>
  <si>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</si>
  <si>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</si>
  <si>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</si>
  <si>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</si>
  <si>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</si>
  <si>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</si>
  <si>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</si>
  <si>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</si>
  <si>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</si>
  <si>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</si>
  <si>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</si>
  <si>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</si>
  <si>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</si>
  <si>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</si>
  <si>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</si>
  <si>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</si>
  <si>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</si>
  <si>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</si>
  <si>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</si>
  <si>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</si>
  <si>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</si>
  <si>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</si>
  <si>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</si>
  <si>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</si>
  <si>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</si>
  <si>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</si>
  <si>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</si>
  <si>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</si>
  <si>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</si>
  <si>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</si>
  <si>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</si>
  <si>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</si>
  <si>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</si>
  <si>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</si>
  <si>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</si>
  <si>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</si>
  <si>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</si>
  <si>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</si>
  <si>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</si>
  <si>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</si>
  <si>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</si>
  <si>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</si>
  <si>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</si>
  <si>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</si>
  <si>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</si>
  <si>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</si>
  <si>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</si>
  <si>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</si>
  <si>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</si>
  <si>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</si>
  <si>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</si>
  <si>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</si>
  <si>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</si>
  <si>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</si>
  <si>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</si>
  <si>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</si>
  <si>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</si>
  <si>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</si>
  <si>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</si>
  <si>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</si>
  <si>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</si>
  <si>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</si>
  <si>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</si>
  <si>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</si>
  <si>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</si>
  <si>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</si>
  <si>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</si>
  <si>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</si>
  <si>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</si>
  <si>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</si>
  <si>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</si>
  <si>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</si>
  <si>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</si>
  <si>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</si>
  <si>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</si>
  <si>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</si>
  <si>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</si>
  <si>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</si>
  <si>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</si>
  <si>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</si>
  <si>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</si>
  <si>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</si>
  <si>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</si>
  <si>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</si>
  <si>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</si>
  <si>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</si>
  <si>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</si>
  <si>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</si>
  <si>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</si>
  <si>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</si>
  <si>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</si>
  <si>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</si>
  <si>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</si>
  <si>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</si>
  <si>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</si>
  <si>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</si>
  <si>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</si>
  <si>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</si>
  <si>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</si>
  <si>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</si>
  <si>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</si>
  <si>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</si>
  <si>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</si>
  <si>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</si>
  <si>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</si>
  <si>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</si>
  <si>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</si>
  <si>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</si>
  <si>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</si>
  <si>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</si>
  <si>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</si>
  <si>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</si>
  <si>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</si>
  <si>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</si>
  <si>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</si>
  <si>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</si>
  <si>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</si>
  <si>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</si>
  <si>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</si>
  <si>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</si>
  <si>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</si>
  <si>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</si>
  <si>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</si>
  <si>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</si>
  <si>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</si>
  <si>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</si>
  <si>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</si>
  <si>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</si>
  <si>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</si>
  <si>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</si>
  <si>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</si>
  <si>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</si>
  <si>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</si>
  <si>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</si>
  <si>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</si>
  <si>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</si>
  <si>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</si>
  <si>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</si>
  <si>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</si>
  <si>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</si>
  <si>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</si>
  <si>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</si>
  <si>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</si>
  <si>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</si>
  <si>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</si>
  <si>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</si>
  <si>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</si>
  <si>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</si>
  <si>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</si>
  <si>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</si>
  <si>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</si>
  <si>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</si>
  <si>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</si>
  <si>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</si>
  <si>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</si>
  <si>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</si>
  <si>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</si>
  <si>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</si>
  <si>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</si>
  <si>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</si>
  <si>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</si>
  <si>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</si>
  <si>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</si>
  <si>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</si>
  <si>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</si>
  <si>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</si>
  <si>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</si>
  <si>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</si>
  <si>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</si>
  <si>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</si>
  <si>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</si>
  <si>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</si>
  <si>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</si>
  <si>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</si>
  <si>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</si>
  <si>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</si>
  <si>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</si>
  <si>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</si>
  <si>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</si>
  <si>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</si>
  <si>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</si>
  <si>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</si>
  <si>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</si>
  <si>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</si>
  <si>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</si>
  <si>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</si>
  <si>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</si>
  <si>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</si>
  <si>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</si>
  <si>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</si>
  <si>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</si>
  <si>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</si>
  <si>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</si>
  <si>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</si>
  <si>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</si>
  <si>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</si>
  <si>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</si>
  <si>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</si>
  <si>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</si>
  <si>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</si>
  <si>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</si>
  <si>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</si>
  <si>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</si>
  <si>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</si>
  <si>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</si>
  <si>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</si>
  <si>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</si>
  <si>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</si>
  <si>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</si>
  <si>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</si>
  <si>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</si>
  <si>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</si>
  <si>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</si>
  <si>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</si>
  <si>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</si>
  <si>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</si>
  <si>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</si>
  <si>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</si>
  <si>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</si>
  <si>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</si>
  <si>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</si>
  <si>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</si>
  <si>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</si>
  <si>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</si>
  <si>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</si>
  <si>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</si>
  <si>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</si>
  <si>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</si>
  <si>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</si>
  <si>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</si>
  <si>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</si>
  <si>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</si>
  <si>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</si>
  <si>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</si>
  <si>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</si>
  <si>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</si>
  <si>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</si>
  <si>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</si>
  <si>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</si>
  <si>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</si>
  <si>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</si>
  <si>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</si>
  <si>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</si>
  <si>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</si>
  <si>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</si>
  <si>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</si>
  <si>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</si>
  <si>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</si>
  <si>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</si>
  <si>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</si>
  <si>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</si>
  <si>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</si>
  <si>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</si>
  <si>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</si>
  <si>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</si>
  <si>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</si>
  <si>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</si>
  <si>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</si>
  <si>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</si>
  <si>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</si>
  <si>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</si>
  <si>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</si>
  <si>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</si>
  <si>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</si>
  <si>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</si>
  <si>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</si>
  <si>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</si>
  <si>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</si>
  <si>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</si>
  <si>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</si>
  <si>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</si>
  <si>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</si>
  <si>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</si>
  <si>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</si>
  <si>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</si>
  <si>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</si>
  <si>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</si>
  <si>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</si>
  <si>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</si>
  <si>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</si>
  <si>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</si>
  <si>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</si>
  <si>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</si>
  <si>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</si>
  <si>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</si>
  <si>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</si>
  <si>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</si>
  <si>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</si>
  <si>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</si>
  <si>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</si>
  <si>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</si>
  <si>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</si>
  <si>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</si>
  <si>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</si>
  <si>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</si>
  <si>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</si>
  <si>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</si>
  <si>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</si>
  <si>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</si>
  <si>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</si>
  <si>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</si>
  <si>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</si>
  <si>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</si>
  <si>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</si>
  <si>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</si>
  <si>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</si>
  <si>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</si>
  <si>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</si>
  <si>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</si>
  <si>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km²</t>
  </si>
  <si>
    <t>Bevölkerung tsd</t>
  </si>
  <si>
    <t>Spalte8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</si>
  <si>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</si>
  <si>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</si>
  <si>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</si>
  <si>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</si>
  <si>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</si>
  <si>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</si>
  <si>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</si>
  <si>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</si>
  <si>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</si>
  <si>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</si>
  <si>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</si>
  <si>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</si>
  <si>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</si>
  <si>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</si>
  <si>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</si>
  <si>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</si>
  <si>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</si>
  <si>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</si>
  <si>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</si>
  <si>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</si>
  <si>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</si>
  <si>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</si>
  <si>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</si>
  <si>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</si>
  <si>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Fläche qkm</t>
  </si>
  <si>
    <t>Wohnimmobilien Anzahl geschätzt</t>
  </si>
  <si>
    <t>Differenz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</si>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</sst>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14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43" fontId="9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8" fillId="0" borderId="0" xfId="0" applyNumberFormat="1" applyFont="1"/>
    <xf numFmtId="3" fontId="10" fillId="0" borderId="0" xfId="3" applyNumberFormat="1" applyFont="1"/>
    <xf numFmtId="3" fontId="11" fillId="0" borderId="0" xfId="0" applyNumberFormat="1" applyFont="1" applyAlignment="1">
      <alignment horizontal="right"/>
    </xf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4" fillId="7" borderId="4" xfId="0" applyNumberFormat="1" applyFont="1" applyFill="1" applyBorder="1" applyAlignment="1">
      <alignment horizontal="center"/>
    </xf>
    <xf numFmtId="4" fontId="0" fillId="7" borderId="0" xfId="0" applyNumberFormat="1" applyFill="1"/>
    <xf numFmtId="164" fontId="4" fillId="7" borderId="4" xfId="0" applyNumberFormat="1" applyFont="1" applyFill="1" applyBorder="1" applyAlignment="1">
      <alignment horizontal="center"/>
    </xf>
    <xf numFmtId="164" fontId="0" fillId="7" borderId="0" xfId="0" applyNumberFormat="1" applyFill="1"/>
    <xf numFmtId="0" fontId="0" fillId="6" borderId="9" xfId="0" applyFill="1" applyBorder="1" applyAlignment="1">
      <alignment horizontal="center"/>
    </xf>
    <xf numFmtId="3" fontId="0" fillId="0" borderId="6" xfId="0" applyNumberFormat="1" applyBorder="1"/>
    <xf numFmtId="0" fontId="0" fillId="0" borderId="6" xfId="0" applyBorder="1"/>
    <xf numFmtId="164" fontId="12" fillId="7" borderId="6" xfId="0" applyNumberFormat="1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4" fontId="12" fillId="7" borderId="6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3" fontId="4" fillId="7" borderId="4" xfId="0" applyNumberFormat="1" applyFont="1" applyFill="1" applyBorder="1" applyAlignment="1">
      <alignment horizontal="center"/>
    </xf>
    <xf numFmtId="164" fontId="0" fillId="7" borderId="4" xfId="0" applyNumberFormat="1" applyFill="1" applyBorder="1"/>
    <xf numFmtId="3" fontId="0" fillId="7" borderId="4" xfId="0" applyNumberFormat="1" applyFill="1" applyBorder="1"/>
    <xf numFmtId="4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0" fillId="7" borderId="0" xfId="0" applyNumberFormat="1" applyFill="1" applyBorder="1"/>
    <xf numFmtId="3" fontId="0" fillId="7" borderId="0" xfId="0" applyNumberFormat="1" applyFill="1" applyBorder="1"/>
    <xf numFmtId="0" fontId="0" fillId="0" borderId="0" xfId="0" applyBorder="1"/>
    <xf numFmtId="0" fontId="0" fillId="7" borderId="0" xfId="0" applyFill="1" applyBorder="1"/>
  </cellXfs>
  <cellStyles count="4">
    <cellStyle name="Komma" xfId="3" builtinId="3"/>
    <cellStyle name="Link" xfId="1" builtinId="8"/>
    <cellStyle name="Normal_Feuil1" xfId="2" xr:uid="{A9BC57F5-4B71-4911-8BFA-E1F238F686C1}"/>
    <cellStyle name="Standard" xfId="0" builtinId="0"/>
  </cellStyles>
  <dxfs count="110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</dxf>
    <dxf>
      <numFmt numFmtId="4" formatCode="#,##0.00"/>
      <fill>
        <patternFill patternType="solid">
          <fgColor indexed="64"/>
          <bgColor theme="0" tint="-4.9989318521683403E-2"/>
        </patternFill>
      </fill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E201" totalsRowCount="1" headerRowDxfId="109" tableBorderDxfId="108">
  <autoFilter ref="A1:BE200" xr:uid="{E0119C3F-1B42-43A6-9635-5187C65FCD4F}">
    <filterColumn colId="9">
      <customFilters>
        <customFilter operator="notEqual" val=" "/>
      </customFilters>
    </filterColumn>
  </autoFilter>
  <sortState xmlns:xlrd2="http://schemas.microsoft.com/office/spreadsheetml/2017/richdata2" ref="A9:BE199">
    <sortCondition ref="C1:C200"/>
  </sortState>
  <tableColumns count="57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07" totalsRowDxfId="53"/>
    <tableColumn id="5" xr3:uid="{C3AEADA4-3838-47AA-923D-D2B2A327E30E}" name="Urbanisierung" dataDxfId="106" totalsRowDxfId="52"/>
    <tableColumn id="6" xr3:uid="{0734A605-E46A-4DE9-B516-3F9F59107D37}" name="Fläche qkm" dataDxfId="105" totalsRowDxfId="51"/>
    <tableColumn id="7" xr3:uid="{D500DF5B-6513-46BE-A1F2-F130F16C7011}" name="Bevölkerung" dataDxfId="104" totalsRowDxfId="50"/>
    <tableColumn id="58" xr3:uid="{A2832BE5-5096-4EA3-B2DE-BEEFFCA43117}" name="Bevölkerung tsd" dataDxfId="103" totalsRowDxfId="49">
      <calculatedColumnFormula>Tabelle2[[#This Row],[Bevölkerung]]/1000</calculatedColumnFormula>
    </tableColumn>
    <tableColumn id="56" xr3:uid="{18530959-0A12-4D0E-BD10-9806BD23D62F}" name="Haushalt" dataDxfId="102" totalsRowDxfId="48"/>
    <tableColumn id="8" xr3:uid="{AC907340-165C-45DF-A8F0-B20CDE3F818A}" name="Wohnimmobilien Anzahl" dataDxfId="101" totalsRowDxfId="47"/>
    <tableColumn id="54" xr3:uid="{8AC8BBEC-FA45-40C0-B3D6-46AEF0E148FC}" name="Wohnimmobilien Anzahl geschätzt" dataDxfId="100" totalsRowDxfId="46">
      <calculatedColumnFormula>G2*EXP(5.043121+0.031911*LN(D2/G2)+0.058886*LN(F2)-0.043159*LN(E2))</calculatedColumnFormula>
    </tableColumn>
    <tableColumn id="55" xr3:uid="{7E3C9CCB-5330-43A7-BDA0-449D200A5943}" name="Differenz" totalsRowFunction="sum" dataDxfId="99" totalsRowDxfId="45">
      <calculatedColumnFormula>K2-J2</calculatedColumnFormula>
    </tableColumn>
    <tableColumn id="9" xr3:uid="{4FDE721C-751B-4224-BFC7-85B25C2488DF}" name="Wohnimmobilien m²" dataDxfId="98" totalsRowDxfId="44"/>
    <tableColumn id="10" xr3:uid="{DD740787-DE43-4D44-BA14-B4CD75735006}" name="belegte Wohnungen" dataDxfId="97" totalsRowDxfId="43"/>
    <tableColumn id="11" xr3:uid="{0BF440EE-8B56-4CDD-9805-35CBBAAB3440}" name="Spalte8" dataDxfId="96" totalsRowDxfId="42"/>
    <tableColumn id="12" xr3:uid="{93F587CB-47B3-4ECD-BD59-4205478F5A54}" name="Einfamilienhäuser Anzahl" dataDxfId="95" totalsRowDxfId="41"/>
    <tableColumn id="13" xr3:uid="{88750D6A-2A07-4837-8380-E2DD19FCC907}" name="Einfamilienhäuser m²" dataDxfId="94" totalsRowDxfId="40"/>
    <tableColumn id="14" xr3:uid="{5A621866-23CB-4386-8923-AB41012FF484}" name="Doppelhaushälfte Anzahl" dataDxfId="93" totalsRowDxfId="39"/>
    <tableColumn id="15" xr3:uid="{9D552733-FBBC-468D-97F6-0AC7F808C6AB}" name="Doppelhaushälfte m²" dataDxfId="92" totalsRowDxfId="38"/>
    <tableColumn id="16" xr3:uid="{C007E3A8-FD2F-444F-952F-84D64B4F7076}" name="Reihenhäuser Anzahl" dataDxfId="91" totalsRowDxfId="37"/>
    <tableColumn id="17" xr3:uid="{AA61783E-5AEE-4D66-A3FA-0605690E7F77}" name="Reihenhäuser m²" dataDxfId="90" totalsRowDxfId="36"/>
    <tableColumn id="18" xr3:uid="{2C8EA87F-5D61-4C2A-8581-6A28DF602669}" name="Mehrfamilienhäuser Anzahl" dataDxfId="89" totalsRowDxfId="35"/>
    <tableColumn id="19" xr3:uid="{B56CAD76-083D-4F1E-ACDE-84C5E739AB0C}" name="Mehrfamilienhäuser m²" dataDxfId="88" totalsRowDxfId="34"/>
    <tableColumn id="20" xr3:uid="{8D325019-2320-4075-90D9-3E79D9DB8D01}" name="Wohneinheiten Anzahl" dataDxfId="87" totalsRowDxfId="33"/>
    <tableColumn id="21" xr3:uid="{6C7A233B-128B-4271-9103-C3ACB30F6B66}" name="Spalte17" dataDxfId="86" totalsRowDxfId="32"/>
    <tableColumn id="22" xr3:uid="{F65297CF-5E53-44DA-B1F0-08EB95047B89}" name="Nicht Wohngebäude Anzahl" dataDxfId="85" totalsRowDxfId="31"/>
    <tableColumn id="23" xr3:uid="{C9A0547F-8FFA-43DF-8FCE-129C24118F33}" name="Nicht Wohngebäude m²" dataDxfId="84" totalsRowDxfId="30"/>
    <tableColumn id="24" xr3:uid="{95EA6F45-68D6-4AC1-AEB8-4501D2DF0565}" name="Spalte18" dataDxfId="83" totalsRowDxfId="29"/>
    <tableColumn id="25" xr3:uid="{9F8DF859-CFB1-4009-88FC-78D33AF24F73}" name="Spalte19" dataDxfId="82" totalsRowDxfId="28"/>
    <tableColumn id="26" xr3:uid="{5E1C3AEE-8CBC-4ED7-8069-EC705C57CC55}" name="Gewerbeimmobilien" dataDxfId="81" totalsRowDxfId="27"/>
    <tableColumn id="27" xr3:uid="{593289FF-2248-487D-94B6-DC7382499D17}" name="Spalte20" dataDxfId="80" totalsRowDxfId="26"/>
    <tableColumn id="28" xr3:uid="{7194B89F-E06D-44A5-9F49-C825195B1B01}" name="Spalte21" dataDxfId="79" totalsRowDxfId="25"/>
    <tableColumn id="29" xr3:uid="{AE26C104-46F3-4E43-8A25-731AE5DC8A1F}" name="Spalte22" dataDxfId="78" totalsRowDxfId="24"/>
    <tableColumn id="30" xr3:uid="{ADB9AB1A-1162-448F-BC6E-051B8E6059E3}" name="Spalte23" dataDxfId="77" totalsRowDxfId="23"/>
    <tableColumn id="31" xr3:uid="{43BCAC50-4F36-4A97-80E1-2195479FDC3D}" name="Spalte24" dataDxfId="76" totalsRowDxfId="22"/>
    <tableColumn id="32" xr3:uid="{FDA2AB14-0A41-4AE9-A9D1-3E3B7BAB6A27}" name="Spalte25" dataDxfId="75" totalsRowDxfId="21"/>
    <tableColumn id="33" xr3:uid="{4117298C-1D38-4E56-ACA8-C2B028F53B31}" name="Spalte26" dataDxfId="74" totalsRowDxfId="20"/>
    <tableColumn id="34" xr3:uid="{6E91DAE8-5D89-4CE2-BBD1-4A0DB750C6B0}" name="Sonderimmobilien" dataDxfId="73" totalsRowDxfId="19"/>
    <tableColumn id="35" xr3:uid="{3942EEFB-DD2A-4A9F-9D4B-D80C8EB065EC}" name="Spalte27" dataDxfId="72" totalsRowDxfId="18"/>
    <tableColumn id="36" xr3:uid="{ADE404DC-5EA8-48C7-B1F0-A7B9097D34C2}" name="Spalte28" dataDxfId="71" totalsRowDxfId="17"/>
    <tableColumn id="37" xr3:uid="{836108AB-AD58-45E9-A9DD-DD41D27DFC8A}" name="Spalte29" dataDxfId="70" totalsRowDxfId="16"/>
    <tableColumn id="38" xr3:uid="{CFC8B2C7-AFD0-4BDF-8771-40180752253F}" name="Spalte30" dataDxfId="69" totalsRowDxfId="15"/>
    <tableColumn id="39" xr3:uid="{0F20B2C7-6CE3-4FC4-BCDB-9CC94CB815AA}" name="Spalte31" dataDxfId="68" totalsRowDxfId="14"/>
    <tableColumn id="40" xr3:uid="{1F61A020-A6DA-4789-BAF5-66F3124DC4E4}" name="Spalte32" dataDxfId="67" totalsRowDxfId="13"/>
    <tableColumn id="41" xr3:uid="{BCEF1BF1-A0D4-4F2C-95A0-7ED0A3FDBDB5}" name="Spalte33" dataDxfId="66" totalsRowDxfId="12"/>
    <tableColumn id="42" xr3:uid="{C8E486EB-9F66-4B1F-B216-B998AFA1E137}" name="Spalte34" dataDxfId="65" totalsRowDxfId="11"/>
    <tableColumn id="43" xr3:uid="{279C9568-B9C7-483F-81E2-01CB578236F5}" name="Spalte35" dataDxfId="64" totalsRowDxfId="10"/>
    <tableColumn id="44" xr3:uid="{2441026D-0ED1-4CA0-BE9A-4BF190D1B30D}" name="Spalte36" dataDxfId="63" totalsRowDxfId="9"/>
    <tableColumn id="45" xr3:uid="{DB1D8910-4589-4F87-A6AE-40565096F621}" name="Spalte37" dataDxfId="62" totalsRowDxfId="8"/>
    <tableColumn id="46" xr3:uid="{9302B388-05FC-4809-B36A-A3F30CE8599C}" name="Spalte38" dataDxfId="61" totalsRowDxfId="7"/>
    <tableColumn id="47" xr3:uid="{6BA44A1C-1A9F-4E99-8262-F4453614C343}" name="Spalte39" dataDxfId="60" totalsRowDxfId="6"/>
    <tableColumn id="48" xr3:uid="{8F1D267F-CED9-4D38-A668-BE28A5D7AC3E}" name="Spalte40" dataDxfId="59" totalsRowDxfId="5"/>
    <tableColumn id="49" xr3:uid="{12D16D33-64BA-4198-86B9-A13F712B48CE}" name="Immobilien gesamt Anzahl" dataDxfId="58" totalsRowDxfId="4"/>
    <tableColumn id="50" xr3:uid="{DC1B7C9B-6D5C-4097-9D62-6E93375A87B9}" name="Immobilien gesamt m²" dataDxfId="57" totalsRowDxfId="3"/>
    <tableColumn id="51" xr3:uid="{D4D73227-CBB4-4005-B485-85EAAC6649E0}" name="Quelle" dataDxfId="56" totalsRowDxfId="2"/>
    <tableColumn id="52" xr3:uid="{353AD1B1-34F8-49E3-9BB9-CF0C2FD82E3D}" name="Datentransparenz" dataDxfId="55" totalsRowDxfId="1"/>
    <tableColumn id="53" xr3:uid="{E8A7EDB3-75C0-44C9-81B3-B0D55182CFBA}" name="Kommentar" dataDxfId="54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J202"/>
  <sheetViews>
    <sheetView tabSelected="1" zoomScale="85" zoomScaleNormal="85" workbookViewId="0">
      <pane ySplit="2" topLeftCell="A40" activePane="bottomLeft" state="frozen"/>
      <selection pane="bottomLeft" activeCell="K159" sqref="K159"/>
    </sheetView>
  </sheetViews>
  <sheetFormatPr baseColWidth="10" defaultRowHeight="14.4" x14ac:dyDescent="0.3"/>
  <cols>
    <col min="2" max="2" width="7.59765625" customWidth="1"/>
    <col min="3" max="3" width="37.09765625" customWidth="1"/>
    <col min="4" max="4" width="16.8984375" style="72" hidden="1" customWidth="1"/>
    <col min="5" max="5" width="15.59765625" style="72" hidden="1" customWidth="1"/>
    <col min="6" max="6" width="14.8984375" style="40" hidden="1" customWidth="1"/>
    <col min="7" max="8" width="17.59765625" style="70" hidden="1" customWidth="1"/>
    <col min="9" max="9" width="17.59765625" style="70" customWidth="1"/>
    <col min="10" max="10" width="26.19921875" style="40" customWidth="1"/>
    <col min="11" max="12" width="31.69921875" style="40" customWidth="1"/>
    <col min="13" max="15" width="22" style="40" customWidth="1"/>
    <col min="16" max="16" width="22.296875" customWidth="1"/>
    <col min="17" max="17" width="18.09765625" customWidth="1"/>
    <col min="18" max="18" width="23.09765625" customWidth="1"/>
    <col min="19" max="21" width="18.09765625" customWidth="1"/>
    <col min="22" max="22" width="22.69921875" customWidth="1"/>
    <col min="23" max="25" width="21.19921875" customWidth="1"/>
    <col min="26" max="26" width="32.296875" style="40" customWidth="1"/>
    <col min="27" max="27" width="29.59765625" style="40" customWidth="1"/>
    <col min="28" max="28" width="30.69921875" style="40" customWidth="1"/>
    <col min="29" max="29" width="25.19921875" style="40" customWidth="1"/>
    <col min="30" max="31" width="20.09765625" customWidth="1"/>
    <col min="32" max="34" width="27" customWidth="1"/>
    <col min="35" max="35" width="20.8984375" customWidth="1"/>
    <col min="36" max="36" width="25.19921875" style="40" customWidth="1"/>
    <col min="37" max="37" width="20.8984375" style="40" customWidth="1"/>
    <col min="38" max="38" width="33.09765625" customWidth="1"/>
    <col min="39" max="40" width="30.69921875" customWidth="1"/>
    <col min="41" max="41" width="24" customWidth="1"/>
    <col min="42" max="42" width="20.3984375" customWidth="1"/>
    <col min="43" max="43" width="24.8984375" customWidth="1"/>
    <col min="44" max="44" width="23.5" customWidth="1"/>
    <col min="45" max="45" width="33.5" customWidth="1"/>
    <col min="46" max="47" width="27.796875" customWidth="1"/>
    <col min="48" max="48" width="20" customWidth="1"/>
    <col min="49" max="51" width="29.59765625" customWidth="1"/>
    <col min="52" max="52" width="24.59765625" customWidth="1"/>
    <col min="53" max="53" width="28.5" style="40" customWidth="1"/>
    <col min="54" max="54" width="24.69921875" style="40" customWidth="1"/>
    <col min="56" max="56" width="20.69921875" customWidth="1"/>
    <col min="57" max="57" width="13.8984375" customWidth="1"/>
    <col min="60" max="60" width="17.8984375" style="8" customWidth="1"/>
  </cols>
  <sheetData>
    <row r="1" spans="1:62" x14ac:dyDescent="0.3">
      <c r="A1" t="s">
        <v>588</v>
      </c>
      <c r="B1" s="36" t="s">
        <v>0</v>
      </c>
      <c r="C1" s="36" t="s">
        <v>411</v>
      </c>
      <c r="D1" s="76" t="s">
        <v>788</v>
      </c>
      <c r="E1" s="76" t="s">
        <v>585</v>
      </c>
      <c r="F1" s="77" t="s">
        <v>1011</v>
      </c>
      <c r="G1" s="78" t="s">
        <v>587</v>
      </c>
      <c r="H1" s="78" t="s">
        <v>985</v>
      </c>
      <c r="I1" s="78" t="s">
        <v>1014</v>
      </c>
      <c r="J1" s="77" t="s">
        <v>444</v>
      </c>
      <c r="K1" s="77" t="s">
        <v>1012</v>
      </c>
      <c r="L1" s="77" t="s">
        <v>1013</v>
      </c>
      <c r="M1" s="77" t="s">
        <v>445</v>
      </c>
      <c r="N1" s="79" t="s">
        <v>470</v>
      </c>
      <c r="O1" s="79" t="s">
        <v>986</v>
      </c>
      <c r="P1" s="80" t="s">
        <v>412</v>
      </c>
      <c r="Q1" s="81" t="s">
        <v>413</v>
      </c>
      <c r="R1" s="81" t="s">
        <v>414</v>
      </c>
      <c r="S1" s="81" t="s">
        <v>415</v>
      </c>
      <c r="T1" s="81" t="s">
        <v>416</v>
      </c>
      <c r="U1" s="81" t="s">
        <v>417</v>
      </c>
      <c r="V1" s="81" t="s">
        <v>418</v>
      </c>
      <c r="W1" s="82" t="s">
        <v>419</v>
      </c>
      <c r="X1" s="82" t="s">
        <v>458</v>
      </c>
      <c r="Y1" s="82" t="s">
        <v>987</v>
      </c>
      <c r="Z1" s="83" t="s">
        <v>442</v>
      </c>
      <c r="AA1" s="83" t="s">
        <v>443</v>
      </c>
      <c r="AB1" s="83" t="s">
        <v>988</v>
      </c>
      <c r="AC1" s="77" t="s">
        <v>989</v>
      </c>
      <c r="AD1" s="80" t="s">
        <v>409</v>
      </c>
      <c r="AE1" s="81" t="s">
        <v>990</v>
      </c>
      <c r="AF1" s="81" t="s">
        <v>991</v>
      </c>
      <c r="AG1" s="81" t="s">
        <v>992</v>
      </c>
      <c r="AH1" s="81" t="s">
        <v>993</v>
      </c>
      <c r="AI1" s="82" t="s">
        <v>994</v>
      </c>
      <c r="AJ1" s="84" t="s">
        <v>995</v>
      </c>
      <c r="AK1" s="84" t="s">
        <v>996</v>
      </c>
      <c r="AL1" s="80" t="s">
        <v>410</v>
      </c>
      <c r="AM1" s="81" t="s">
        <v>997</v>
      </c>
      <c r="AN1" s="81" t="s">
        <v>998</v>
      </c>
      <c r="AO1" s="81" t="s">
        <v>999</v>
      </c>
      <c r="AP1" s="81" t="s">
        <v>1000</v>
      </c>
      <c r="AQ1" s="81" t="s">
        <v>1001</v>
      </c>
      <c r="AR1" s="81" t="s">
        <v>1002</v>
      </c>
      <c r="AS1" s="81" t="s">
        <v>1003</v>
      </c>
      <c r="AT1" s="81" t="s">
        <v>1004</v>
      </c>
      <c r="AU1" s="81" t="s">
        <v>1005</v>
      </c>
      <c r="AV1" s="81" t="s">
        <v>1006</v>
      </c>
      <c r="AW1" s="81" t="s">
        <v>1007</v>
      </c>
      <c r="AX1" s="81" t="s">
        <v>1008</v>
      </c>
      <c r="AY1" s="81" t="s">
        <v>1009</v>
      </c>
      <c r="AZ1" s="82" t="s">
        <v>1010</v>
      </c>
      <c r="BA1" s="83" t="s">
        <v>393</v>
      </c>
      <c r="BB1" s="83" t="s">
        <v>403</v>
      </c>
      <c r="BC1" s="85" t="s">
        <v>391</v>
      </c>
      <c r="BD1" s="85" t="s">
        <v>440</v>
      </c>
      <c r="BE1" s="80" t="s">
        <v>392</v>
      </c>
      <c r="BF1" s="32" t="s">
        <v>401</v>
      </c>
      <c r="BG1" s="7"/>
      <c r="BH1" s="33"/>
      <c r="BI1" s="33"/>
      <c r="BJ1" s="33"/>
    </row>
    <row r="2" spans="1:62" x14ac:dyDescent="0.3">
      <c r="B2" s="44"/>
      <c r="C2" s="44"/>
      <c r="D2" s="71" t="s">
        <v>788</v>
      </c>
      <c r="E2" s="71" t="s">
        <v>585</v>
      </c>
      <c r="F2" s="45" t="s">
        <v>984</v>
      </c>
      <c r="G2" s="69" t="s">
        <v>985</v>
      </c>
      <c r="H2" s="69" t="e">
        <f>Tabelle2[[#This Row],[Bevölkerung]]/1000</f>
        <v>#VALUE!</v>
      </c>
      <c r="I2" s="69"/>
      <c r="J2" s="45" t="s">
        <v>444</v>
      </c>
      <c r="K2" s="86" t="e">
        <f t="shared" ref="K2:K33" si="0">G2*EXP(5.043121+0.031911*LN(D2/G2)+0.058886*LN(F2)-0.043159*LN(E2))</f>
        <v>#VALUE!</v>
      </c>
      <c r="L2" s="86" t="e">
        <f t="shared" ref="L2:L33" si="1">K2-J2</f>
        <v>#VALUE!</v>
      </c>
      <c r="M2" s="45" t="s">
        <v>445</v>
      </c>
      <c r="N2" s="47" t="s">
        <v>470</v>
      </c>
      <c r="O2" s="47" t="s">
        <v>543</v>
      </c>
      <c r="P2" s="46" t="s">
        <v>412</v>
      </c>
      <c r="Q2" s="46" t="s">
        <v>413</v>
      </c>
      <c r="R2" s="46" t="s">
        <v>414</v>
      </c>
      <c r="S2" s="46" t="s">
        <v>415</v>
      </c>
      <c r="T2" s="46" t="s">
        <v>416</v>
      </c>
      <c r="U2" s="46" t="s">
        <v>417</v>
      </c>
      <c r="V2" s="46" t="s">
        <v>418</v>
      </c>
      <c r="W2" s="46" t="s">
        <v>419</v>
      </c>
      <c r="X2" s="46" t="s">
        <v>458</v>
      </c>
      <c r="Y2" s="46" t="s">
        <v>459</v>
      </c>
      <c r="Z2" s="47"/>
      <c r="AA2" s="47"/>
      <c r="AB2" s="45" t="s">
        <v>405</v>
      </c>
      <c r="AC2" s="45" t="s">
        <v>404</v>
      </c>
      <c r="AD2" s="46" t="s">
        <v>420</v>
      </c>
      <c r="AE2" s="46" t="s">
        <v>421</v>
      </c>
      <c r="AF2" s="46" t="s">
        <v>422</v>
      </c>
      <c r="AG2" s="46" t="s">
        <v>423</v>
      </c>
      <c r="AH2" s="46" t="s">
        <v>451</v>
      </c>
      <c r="AI2" s="46" t="s">
        <v>452</v>
      </c>
      <c r="AJ2" s="45" t="s">
        <v>407</v>
      </c>
      <c r="AK2" s="45" t="s">
        <v>406</v>
      </c>
      <c r="AL2" s="46" t="s">
        <v>427</v>
      </c>
      <c r="AM2" s="46" t="s">
        <v>426</v>
      </c>
      <c r="AN2" s="46" t="s">
        <v>557</v>
      </c>
      <c r="AO2" s="46" t="s">
        <v>428</v>
      </c>
      <c r="AP2" s="46" t="s">
        <v>429</v>
      </c>
      <c r="AQ2" s="46" t="s">
        <v>453</v>
      </c>
      <c r="AR2" s="46" t="s">
        <v>454</v>
      </c>
      <c r="AS2" s="46" t="s">
        <v>432</v>
      </c>
      <c r="AT2" s="46" t="s">
        <v>433</v>
      </c>
      <c r="AU2" s="46" t="s">
        <v>455</v>
      </c>
      <c r="AV2" s="46" t="s">
        <v>435</v>
      </c>
      <c r="AW2" s="46" t="s">
        <v>436</v>
      </c>
      <c r="AX2" s="46" t="s">
        <v>437</v>
      </c>
      <c r="AY2" s="46" t="s">
        <v>438</v>
      </c>
      <c r="AZ2" s="46" t="s">
        <v>439</v>
      </c>
      <c r="BA2" s="47"/>
      <c r="BB2" s="47"/>
      <c r="BC2" s="46"/>
      <c r="BD2" s="46"/>
      <c r="BE2" s="73"/>
      <c r="BH2" s="33"/>
    </row>
    <row r="3" spans="1:62" hidden="1" x14ac:dyDescent="0.3">
      <c r="B3" s="2"/>
      <c r="C3" s="48" t="s">
        <v>441</v>
      </c>
      <c r="D3" s="66"/>
      <c r="E3" s="66">
        <v>0.55300000000000005</v>
      </c>
      <c r="F3" s="53">
        <v>140419457</v>
      </c>
      <c r="G3" s="68">
        <v>8142056.4500000002</v>
      </c>
      <c r="H3" s="68">
        <f>Tabelle2[[#This Row],[Bevölkerung]]/1000</f>
        <v>8142.05645</v>
      </c>
      <c r="I3" s="68"/>
      <c r="J3" s="53"/>
      <c r="K3" s="53" t="e">
        <f t="shared" si="0"/>
        <v>#NUM!</v>
      </c>
      <c r="L3" s="53" t="e">
        <f t="shared" si="1"/>
        <v>#NUM!</v>
      </c>
      <c r="M3" s="53"/>
      <c r="N3" s="53"/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3"/>
      <c r="AK3" s="53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3"/>
      <c r="BB3" s="53"/>
      <c r="BC3" s="54"/>
      <c r="BD3" s="54"/>
      <c r="BE3" s="74"/>
      <c r="BH3" s="33"/>
    </row>
    <row r="4" spans="1:62" x14ac:dyDescent="0.3">
      <c r="B4" s="2"/>
      <c r="C4" s="48" t="s">
        <v>544</v>
      </c>
      <c r="D4" s="66">
        <v>17944.810000000001</v>
      </c>
      <c r="E4" s="66"/>
      <c r="F4" s="53">
        <v>4254541</v>
      </c>
      <c r="G4" s="68">
        <v>450185.4</v>
      </c>
      <c r="H4" s="68">
        <f>Tabelle2[[#This Row],[Bevölkerung]]/1000</f>
        <v>450.18540000000002</v>
      </c>
      <c r="I4" s="68"/>
      <c r="J4" s="53">
        <v>114350000</v>
      </c>
      <c r="K4" s="53" t="e">
        <f t="shared" si="0"/>
        <v>#NUM!</v>
      </c>
      <c r="L4" s="53" t="e">
        <f t="shared" si="1"/>
        <v>#NUM!</v>
      </c>
      <c r="M4" s="53"/>
      <c r="N4" s="53"/>
      <c r="O4" s="53"/>
      <c r="P4" s="54"/>
      <c r="Q4" s="54"/>
      <c r="R4" s="54"/>
      <c r="S4" s="54"/>
      <c r="T4" s="54"/>
      <c r="U4" s="54"/>
      <c r="V4" s="54"/>
      <c r="W4" s="54"/>
      <c r="X4" s="54"/>
      <c r="Y4" s="54"/>
      <c r="Z4" s="53"/>
      <c r="AA4" s="53"/>
      <c r="AB4" s="53"/>
      <c r="AC4" s="53"/>
      <c r="AD4" s="54"/>
      <c r="AE4" s="54"/>
      <c r="AF4" s="54"/>
      <c r="AG4" s="54"/>
      <c r="AH4" s="54"/>
      <c r="AI4" s="54"/>
      <c r="AJ4" s="53"/>
      <c r="AK4" s="53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3"/>
      <c r="BB4" s="53"/>
      <c r="BC4" s="54"/>
      <c r="BD4" s="54"/>
      <c r="BE4" s="74"/>
      <c r="BH4" s="33"/>
    </row>
    <row r="5" spans="1:62" hidden="1" x14ac:dyDescent="0.3">
      <c r="B5" s="2" t="s">
        <v>1</v>
      </c>
      <c r="C5" s="3" t="s">
        <v>2</v>
      </c>
      <c r="D5" s="66">
        <v>17.248000000000001</v>
      </c>
      <c r="E5" s="66">
        <v>0.255</v>
      </c>
      <c r="F5" s="53">
        <v>652870</v>
      </c>
      <c r="G5" s="68">
        <v>42647.49</v>
      </c>
      <c r="H5" s="68">
        <f>Tabelle2[[#This Row],[Bevölkerung]]/1000</f>
        <v>42.647489999999998</v>
      </c>
      <c r="I5" s="68"/>
      <c r="J5" s="53"/>
      <c r="K5" s="53">
        <f t="shared" si="0"/>
        <v>12018192.483601732</v>
      </c>
      <c r="L5" s="53">
        <f t="shared" si="1"/>
        <v>12018192.483601732</v>
      </c>
      <c r="M5" s="53"/>
      <c r="N5" s="53"/>
      <c r="O5" s="53"/>
      <c r="P5" s="54"/>
      <c r="Q5" s="54"/>
      <c r="R5" s="54"/>
      <c r="S5" s="54"/>
      <c r="T5" s="54"/>
      <c r="U5" s="54"/>
      <c r="V5" s="54"/>
      <c r="W5" s="54"/>
      <c r="X5" s="54"/>
      <c r="Y5" s="54"/>
      <c r="Z5" s="53"/>
      <c r="AA5" s="53"/>
      <c r="AB5" s="53"/>
      <c r="AC5" s="53"/>
      <c r="AD5" s="54"/>
      <c r="AE5" s="54"/>
      <c r="AF5" s="54"/>
      <c r="AG5" s="54"/>
      <c r="AH5" s="54"/>
      <c r="AI5" s="54"/>
      <c r="AJ5" s="53"/>
      <c r="AK5" s="53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3"/>
      <c r="BB5" s="53"/>
      <c r="BC5" s="54"/>
      <c r="BD5" s="54"/>
      <c r="BE5" s="74"/>
      <c r="BH5" s="33"/>
    </row>
    <row r="6" spans="1:62" hidden="1" x14ac:dyDescent="0.3">
      <c r="B6" s="24" t="s">
        <v>3</v>
      </c>
      <c r="C6" s="23" t="s">
        <v>4</v>
      </c>
      <c r="D6" s="66">
        <v>347.34199999999998</v>
      </c>
      <c r="E6" s="66">
        <v>0.42699999999999999</v>
      </c>
      <c r="F6" s="53">
        <v>1001450</v>
      </c>
      <c r="G6" s="68">
        <v>116538.26</v>
      </c>
      <c r="H6" s="68">
        <f>Tabelle2[[#This Row],[Bevölkerung]]/1000</f>
        <v>116.53825999999999</v>
      </c>
      <c r="I6" s="68"/>
      <c r="J6" s="53"/>
      <c r="K6" s="53">
        <f t="shared" si="0"/>
        <v>35105373.571229756</v>
      </c>
      <c r="L6" s="53">
        <f t="shared" si="1"/>
        <v>35105373.571229756</v>
      </c>
      <c r="M6" s="53"/>
      <c r="N6" s="53"/>
      <c r="O6" s="53"/>
      <c r="P6" s="54"/>
      <c r="Q6" s="54"/>
      <c r="R6" s="54"/>
      <c r="S6" s="54"/>
      <c r="T6" s="54"/>
      <c r="U6" s="54"/>
      <c r="V6" s="54"/>
      <c r="W6" s="54"/>
      <c r="X6" s="54"/>
      <c r="Y6" s="54"/>
      <c r="Z6" s="53"/>
      <c r="AA6" s="53"/>
      <c r="AB6" s="53"/>
      <c r="AC6" s="53"/>
      <c r="AD6" s="54"/>
      <c r="AE6" s="54"/>
      <c r="AF6" s="54"/>
      <c r="AG6" s="54"/>
      <c r="AH6" s="54"/>
      <c r="AI6" s="54"/>
      <c r="AJ6" s="53"/>
      <c r="AK6" s="53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3"/>
      <c r="BB6" s="53"/>
      <c r="BC6" s="54"/>
      <c r="BD6" s="54"/>
      <c r="BE6" s="74"/>
      <c r="BH6" s="33"/>
    </row>
    <row r="7" spans="1:62" hidden="1" x14ac:dyDescent="0.3">
      <c r="B7" s="4" t="s">
        <v>5</v>
      </c>
      <c r="C7" s="5" t="s">
        <v>6</v>
      </c>
      <c r="D7" s="66">
        <v>28.372</v>
      </c>
      <c r="E7" s="66">
        <v>0.60299999999999998</v>
      </c>
      <c r="F7" s="53">
        <v>28750</v>
      </c>
      <c r="G7" s="68">
        <v>2714.62</v>
      </c>
      <c r="H7" s="68">
        <f>Tabelle2[[#This Row],[Bevölkerung]]/1000</f>
        <v>2.71462</v>
      </c>
      <c r="I7" s="68"/>
      <c r="J7" s="53"/>
      <c r="K7" s="53">
        <f t="shared" si="0"/>
        <v>680348.42185218458</v>
      </c>
      <c r="L7" s="53">
        <f t="shared" si="1"/>
        <v>680348.42185218458</v>
      </c>
      <c r="M7" s="53"/>
      <c r="N7" s="53">
        <v>726325</v>
      </c>
      <c r="O7" s="53"/>
      <c r="P7" s="54">
        <v>508643</v>
      </c>
      <c r="Q7" s="54"/>
      <c r="R7" s="54"/>
      <c r="S7" s="54"/>
      <c r="T7" s="54"/>
      <c r="U7" s="54"/>
      <c r="V7" s="54">
        <v>431858</v>
      </c>
      <c r="W7" s="54"/>
      <c r="X7" s="54">
        <v>1082529</v>
      </c>
      <c r="Y7" s="54"/>
      <c r="Z7" s="53"/>
      <c r="AA7" s="53"/>
      <c r="AB7" s="53"/>
      <c r="AC7" s="53"/>
      <c r="AD7" s="54"/>
      <c r="AE7" s="54"/>
      <c r="AF7" s="54"/>
      <c r="AG7" s="54"/>
      <c r="AH7" s="54"/>
      <c r="AI7" s="54"/>
      <c r="AJ7" s="53"/>
      <c r="AK7" s="53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3"/>
      <c r="BB7" s="53"/>
      <c r="BC7" s="54"/>
      <c r="BD7" s="54"/>
      <c r="BE7" s="74"/>
      <c r="BH7" s="33"/>
    </row>
    <row r="8" spans="1:62" hidden="1" x14ac:dyDescent="0.3">
      <c r="B8" s="22" t="s">
        <v>7</v>
      </c>
      <c r="C8" s="23" t="s">
        <v>8</v>
      </c>
      <c r="D8" s="66">
        <v>268.88499999999999</v>
      </c>
      <c r="E8" s="66">
        <v>0.72599999999999998</v>
      </c>
      <c r="F8" s="53">
        <v>238174</v>
      </c>
      <c r="G8" s="68">
        <v>46814.31</v>
      </c>
      <c r="H8" s="68">
        <f>Tabelle2[[#This Row],[Bevölkerung]]/1000</f>
        <v>46.814309999999999</v>
      </c>
      <c r="I8" s="68"/>
      <c r="J8" s="53"/>
      <c r="K8" s="53">
        <f t="shared" si="0"/>
        <v>12932942.070463115</v>
      </c>
      <c r="L8" s="53">
        <f t="shared" si="1"/>
        <v>12932942.070463115</v>
      </c>
      <c r="M8" s="53"/>
      <c r="N8" s="53">
        <v>5304344</v>
      </c>
      <c r="O8" s="53"/>
      <c r="P8" s="54"/>
      <c r="Q8" s="54"/>
      <c r="R8" s="54"/>
      <c r="S8" s="54"/>
      <c r="T8" s="54"/>
      <c r="U8" s="54"/>
      <c r="V8" s="54"/>
      <c r="W8" s="54"/>
      <c r="X8" s="54">
        <v>6686124</v>
      </c>
      <c r="Y8" s="54"/>
      <c r="Z8" s="53"/>
      <c r="AA8" s="53"/>
      <c r="AB8" s="53"/>
      <c r="AC8" s="53"/>
      <c r="AD8" s="54"/>
      <c r="AE8" s="54"/>
      <c r="AF8" s="54"/>
      <c r="AG8" s="54"/>
      <c r="AH8" s="54"/>
      <c r="AI8" s="54"/>
      <c r="AJ8" s="53"/>
      <c r="AK8" s="53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3"/>
      <c r="BB8" s="53"/>
      <c r="BC8" s="54"/>
      <c r="BD8" s="54"/>
      <c r="BE8" s="74"/>
      <c r="BH8" s="33"/>
    </row>
    <row r="9" spans="1:62" x14ac:dyDescent="0.3">
      <c r="A9" t="s">
        <v>589</v>
      </c>
      <c r="B9" s="4" t="s">
        <v>9</v>
      </c>
      <c r="C9" s="5" t="s">
        <v>10</v>
      </c>
      <c r="D9" s="72">
        <v>4.0350000000000001</v>
      </c>
      <c r="E9" s="66">
        <v>0.88100000000000001</v>
      </c>
      <c r="F9" s="53">
        <v>470</v>
      </c>
      <c r="G9" s="72">
        <v>81940</v>
      </c>
      <c r="H9" s="72">
        <f>Tabelle2[[#This Row],[Bevölkerung]]/1000</f>
        <v>81.94</v>
      </c>
      <c r="I9" s="72">
        <v>2.6</v>
      </c>
      <c r="J9" s="53">
        <v>3442</v>
      </c>
      <c r="K9" s="53">
        <f>G9*EXP(5.043121+0.031911*LN(D9/G9)+0.058886*LN(F9)-0.043159*LN(E9))</f>
        <v>13364663.374102866</v>
      </c>
      <c r="L9" s="53">
        <f>K9-J9</f>
        <v>13361221.374102866</v>
      </c>
      <c r="M9" s="53"/>
      <c r="N9" s="53"/>
      <c r="O9" s="53"/>
      <c r="P9" s="54"/>
      <c r="Q9" s="54"/>
      <c r="R9" s="54"/>
      <c r="S9" s="54"/>
      <c r="T9" s="54"/>
      <c r="U9" s="54"/>
      <c r="V9" s="54"/>
      <c r="W9" s="54"/>
      <c r="X9" s="54">
        <v>41215</v>
      </c>
      <c r="Y9" s="54"/>
      <c r="Z9" s="53"/>
      <c r="AA9" s="53"/>
      <c r="AB9" s="53"/>
      <c r="AC9" s="53"/>
      <c r="AD9" s="54"/>
      <c r="AE9" s="54"/>
      <c r="AF9" s="54"/>
      <c r="AG9" s="54"/>
      <c r="AH9" s="54"/>
      <c r="AI9" s="54"/>
      <c r="AJ9" s="53"/>
      <c r="AK9" s="53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3"/>
      <c r="BB9" s="53"/>
      <c r="BC9" s="54"/>
      <c r="BD9" s="54"/>
      <c r="BE9" s="74"/>
      <c r="BH9" s="33"/>
    </row>
    <row r="10" spans="1:62" hidden="1" x14ac:dyDescent="0.3">
      <c r="B10" s="22" t="s">
        <v>11</v>
      </c>
      <c r="C10" s="23" t="s">
        <v>12</v>
      </c>
      <c r="D10" s="72">
        <v>0.113343</v>
      </c>
      <c r="E10" s="66">
        <v>0.65500000000000003</v>
      </c>
      <c r="F10" s="53">
        <v>1246700</v>
      </c>
      <c r="G10" s="72">
        <v>37885850</v>
      </c>
      <c r="H10" s="72">
        <f>Tabelle2[[#This Row],[Bevölkerung]]/1000</f>
        <v>37885.85</v>
      </c>
      <c r="I10" s="72"/>
      <c r="J10" s="53"/>
      <c r="K10" s="53">
        <f>G10*EXP(5.043121+0.031911*LN(D10/G10)+0.058886*LN(F10)-0.043159*LN(E10))</f>
        <v>7303828154.4512081</v>
      </c>
      <c r="L10" s="53">
        <f>K10-J10</f>
        <v>7303828154.4512081</v>
      </c>
      <c r="M10" s="53"/>
      <c r="N10" s="53"/>
      <c r="O10" s="53"/>
      <c r="P10" s="54"/>
      <c r="Q10" s="54"/>
      <c r="R10" s="54"/>
      <c r="S10" s="54"/>
      <c r="T10" s="54"/>
      <c r="U10" s="54"/>
      <c r="V10" s="54"/>
      <c r="W10" s="54"/>
      <c r="X10" s="54">
        <v>5544834</v>
      </c>
      <c r="Y10" s="54"/>
      <c r="Z10" s="53"/>
      <c r="AA10" s="53"/>
      <c r="AB10" s="53"/>
      <c r="AC10" s="53"/>
      <c r="AD10" s="54"/>
      <c r="AE10" s="54"/>
      <c r="AF10" s="54"/>
      <c r="AG10" s="54"/>
      <c r="AH10" s="54"/>
      <c r="AI10" s="54"/>
      <c r="AJ10" s="53"/>
      <c r="AK10" s="53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3"/>
      <c r="BB10" s="53"/>
      <c r="BC10" s="54"/>
      <c r="BD10" s="54"/>
      <c r="BE10" s="74"/>
      <c r="BH10" s="33"/>
    </row>
    <row r="11" spans="1:62" hidden="1" x14ac:dyDescent="0.3">
      <c r="B11" s="4" t="s">
        <v>13</v>
      </c>
      <c r="C11" s="5" t="s">
        <v>14</v>
      </c>
      <c r="D11" s="72">
        <v>2.3730000000000001E-3</v>
      </c>
      <c r="E11" s="66">
        <v>0.246</v>
      </c>
      <c r="F11" s="53">
        <v>440</v>
      </c>
      <c r="G11" s="72">
        <v>93770</v>
      </c>
      <c r="H11" s="72">
        <f>Tabelle2[[#This Row],[Bevölkerung]]/1000</f>
        <v>93.77</v>
      </c>
      <c r="I11" s="72"/>
      <c r="J11" s="53"/>
      <c r="K11" s="53">
        <f>G11*EXP(5.043121+0.031911*LN(D11/G11)+0.058886*LN(F11)-0.043159*LN(E11))</f>
        <v>12641311.072171826</v>
      </c>
      <c r="L11" s="53">
        <f>K11-J11</f>
        <v>12641311.072171826</v>
      </c>
      <c r="M11" s="53"/>
      <c r="N11" s="54">
        <v>30213</v>
      </c>
      <c r="O11" s="53"/>
      <c r="P11" s="54" t="s">
        <v>450</v>
      </c>
      <c r="Q11" s="54"/>
      <c r="R11" s="54" t="s">
        <v>450</v>
      </c>
      <c r="S11" s="54"/>
      <c r="T11" s="54"/>
      <c r="U11" s="54"/>
      <c r="V11" s="54"/>
      <c r="W11" s="54"/>
      <c r="Y11" s="54"/>
      <c r="Z11" s="53"/>
      <c r="AA11" s="53"/>
      <c r="AB11" s="53"/>
      <c r="AC11" s="53"/>
      <c r="AD11" s="54"/>
      <c r="AE11" s="54"/>
      <c r="AF11" s="54"/>
      <c r="AG11" s="54"/>
      <c r="AH11" s="54"/>
      <c r="AI11" s="54"/>
      <c r="AJ11" s="53"/>
      <c r="AK11" s="53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3"/>
      <c r="BB11" s="53"/>
      <c r="BC11" s="54"/>
      <c r="BD11" s="54"/>
      <c r="BE11" s="74"/>
    </row>
    <row r="12" spans="1:62" hidden="1" x14ac:dyDescent="0.3">
      <c r="B12" s="4" t="s">
        <v>15</v>
      </c>
      <c r="C12" s="5" t="s">
        <v>16</v>
      </c>
      <c r="D12" s="72">
        <v>1.2683999999999997E-2</v>
      </c>
      <c r="E12" s="66">
        <v>0.72099999999999997</v>
      </c>
      <c r="F12" s="53">
        <v>28050</v>
      </c>
      <c r="G12" s="72">
        <v>1892520</v>
      </c>
      <c r="H12" s="72">
        <f>Tabelle2[[#This Row],[Bevölkerung]]/1000</f>
        <v>1892.52</v>
      </c>
      <c r="I12" s="72"/>
      <c r="J12" s="53"/>
      <c r="K12" s="53">
        <f>G12*EXP(5.043121+0.031911*LN(D12/G12)+0.058886*LN(F12)-0.043159*LN(E12))</f>
        <v>298166479.29347378</v>
      </c>
      <c r="L12" s="53">
        <f>K12-J12</f>
        <v>298166479.29347378</v>
      </c>
      <c r="M12" s="53"/>
      <c r="N12" s="53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3"/>
      <c r="AA12" s="53"/>
      <c r="AB12" s="53"/>
      <c r="AC12" s="53"/>
      <c r="AD12" s="54"/>
      <c r="AE12" s="54"/>
      <c r="AF12" s="54"/>
      <c r="AG12" s="54"/>
      <c r="AH12" s="54"/>
      <c r="AI12" s="54"/>
      <c r="AJ12" s="53"/>
      <c r="AK12" s="53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3"/>
      <c r="BB12" s="53"/>
      <c r="BC12" s="54"/>
      <c r="BD12" s="54"/>
      <c r="BE12" s="74"/>
    </row>
    <row r="13" spans="1:62" hidden="1" x14ac:dyDescent="0.3">
      <c r="B13" s="19" t="s">
        <v>17</v>
      </c>
      <c r="C13" s="20" t="s">
        <v>18</v>
      </c>
      <c r="D13" s="72">
        <v>0.68353300000000006</v>
      </c>
      <c r="E13" s="66">
        <v>0.91900000000000004</v>
      </c>
      <c r="F13" s="53">
        <v>2780400</v>
      </c>
      <c r="G13" s="72">
        <v>45696160</v>
      </c>
      <c r="H13" s="72">
        <f>Tabelle2[[#This Row],[Bevölkerung]]/1000</f>
        <v>45696.160000000003</v>
      </c>
      <c r="I13" s="72"/>
      <c r="J13" s="53"/>
      <c r="K13" s="53">
        <f>G13*EXP(5.043121+0.031911*LN(D13/G13)+0.058886*LN(F13)-0.043159*LN(E13))</f>
        <v>9581265704.7420979</v>
      </c>
      <c r="L13" s="53">
        <f>K13-J13</f>
        <v>9581265704.7420979</v>
      </c>
      <c r="M13" s="53"/>
      <c r="N13" s="53">
        <v>15699016</v>
      </c>
      <c r="O13" s="53"/>
      <c r="P13" s="54"/>
      <c r="Q13" s="54"/>
      <c r="R13" s="54"/>
      <c r="S13" s="54"/>
      <c r="T13" s="54"/>
      <c r="U13" s="54"/>
      <c r="V13" s="54"/>
      <c r="W13" s="54"/>
      <c r="X13" s="54">
        <v>17794949</v>
      </c>
      <c r="Y13" s="54"/>
      <c r="Z13" s="53"/>
      <c r="AA13" s="53"/>
      <c r="AB13" s="53"/>
      <c r="AC13" s="53"/>
      <c r="AD13" s="54"/>
      <c r="AE13" s="54"/>
      <c r="AF13" s="54"/>
      <c r="AG13" s="54"/>
      <c r="AH13" s="54"/>
      <c r="AI13" s="54"/>
      <c r="AJ13" s="53"/>
      <c r="AK13" s="53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3"/>
      <c r="BB13" s="53"/>
      <c r="BC13" s="54"/>
      <c r="BD13" s="54"/>
      <c r="BE13" s="74"/>
    </row>
    <row r="14" spans="1:62" x14ac:dyDescent="0.3">
      <c r="A14" t="s">
        <v>590</v>
      </c>
      <c r="B14" s="4" t="s">
        <v>19</v>
      </c>
      <c r="C14" s="5" t="s">
        <v>20</v>
      </c>
      <c r="D14" s="72">
        <v>2.6257999999999997E-2</v>
      </c>
      <c r="E14" s="66">
        <v>0.63100000000000001</v>
      </c>
      <c r="F14" s="53">
        <v>29740</v>
      </c>
      <c r="G14" s="72">
        <v>3033500</v>
      </c>
      <c r="H14" s="72">
        <f>Tabelle2[[#This Row],[Bevölkerung]]/1000</f>
        <v>3033.5</v>
      </c>
      <c r="I14" s="72">
        <v>4.54</v>
      </c>
      <c r="J14" s="53">
        <v>437023</v>
      </c>
      <c r="K14" s="53">
        <f>G14*EXP(5.043121+0.031911*LN(D14/G14)+0.058886*LN(F14)-0.043159*LN(E14))</f>
        <v>486298638.21483314</v>
      </c>
      <c r="L14" s="53">
        <f>K14-J14</f>
        <v>485861615.21483314</v>
      </c>
      <c r="M14" s="53">
        <v>78394950</v>
      </c>
      <c r="N14" s="53"/>
      <c r="O14" s="53"/>
      <c r="P14" s="54"/>
      <c r="Q14" s="54"/>
      <c r="R14" s="54"/>
      <c r="S14" s="54"/>
      <c r="T14" s="54"/>
      <c r="U14" s="54"/>
      <c r="V14" s="54"/>
      <c r="W14" s="54"/>
      <c r="X14" s="97"/>
      <c r="Y14" s="54">
        <v>108680579</v>
      </c>
      <c r="Z14" s="53"/>
      <c r="AA14" s="53"/>
      <c r="AB14" s="53"/>
      <c r="AC14" s="53"/>
      <c r="AD14" s="54"/>
      <c r="AE14" s="54"/>
      <c r="AF14" s="54"/>
      <c r="AG14" s="54"/>
      <c r="AH14" s="54"/>
      <c r="AI14" s="54"/>
      <c r="AJ14" s="53"/>
      <c r="AK14" s="53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3"/>
      <c r="BB14" s="53"/>
      <c r="BC14" s="54"/>
      <c r="BD14" s="54"/>
      <c r="BE14" s="74"/>
    </row>
    <row r="15" spans="1:62" x14ac:dyDescent="0.3">
      <c r="A15" t="s">
        <v>589</v>
      </c>
      <c r="B15" s="4" t="s">
        <v>21</v>
      </c>
      <c r="C15" s="5" t="s">
        <v>22</v>
      </c>
      <c r="D15" s="72">
        <v>7.8870000000000005</v>
      </c>
      <c r="E15" s="66">
        <v>0.55700000000000005</v>
      </c>
      <c r="F15" s="53">
        <v>86600</v>
      </c>
      <c r="G15" s="72">
        <v>10202850</v>
      </c>
      <c r="H15" s="72">
        <f>Tabelle2[[#This Row],[Bevölkerung]]/1000</f>
        <v>10202.85</v>
      </c>
      <c r="I15" s="72">
        <v>3.78</v>
      </c>
      <c r="J15" s="53">
        <v>1705300</v>
      </c>
      <c r="K15" s="53">
        <f>G15*EXP(5.043121+0.031911*LN(D15/G15)+0.058886*LN(F15)-0.043159*LN(E15))</f>
        <v>2021186923.4311435</v>
      </c>
      <c r="L15" s="53">
        <f>K15-J15</f>
        <v>2019481623.4311435</v>
      </c>
      <c r="M15" s="53"/>
      <c r="N15" s="53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3"/>
      <c r="AA15" s="53"/>
      <c r="AB15" s="53"/>
      <c r="AC15" s="53"/>
      <c r="AD15" s="54"/>
      <c r="AE15" s="54"/>
      <c r="AF15" s="54"/>
      <c r="AG15" s="54"/>
      <c r="AH15" s="54"/>
      <c r="AI15" s="54"/>
      <c r="AJ15" s="53"/>
      <c r="AK15" s="53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3"/>
      <c r="BB15" s="53"/>
      <c r="BC15" s="54"/>
      <c r="BD15" s="54"/>
      <c r="BE15" s="74"/>
    </row>
    <row r="16" spans="1:62" hidden="1" x14ac:dyDescent="0.3">
      <c r="B16" s="24" t="s">
        <v>23</v>
      </c>
      <c r="C16" s="25" t="s">
        <v>24</v>
      </c>
      <c r="D16" s="72">
        <v>0.11745699999999999</v>
      </c>
      <c r="E16" s="66">
        <v>0.20799999999999999</v>
      </c>
      <c r="F16" s="53">
        <v>1136240</v>
      </c>
      <c r="G16" s="72">
        <v>132059769.99999999</v>
      </c>
      <c r="H16" s="72">
        <f>Tabelle2[[#This Row],[Bevölkerung]]/1000</f>
        <v>132059.76999999999</v>
      </c>
      <c r="I16" s="72"/>
      <c r="J16" s="53"/>
      <c r="K16" s="53">
        <f>G16*EXP(5.043121+0.031911*LN(D16/G16)+0.058886*LN(F16)-0.043159*LN(E16))</f>
        <v>25595361682.583763</v>
      </c>
      <c r="L16" s="53">
        <f>K16-J16</f>
        <v>25595361682.583763</v>
      </c>
      <c r="M16" s="53"/>
      <c r="N16" s="53"/>
      <c r="O16" s="53"/>
      <c r="P16" s="54"/>
      <c r="Q16" s="54"/>
      <c r="R16" s="54"/>
      <c r="S16" s="54"/>
      <c r="T16" s="54"/>
      <c r="U16" s="54"/>
      <c r="V16" s="54"/>
      <c r="W16" s="54"/>
      <c r="X16" s="54">
        <v>15103182</v>
      </c>
      <c r="Y16" s="54"/>
      <c r="Z16" s="53"/>
      <c r="AA16" s="53"/>
      <c r="AB16" s="53"/>
      <c r="AC16" s="53"/>
      <c r="AD16" s="54"/>
      <c r="AE16" s="54"/>
      <c r="AF16" s="54"/>
      <c r="AG16" s="54"/>
      <c r="AH16" s="54"/>
      <c r="AI16" s="54"/>
      <c r="AJ16" s="53"/>
      <c r="AK16" s="53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3"/>
      <c r="BB16" s="53"/>
      <c r="BC16" s="54"/>
      <c r="BD16" s="54"/>
      <c r="BE16" s="74"/>
    </row>
    <row r="17" spans="1:57" hidden="1" x14ac:dyDescent="0.3">
      <c r="B17" s="11" t="s">
        <v>25</v>
      </c>
      <c r="C17" s="12" t="s">
        <v>26</v>
      </c>
      <c r="D17" s="72">
        <v>1.7716809999999998</v>
      </c>
      <c r="E17" s="66">
        <v>0.86</v>
      </c>
      <c r="F17" s="53">
        <v>7741220</v>
      </c>
      <c r="G17" s="72">
        <v>27204810</v>
      </c>
      <c r="H17" s="72">
        <f>Tabelle2[[#This Row],[Bevölkerung]]/1000</f>
        <v>27204.81</v>
      </c>
      <c r="I17" s="72"/>
      <c r="J17" s="53"/>
      <c r="K17" s="53">
        <f>G17*EXP(5.043121+0.031911*LN(D17/G17)+0.058886*LN(F17)-0.043159*LN(E17))</f>
        <v>6368042936.6322794</v>
      </c>
      <c r="L17" s="53">
        <f>K17-J17</f>
        <v>6368042936.6322794</v>
      </c>
      <c r="M17" s="53"/>
      <c r="N17" s="53">
        <v>9808428</v>
      </c>
      <c r="O17" s="63"/>
      <c r="P17" s="54">
        <v>7003310</v>
      </c>
      <c r="Q17" s="64"/>
      <c r="R17" s="54"/>
      <c r="S17" s="54"/>
      <c r="T17" s="54"/>
      <c r="U17" s="54"/>
      <c r="V17" s="54"/>
      <c r="W17" s="54"/>
      <c r="X17" s="54">
        <v>10852208</v>
      </c>
      <c r="Y17" s="54"/>
      <c r="Z17" s="53">
        <v>1047421</v>
      </c>
      <c r="AA17" s="53"/>
      <c r="AB17" s="53"/>
      <c r="AC17" s="53"/>
      <c r="AE17" s="54"/>
      <c r="AF17" s="54"/>
      <c r="AG17" s="54"/>
      <c r="AH17" s="54">
        <v>146728</v>
      </c>
      <c r="AI17" s="54"/>
      <c r="AJ17" s="53"/>
      <c r="AK17" s="53"/>
      <c r="AL17" s="54"/>
      <c r="AM17" s="54"/>
      <c r="AN17" s="54">
        <v>127295</v>
      </c>
      <c r="AO17" s="54"/>
      <c r="AP17" s="54"/>
      <c r="AQ17" s="54">
        <v>22752</v>
      </c>
      <c r="AR17" s="54"/>
      <c r="AS17" s="54"/>
      <c r="AT17" s="54"/>
      <c r="AU17" s="54"/>
      <c r="AV17" s="54">
        <v>9035</v>
      </c>
      <c r="AW17" s="54"/>
      <c r="AX17" s="54"/>
      <c r="AY17" s="54"/>
      <c r="AZ17" s="54"/>
      <c r="BA17" s="53"/>
      <c r="BB17" s="53"/>
      <c r="BC17" s="54"/>
      <c r="BD17" s="54"/>
      <c r="BE17" s="74"/>
    </row>
    <row r="18" spans="1:57" x14ac:dyDescent="0.3">
      <c r="A18" t="s">
        <v>590</v>
      </c>
      <c r="B18" s="4" t="s">
        <v>27</v>
      </c>
      <c r="C18" s="5" t="s">
        <v>28</v>
      </c>
      <c r="D18" s="72">
        <v>1.5178000000000001E-2</v>
      </c>
      <c r="E18" s="66">
        <v>0.83</v>
      </c>
      <c r="F18" s="53">
        <v>13880</v>
      </c>
      <c r="G18" s="72">
        <v>401280</v>
      </c>
      <c r="H18" s="72">
        <f>Tabelle2[[#This Row],[Bevölkerung]]/1000</f>
        <v>401.28</v>
      </c>
      <c r="I18" s="72">
        <v>3.5</v>
      </c>
      <c r="J18" s="53">
        <v>96863</v>
      </c>
      <c r="K18" s="53">
        <f>G18*EXP(5.043121+0.031911*LN(D18/G18)+0.058886*LN(F18)-0.043159*LN(E18))</f>
        <v>63711453.809478037</v>
      </c>
      <c r="L18" s="53">
        <f>K18-J18</f>
        <v>63614590.809478037</v>
      </c>
      <c r="M18" s="53"/>
      <c r="N18" s="53">
        <v>102493</v>
      </c>
      <c r="O18" s="53"/>
      <c r="P18" s="54"/>
      <c r="Q18" s="54"/>
      <c r="R18" s="54"/>
      <c r="S18" s="54"/>
      <c r="T18" s="54"/>
      <c r="U18" s="54"/>
      <c r="V18" s="54"/>
      <c r="W18" s="54"/>
      <c r="X18" s="54">
        <v>126493</v>
      </c>
      <c r="Y18" s="54"/>
      <c r="Z18" s="53"/>
      <c r="AA18" s="53"/>
      <c r="AB18" s="53"/>
      <c r="AC18" s="53"/>
      <c r="AD18" s="54"/>
      <c r="AE18" s="54"/>
      <c r="AF18" s="54"/>
      <c r="AG18" s="54"/>
      <c r="AH18" s="54"/>
      <c r="AI18" s="54"/>
      <c r="AJ18" s="53"/>
      <c r="AK18" s="53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3"/>
      <c r="BB18" s="53"/>
      <c r="BC18" s="54"/>
      <c r="BD18" s="54"/>
      <c r="BE18" s="74"/>
    </row>
    <row r="19" spans="1:57" hidden="1" x14ac:dyDescent="0.3">
      <c r="B19" s="24" t="s">
        <v>29</v>
      </c>
      <c r="C19" s="25" t="s">
        <v>30</v>
      </c>
      <c r="D19" s="72">
        <v>4.7828999999999997E-2</v>
      </c>
      <c r="E19" s="66">
        <v>0.89300000000000002</v>
      </c>
      <c r="F19" s="53">
        <v>800</v>
      </c>
      <c r="G19" s="72">
        <v>1588670</v>
      </c>
      <c r="H19" s="72">
        <f>Tabelle2[[#This Row],[Bevölkerung]]/1000</f>
        <v>1588.67</v>
      </c>
      <c r="I19" s="72"/>
      <c r="J19" s="53"/>
      <c r="K19" s="53">
        <f>G19*EXP(5.043121+0.031911*LN(D19/G19)+0.058886*LN(F19)-0.043159*LN(E19))</f>
        <v>211004791.86627769</v>
      </c>
      <c r="L19" s="53">
        <f>K19-J19</f>
        <v>211004791.86627769</v>
      </c>
      <c r="M19" s="53"/>
      <c r="N19" s="53"/>
      <c r="O19" s="53"/>
      <c r="P19" s="54"/>
      <c r="Q19" s="54"/>
      <c r="R19" s="54"/>
      <c r="S19" s="54"/>
      <c r="T19" s="54"/>
      <c r="U19" s="54"/>
      <c r="V19" s="54"/>
      <c r="W19" s="54"/>
      <c r="X19" s="54">
        <v>387126</v>
      </c>
      <c r="Y19" s="54"/>
      <c r="Z19" s="53"/>
      <c r="AA19" s="53"/>
      <c r="AB19" s="53"/>
      <c r="AC19" s="53"/>
      <c r="AD19" s="54"/>
      <c r="AE19" s="54"/>
      <c r="AF19" s="54"/>
      <c r="AG19" s="54"/>
      <c r="AH19" s="54"/>
      <c r="AI19" s="54"/>
      <c r="AJ19" s="53"/>
      <c r="AK19" s="53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3"/>
      <c r="BB19" s="53"/>
      <c r="BC19" s="54"/>
      <c r="BD19" s="54"/>
      <c r="BE19" s="74"/>
    </row>
    <row r="20" spans="1:57" hidden="1" x14ac:dyDescent="0.3">
      <c r="B20" s="4" t="s">
        <v>31</v>
      </c>
      <c r="C20" s="5" t="s">
        <v>32</v>
      </c>
      <c r="D20" s="72">
        <v>0.46721800000000002</v>
      </c>
      <c r="E20" s="66">
        <v>0.36599999999999999</v>
      </c>
      <c r="F20" s="53">
        <v>147570</v>
      </c>
      <c r="G20" s="72">
        <v>173562360</v>
      </c>
      <c r="H20" s="72">
        <f>Tabelle2[[#This Row],[Bevölkerung]]/1000</f>
        <v>173562.36</v>
      </c>
      <c r="I20" s="72"/>
      <c r="J20" s="53"/>
      <c r="K20" s="53">
        <f>G20*EXP(5.043121+0.031911*LN(D20/G20)+0.058886*LN(F20)-0.043159*LN(E20))</f>
        <v>30157912872.705967</v>
      </c>
      <c r="L20" s="53">
        <f>K20-J20</f>
        <v>30157912872.705967</v>
      </c>
      <c r="M20" s="53"/>
      <c r="N20" s="53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3"/>
      <c r="AA20" s="53"/>
      <c r="AB20" s="53"/>
      <c r="AC20" s="53"/>
      <c r="AD20" s="54"/>
      <c r="AE20" s="54"/>
      <c r="AF20" s="54"/>
      <c r="AG20" s="54"/>
      <c r="AH20" s="54"/>
      <c r="AI20" s="54"/>
      <c r="AJ20" s="53"/>
      <c r="AK20" s="53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3"/>
      <c r="BB20" s="53"/>
      <c r="BC20" s="54"/>
      <c r="BD20" s="54"/>
      <c r="BE20" s="74"/>
    </row>
    <row r="21" spans="1:57" hidden="1" x14ac:dyDescent="0.3">
      <c r="B21" s="4" t="s">
        <v>33</v>
      </c>
      <c r="C21" s="5" t="s">
        <v>34</v>
      </c>
      <c r="D21" s="72">
        <v>7.5519999999999988E-3</v>
      </c>
      <c r="E21" s="66">
        <v>0.311</v>
      </c>
      <c r="F21" s="53">
        <v>430</v>
      </c>
      <c r="G21" s="72">
        <v>282470</v>
      </c>
      <c r="H21" s="72">
        <f>Tabelle2[[#This Row],[Bevölkerung]]/1000</f>
        <v>282.47000000000003</v>
      </c>
      <c r="I21" s="72"/>
      <c r="J21" s="53"/>
      <c r="K21" s="53">
        <f>G21*EXP(5.043121+0.031911*LN(D21/G21)+0.058886*LN(F21)-0.043159*LN(E21))</f>
        <v>37711967.205713674</v>
      </c>
      <c r="L21" s="53">
        <f>K21-J21</f>
        <v>37711967.205713674</v>
      </c>
      <c r="M21" s="55"/>
      <c r="N21" s="55"/>
      <c r="O21" s="55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3"/>
      <c r="AA21" s="53"/>
      <c r="AB21" s="53"/>
      <c r="AC21" s="53"/>
      <c r="AD21" s="54"/>
      <c r="AE21" s="54"/>
      <c r="AF21" s="54"/>
      <c r="AG21" s="54"/>
      <c r="AH21" s="54"/>
      <c r="AI21" s="54"/>
      <c r="AJ21" s="53"/>
      <c r="AK21" s="53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3"/>
      <c r="BB21" s="53"/>
      <c r="BC21" s="54"/>
      <c r="BD21" s="54"/>
      <c r="BE21" s="74"/>
    </row>
    <row r="22" spans="1:57" x14ac:dyDescent="0.3">
      <c r="A22" t="s">
        <v>590</v>
      </c>
      <c r="B22" s="11" t="s">
        <v>35</v>
      </c>
      <c r="C22" s="12" t="s">
        <v>36</v>
      </c>
      <c r="D22" s="72">
        <v>0.68486400000000003</v>
      </c>
      <c r="E22" s="66">
        <v>0.98</v>
      </c>
      <c r="F22" s="53">
        <v>30689</v>
      </c>
      <c r="G22" s="72">
        <v>11876840</v>
      </c>
      <c r="H22" s="72">
        <f>Tabelle2[[#This Row],[Bevölkerung]]/1000</f>
        <v>11876.84</v>
      </c>
      <c r="I22" s="72">
        <v>2.2999999999999998</v>
      </c>
      <c r="J22" s="53">
        <v>3876177</v>
      </c>
      <c r="K22" s="53">
        <f>G22*EXP(5.043121+0.031911*LN(D22/G22)+0.058886*LN(F22)-0.043159*LN(E22))</f>
        <v>1988350104.3837593</v>
      </c>
      <c r="L22" s="53">
        <f>K22-J22</f>
        <v>1984473927.3837593</v>
      </c>
      <c r="M22" s="53"/>
      <c r="N22" s="53"/>
      <c r="O22" s="53"/>
      <c r="P22" s="54">
        <v>1437107</v>
      </c>
      <c r="Q22" s="54"/>
      <c r="R22" s="54"/>
      <c r="S22" s="54"/>
      <c r="T22" s="54">
        <v>1183673</v>
      </c>
      <c r="U22" s="54"/>
      <c r="V22" s="54"/>
      <c r="W22" s="54"/>
      <c r="X22" s="54">
        <v>5783434</v>
      </c>
      <c r="Y22" s="54"/>
      <c r="Z22" s="53"/>
      <c r="AA22" s="53"/>
      <c r="AB22" s="53"/>
      <c r="AC22" s="53"/>
      <c r="AD22" s="54"/>
      <c r="AE22" s="54"/>
      <c r="AF22" s="54"/>
      <c r="AG22" s="54"/>
      <c r="AH22" s="54"/>
      <c r="AI22" s="54"/>
      <c r="AJ22" s="53"/>
      <c r="AK22" s="53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3">
        <v>4649265</v>
      </c>
      <c r="BB22" s="53"/>
      <c r="BC22" s="54"/>
      <c r="BD22" s="54"/>
      <c r="BE22" s="74"/>
    </row>
    <row r="23" spans="1:57" hidden="1" x14ac:dyDescent="0.3">
      <c r="B23" s="4" t="s">
        <v>37</v>
      </c>
      <c r="C23" s="5" t="s">
        <v>38</v>
      </c>
      <c r="D23" s="72">
        <v>3.6110000000000005E-3</v>
      </c>
      <c r="E23" s="66">
        <v>0.45700000000000002</v>
      </c>
      <c r="F23" s="53">
        <v>22966</v>
      </c>
      <c r="G23" s="72">
        <v>417070</v>
      </c>
      <c r="H23" s="72">
        <f>Tabelle2[[#This Row],[Bevölkerung]]/1000</f>
        <v>417.07</v>
      </c>
      <c r="I23" s="72"/>
      <c r="J23" s="53"/>
      <c r="K23" s="53">
        <f>G23*EXP(5.043121+0.031911*LN(D23/G23)+0.058886*LN(F23)-0.043159*LN(E23))</f>
        <v>66774106.589954898</v>
      </c>
      <c r="L23" s="53">
        <f>K23-J23</f>
        <v>66774106.589954898</v>
      </c>
      <c r="M23" s="53"/>
      <c r="N23" s="53"/>
      <c r="O23" s="53"/>
      <c r="P23" s="54">
        <v>97176</v>
      </c>
      <c r="Q23" s="54"/>
      <c r="R23" s="54">
        <v>1396</v>
      </c>
      <c r="S23" s="54"/>
      <c r="T23" s="54"/>
      <c r="U23" s="54"/>
      <c r="V23" s="54"/>
      <c r="W23" s="54"/>
      <c r="X23" s="54">
        <v>110718</v>
      </c>
      <c r="Y23" s="54"/>
      <c r="Z23" s="53"/>
      <c r="AA23" s="53"/>
      <c r="AB23" s="53"/>
      <c r="AC23" s="53"/>
      <c r="AD23" s="54"/>
      <c r="AE23" s="54"/>
      <c r="AF23" s="54"/>
      <c r="AG23" s="54"/>
      <c r="AH23" s="54"/>
      <c r="AI23" s="54"/>
      <c r="AJ23" s="53"/>
      <c r="AK23" s="53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3"/>
      <c r="BB23" s="53"/>
      <c r="BC23" s="54"/>
      <c r="BD23" s="54"/>
      <c r="BE23" s="74"/>
    </row>
    <row r="24" spans="1:57" hidden="1" x14ac:dyDescent="0.3">
      <c r="B24" s="4" t="s">
        <v>39</v>
      </c>
      <c r="C24" s="5" t="s">
        <v>40</v>
      </c>
      <c r="D24" s="72">
        <v>2.2235999999999999E-2</v>
      </c>
      <c r="E24" s="66">
        <v>0.47299999999999998</v>
      </c>
      <c r="F24" s="53">
        <v>114760</v>
      </c>
      <c r="G24" s="72">
        <v>14462720</v>
      </c>
      <c r="H24" s="72">
        <f>Tabelle2[[#This Row],[Bevölkerung]]/1000</f>
        <v>14462.72</v>
      </c>
      <c r="I24" s="72"/>
      <c r="J24" s="53"/>
      <c r="K24" s="53">
        <f>G24*EXP(5.043121+0.031911*LN(D24/G24)+0.058886*LN(F24)-0.043159*LN(E24))</f>
        <v>2405444173.5839529</v>
      </c>
      <c r="L24" s="53">
        <f>K24-J24</f>
        <v>2405444173.5839529</v>
      </c>
      <c r="M24" s="53"/>
      <c r="N24" s="53"/>
      <c r="O24" s="53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3"/>
      <c r="AA24" s="53"/>
      <c r="AB24" s="53"/>
      <c r="AC24" s="53"/>
      <c r="AD24" s="54"/>
      <c r="AE24" s="54"/>
      <c r="AF24" s="54"/>
      <c r="AG24" s="54"/>
      <c r="AH24" s="54"/>
      <c r="AI24" s="54"/>
      <c r="AJ24" s="53"/>
      <c r="AK24" s="53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3"/>
      <c r="BB24" s="53"/>
      <c r="BC24" s="54"/>
      <c r="BD24" s="54"/>
      <c r="BE24" s="74"/>
    </row>
    <row r="25" spans="1:57" hidden="1" x14ac:dyDescent="0.3">
      <c r="B25" s="4" t="s">
        <v>41</v>
      </c>
      <c r="C25" s="5" t="s">
        <v>42</v>
      </c>
      <c r="D25" s="72">
        <v>3.4220000000000001E-3</v>
      </c>
      <c r="E25" s="66">
        <v>0.40899999999999997</v>
      </c>
      <c r="F25" s="53">
        <v>38390</v>
      </c>
      <c r="G25" s="72">
        <v>791520</v>
      </c>
      <c r="H25" s="72">
        <f>Tabelle2[[#This Row],[Bevölkerung]]/1000</f>
        <v>791.52</v>
      </c>
      <c r="I25" s="72"/>
      <c r="J25" s="53"/>
      <c r="K25" s="53">
        <f>G25*EXP(5.043121+0.031911*LN(D25/G25)+0.058886*LN(F25)-0.043159*LN(E25))</f>
        <v>128367773.38328327</v>
      </c>
      <c r="L25" s="53">
        <f>K25-J25</f>
        <v>128367773.38328327</v>
      </c>
      <c r="M25" s="53"/>
      <c r="N25" s="53"/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3"/>
      <c r="AA25" s="53"/>
      <c r="AB25" s="53"/>
      <c r="AC25" s="53"/>
      <c r="AD25" s="54"/>
      <c r="AE25" s="54"/>
      <c r="AF25" s="54"/>
      <c r="AG25" s="54"/>
      <c r="AH25" s="54"/>
      <c r="AI25" s="54"/>
      <c r="AJ25" s="53"/>
      <c r="AK25" s="53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3"/>
      <c r="BB25" s="53"/>
      <c r="BC25" s="54"/>
      <c r="BD25" s="54"/>
      <c r="BE25" s="74"/>
    </row>
    <row r="26" spans="1:57" hidden="1" x14ac:dyDescent="0.3">
      <c r="B26" s="4" t="s">
        <v>43</v>
      </c>
      <c r="C26" s="5" t="s">
        <v>44</v>
      </c>
      <c r="D26" s="72">
        <v>5.6338999999999993E-2</v>
      </c>
      <c r="E26" s="66">
        <v>0.69399999999999995</v>
      </c>
      <c r="F26" s="53">
        <v>1098580</v>
      </c>
      <c r="G26" s="72">
        <v>12413320</v>
      </c>
      <c r="H26" s="72">
        <f>Tabelle2[[#This Row],[Bevölkerung]]/1000</f>
        <v>12413.32</v>
      </c>
      <c r="I26" s="72"/>
      <c r="J26" s="53"/>
      <c r="K26" s="53">
        <f>G26*EXP(5.043121+0.031911*LN(D26/G26)+0.058886*LN(F26)-0.043159*LN(E26))</f>
        <v>2401147097.082541</v>
      </c>
      <c r="L26" s="53">
        <f>K26-J26</f>
        <v>2401147097.082541</v>
      </c>
      <c r="M26" s="53"/>
      <c r="N26" s="53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3"/>
      <c r="AA26" s="53"/>
      <c r="AB26" s="53"/>
      <c r="AC26" s="53"/>
      <c r="AD26" s="54"/>
      <c r="AE26" s="54"/>
      <c r="AF26" s="54"/>
      <c r="AG26" s="54"/>
      <c r="AH26" s="54"/>
      <c r="AI26" s="54"/>
      <c r="AJ26" s="53"/>
      <c r="AK26" s="53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3"/>
      <c r="BB26" s="53"/>
      <c r="BC26" s="54"/>
      <c r="BD26" s="54"/>
      <c r="BE26" s="74"/>
    </row>
    <row r="27" spans="1:57" hidden="1" x14ac:dyDescent="0.3">
      <c r="B27" s="4" t="s">
        <v>45</v>
      </c>
      <c r="C27" s="5" t="s">
        <v>46</v>
      </c>
      <c r="D27" s="72">
        <v>2.8806999999999999E-2</v>
      </c>
      <c r="E27" s="66">
        <v>0.48199999999999998</v>
      </c>
      <c r="F27" s="53">
        <v>51210</v>
      </c>
      <c r="G27" s="72">
        <v>3164250</v>
      </c>
      <c r="H27" s="72">
        <f>Tabelle2[[#This Row],[Bevölkerung]]/1000</f>
        <v>3164.25</v>
      </c>
      <c r="I27" s="72"/>
      <c r="J27" s="53"/>
      <c r="K27" s="53">
        <f>G27*EXP(5.043121+0.031911*LN(D27/G27)+0.058886*LN(F27)-0.043159*LN(E27))</f>
        <v>530732581.23662657</v>
      </c>
      <c r="L27" s="53">
        <f>K27-J27</f>
        <v>530732581.23662657</v>
      </c>
      <c r="M27" s="53"/>
      <c r="N27" s="53"/>
      <c r="O27" s="53"/>
      <c r="P27" s="54"/>
      <c r="Q27" s="54"/>
      <c r="R27" s="54"/>
      <c r="S27" s="54"/>
      <c r="T27" s="54"/>
      <c r="U27" s="54"/>
      <c r="V27" s="54"/>
      <c r="W27" s="54"/>
      <c r="X27" s="54">
        <v>1617308</v>
      </c>
      <c r="Y27" s="54"/>
      <c r="Z27" s="53"/>
      <c r="AA27" s="53"/>
      <c r="AB27" s="53"/>
      <c r="AC27" s="53"/>
      <c r="AD27" s="54"/>
      <c r="AE27" s="54"/>
      <c r="AF27" s="54"/>
      <c r="AG27" s="54"/>
      <c r="AH27" s="54"/>
      <c r="AI27" s="54"/>
      <c r="AJ27" s="53"/>
      <c r="AK27" s="53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3"/>
      <c r="BB27" s="53"/>
      <c r="BC27" s="54"/>
      <c r="BD27" s="54"/>
      <c r="BE27" s="74"/>
    </row>
    <row r="28" spans="1:57" hidden="1" x14ac:dyDescent="0.3">
      <c r="B28" s="24" t="s">
        <v>47</v>
      </c>
      <c r="C28" s="25" t="s">
        <v>48</v>
      </c>
      <c r="D28" s="72">
        <v>1.9399999999999997E-2</v>
      </c>
      <c r="E28" s="66">
        <v>0.69399999999999995</v>
      </c>
      <c r="F28" s="53">
        <v>581730</v>
      </c>
      <c r="G28" s="72">
        <v>2521140</v>
      </c>
      <c r="H28" s="72">
        <f>Tabelle2[[#This Row],[Bevölkerung]]/1000</f>
        <v>2521.14</v>
      </c>
      <c r="I28" s="72"/>
      <c r="J28" s="53"/>
      <c r="K28" s="53">
        <f>G28*EXP(5.043121+0.031911*LN(D28/G28)+0.058886*LN(F28)-0.043159*LN(E28))</f>
        <v>477733195.71586257</v>
      </c>
      <c r="L28" s="53">
        <f>K28-J28</f>
        <v>477733195.71586257</v>
      </c>
      <c r="M28" s="53"/>
      <c r="N28" s="53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3"/>
      <c r="AA28" s="53"/>
      <c r="AB28" s="53"/>
      <c r="AC28" s="53"/>
      <c r="AD28" s="54"/>
      <c r="AE28" s="54"/>
      <c r="AF28" s="54"/>
      <c r="AG28" s="54"/>
      <c r="AH28" s="54"/>
      <c r="AI28" s="54"/>
      <c r="AJ28" s="53"/>
      <c r="AK28" s="53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3"/>
      <c r="BB28" s="53"/>
      <c r="BC28" s="54"/>
      <c r="BD28" s="54"/>
      <c r="BE28" s="74"/>
    </row>
    <row r="29" spans="1:57" hidden="1" x14ac:dyDescent="0.3">
      <c r="B29" s="19" t="s">
        <v>49</v>
      </c>
      <c r="C29" s="20" t="s">
        <v>50</v>
      </c>
      <c r="D29" s="72">
        <v>2.1259579999999998</v>
      </c>
      <c r="E29" s="66">
        <v>0.86599999999999999</v>
      </c>
      <c r="F29" s="53">
        <v>8510420</v>
      </c>
      <c r="G29" s="72">
        <v>211998570</v>
      </c>
      <c r="H29" s="72">
        <f>Tabelle2[[#This Row],[Bevölkerung]]/1000</f>
        <v>211998.57</v>
      </c>
      <c r="I29" s="72"/>
      <c r="J29" s="53"/>
      <c r="K29" s="53">
        <f>G29*EXP(5.043121+0.031911*LN(D29/G29)+0.058886*LN(F29)-0.043159*LN(E29))</f>
        <v>46995610973.894768</v>
      </c>
      <c r="L29" s="53">
        <f>K29-J29</f>
        <v>46995610973.894768</v>
      </c>
      <c r="M29" s="53"/>
      <c r="N29" s="53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3"/>
      <c r="AA29" s="53"/>
      <c r="AB29" s="53"/>
      <c r="AC29" s="53"/>
      <c r="AD29" s="54"/>
      <c r="AE29" s="54"/>
      <c r="AF29" s="54"/>
      <c r="AG29" s="54"/>
      <c r="AH29" s="54"/>
      <c r="AI29" s="54"/>
      <c r="AJ29" s="53"/>
      <c r="AK29" s="53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3"/>
      <c r="BB29" s="53"/>
      <c r="BC29" s="54"/>
      <c r="BD29" s="54"/>
      <c r="BE29" s="74"/>
    </row>
    <row r="30" spans="1:57" hidden="1" x14ac:dyDescent="0.3">
      <c r="B30" s="4" t="s">
        <v>51</v>
      </c>
      <c r="C30" s="5" t="s">
        <v>52</v>
      </c>
      <c r="D30" s="72">
        <v>1.6007E-2</v>
      </c>
      <c r="E30" s="66">
        <v>0.77600000000000002</v>
      </c>
      <c r="F30" s="53">
        <v>5770</v>
      </c>
      <c r="G30" s="72">
        <v>462720</v>
      </c>
      <c r="H30" s="72">
        <f>Tabelle2[[#This Row],[Bevölkerung]]/1000</f>
        <v>462.72</v>
      </c>
      <c r="I30" s="72"/>
      <c r="J30" s="53"/>
      <c r="K30" s="53">
        <f>G30*EXP(5.043121+0.031911*LN(D30/G30)+0.058886*LN(F30)-0.043159*LN(E30))</f>
        <v>69769195.201341197</v>
      </c>
      <c r="L30" s="53">
        <f>K30-J30</f>
        <v>69769195.201341197</v>
      </c>
      <c r="M30" s="53"/>
      <c r="N30" s="53">
        <v>83810</v>
      </c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3"/>
      <c r="AA30" s="53"/>
      <c r="AB30" s="53"/>
      <c r="AC30" s="53"/>
      <c r="AD30" s="54"/>
      <c r="AE30" s="54"/>
      <c r="AF30" s="54"/>
      <c r="AG30" s="54"/>
      <c r="AH30" s="54"/>
      <c r="AI30" s="54"/>
      <c r="AJ30" s="53"/>
      <c r="AK30" s="53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3"/>
      <c r="BB30" s="53"/>
      <c r="BC30" s="54"/>
      <c r="BD30" s="54"/>
      <c r="BE30" s="74"/>
    </row>
    <row r="31" spans="1:57" x14ac:dyDescent="0.3">
      <c r="A31" t="s">
        <v>589</v>
      </c>
      <c r="B31" s="19" t="s">
        <v>53</v>
      </c>
      <c r="C31" s="20" t="s">
        <v>54</v>
      </c>
      <c r="D31" s="72">
        <v>117.00699999999999</v>
      </c>
      <c r="E31" s="66">
        <v>0.75</v>
      </c>
      <c r="F31" s="53">
        <v>110997</v>
      </c>
      <c r="G31" s="72">
        <v>6444370</v>
      </c>
      <c r="H31" s="72">
        <f>Tabelle2[[#This Row],[Bevölkerung]]/1000</f>
        <v>6444.37</v>
      </c>
      <c r="I31" s="72">
        <v>2.2000000000000002</v>
      </c>
      <c r="J31" s="53">
        <v>3860000</v>
      </c>
      <c r="K31" s="53">
        <f>G31*EXP(5.043121+0.031911*LN(D31/G31)+0.058886*LN(F31)-0.043159*LN(E31))</f>
        <v>1414430029.0656648</v>
      </c>
      <c r="L31" s="53">
        <f>K31-J31</f>
        <v>1410570029.0656648</v>
      </c>
      <c r="M31" s="53"/>
      <c r="N31" s="53"/>
      <c r="O31" s="53"/>
      <c r="P31" s="54"/>
      <c r="Q31" s="54"/>
      <c r="R31" s="54"/>
      <c r="S31" s="54"/>
      <c r="T31" s="54"/>
      <c r="U31" s="54"/>
      <c r="V31" s="54"/>
      <c r="W31" s="54"/>
      <c r="X31" s="54">
        <v>4324193</v>
      </c>
      <c r="Y31" s="54">
        <v>239441812</v>
      </c>
      <c r="Z31" s="53"/>
      <c r="AA31" s="53"/>
      <c r="AB31" s="53"/>
      <c r="AC31" s="53"/>
      <c r="AD31" s="54"/>
      <c r="AE31" s="54"/>
      <c r="AF31" s="54"/>
      <c r="AG31" s="54"/>
      <c r="AH31" s="54"/>
      <c r="AI31" s="54"/>
      <c r="AJ31" s="53"/>
      <c r="AK31" s="53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3"/>
      <c r="BB31" s="53"/>
      <c r="BC31" s="54"/>
      <c r="BD31" s="54"/>
      <c r="BE31" s="74"/>
    </row>
    <row r="32" spans="1:57" hidden="1" x14ac:dyDescent="0.3">
      <c r="B32" s="4" t="s">
        <v>55</v>
      </c>
      <c r="C32" s="5" t="s">
        <v>56</v>
      </c>
      <c r="D32" s="72">
        <v>2.7056000000000004E-2</v>
      </c>
      <c r="E32" s="66">
        <v>0.29399999999999998</v>
      </c>
      <c r="F32" s="53">
        <v>274200</v>
      </c>
      <c r="G32" s="72">
        <v>23548780</v>
      </c>
      <c r="H32" s="72">
        <f>Tabelle2[[#This Row],[Bevölkerung]]/1000</f>
        <v>23548.78</v>
      </c>
      <c r="I32" s="72"/>
      <c r="J32" s="53"/>
      <c r="K32" s="53">
        <f>G32*EXP(5.043121+0.031911*LN(D32/G32)+0.058886*LN(F32)-0.043159*LN(E32))</f>
        <v>4169315412.5300789</v>
      </c>
      <c r="L32" s="53">
        <f>K32-J32</f>
        <v>4169315412.5300789</v>
      </c>
      <c r="M32" s="53"/>
      <c r="N32" s="53"/>
      <c r="O32" s="53"/>
      <c r="P32" s="54"/>
      <c r="Q32" s="54"/>
      <c r="R32" s="54"/>
      <c r="S32" s="54"/>
      <c r="T32" s="54"/>
      <c r="U32" s="54"/>
      <c r="V32" s="54"/>
      <c r="W32" s="54"/>
      <c r="X32" s="54">
        <v>3488258</v>
      </c>
      <c r="Y32" s="54"/>
      <c r="Z32" s="53"/>
      <c r="AA32" s="53"/>
      <c r="AB32" s="53"/>
      <c r="AC32" s="53"/>
      <c r="AD32" s="54"/>
      <c r="AE32" s="54"/>
      <c r="AF32" s="54"/>
      <c r="AG32" s="54"/>
      <c r="AH32" s="54"/>
      <c r="AI32" s="54"/>
      <c r="AJ32" s="53"/>
      <c r="AK32" s="53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3"/>
      <c r="BB32" s="53"/>
      <c r="BC32" s="54"/>
      <c r="BD32" s="54"/>
      <c r="BE32" s="74"/>
    </row>
    <row r="33" spans="1:57" hidden="1" x14ac:dyDescent="0.3">
      <c r="B33" s="4" t="s">
        <v>57</v>
      </c>
      <c r="C33" s="5" t="s">
        <v>58</v>
      </c>
      <c r="D33" s="72">
        <v>6.7449999999999993E-3</v>
      </c>
      <c r="E33" s="66">
        <v>0.13</v>
      </c>
      <c r="F33" s="53">
        <v>27830</v>
      </c>
      <c r="G33" s="72">
        <v>14047790</v>
      </c>
      <c r="H33" s="72">
        <f>Tabelle2[[#This Row],[Bevölkerung]]/1000</f>
        <v>14047.79</v>
      </c>
      <c r="I33" s="72"/>
      <c r="J33" s="53"/>
      <c r="K33" s="53">
        <f>G33*EXP(5.043121+0.031911*LN(D33/G33)+0.058886*LN(F33)-0.043159*LN(E33))</f>
        <v>2189787013.1573615</v>
      </c>
      <c r="L33" s="53">
        <f>K33-J33</f>
        <v>2189787013.1573615</v>
      </c>
      <c r="M33" s="53"/>
      <c r="N33" s="53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3"/>
      <c r="AA33" s="53"/>
      <c r="AB33" s="53"/>
      <c r="AC33" s="53"/>
      <c r="AD33" s="54"/>
      <c r="AE33" s="54"/>
      <c r="AF33" s="54"/>
      <c r="AG33" s="54"/>
      <c r="AH33" s="54"/>
      <c r="AI33" s="54"/>
      <c r="AJ33" s="53"/>
      <c r="AK33" s="53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3"/>
      <c r="BB33" s="53"/>
      <c r="BC33" s="54"/>
      <c r="BD33" s="54"/>
      <c r="BE33" s="74"/>
    </row>
    <row r="34" spans="1:57" hidden="1" x14ac:dyDescent="0.3">
      <c r="B34" s="19" t="s">
        <v>59</v>
      </c>
      <c r="C34" s="20" t="s">
        <v>60</v>
      </c>
      <c r="D34" s="72">
        <v>0.34382299999999999</v>
      </c>
      <c r="E34" s="66">
        <v>0.876</v>
      </c>
      <c r="F34" s="53">
        <v>757245</v>
      </c>
      <c r="G34" s="72">
        <v>19764770</v>
      </c>
      <c r="H34" s="72">
        <f>Tabelle2[[#This Row],[Bevölkerung]]/1000</f>
        <v>19764.77</v>
      </c>
      <c r="I34" s="72"/>
      <c r="J34" s="53"/>
      <c r="K34" s="53">
        <f>G34*EXP(5.043121+0.031911*LN(D34/G34)+0.058886*LN(F34)-0.043159*LN(E34))</f>
        <v>3865114368.8251162</v>
      </c>
      <c r="L34" s="53">
        <f>K34-J34</f>
        <v>3865114368.8251162</v>
      </c>
      <c r="M34" s="53"/>
      <c r="N34" s="53">
        <v>6408172</v>
      </c>
      <c r="O34" s="53" t="s">
        <v>450</v>
      </c>
      <c r="P34" s="54"/>
      <c r="Q34" s="54"/>
      <c r="R34" s="54"/>
      <c r="S34" s="54"/>
      <c r="T34" s="54"/>
      <c r="U34" s="54"/>
      <c r="V34" s="54"/>
      <c r="W34" s="54"/>
      <c r="X34" s="54">
        <v>7642716</v>
      </c>
      <c r="Y34" s="54"/>
      <c r="Z34" s="53"/>
      <c r="AA34" s="53"/>
      <c r="AB34" s="53"/>
      <c r="AC34" s="53"/>
      <c r="AD34" s="54"/>
      <c r="AE34" s="54"/>
      <c r="AF34" s="54"/>
      <c r="AG34" s="54"/>
      <c r="AH34" s="54"/>
      <c r="AI34" s="54"/>
      <c r="AJ34" s="53"/>
      <c r="AK34" s="53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3"/>
      <c r="BB34" s="53"/>
      <c r="BC34" s="54"/>
      <c r="BD34" s="54"/>
      <c r="BE34" s="74"/>
    </row>
    <row r="35" spans="1:57" hidden="1" x14ac:dyDescent="0.3">
      <c r="B35" s="13" t="s">
        <v>61</v>
      </c>
      <c r="C35" s="14" t="s">
        <v>62</v>
      </c>
      <c r="D35" s="72">
        <v>19.231705000000002</v>
      </c>
      <c r="E35" s="66">
        <v>0.59199999999999997</v>
      </c>
      <c r="F35" s="53">
        <v>9562910</v>
      </c>
      <c r="G35" s="72">
        <v>1408975000</v>
      </c>
      <c r="H35" s="72">
        <f>Tabelle2[[#This Row],[Bevölkerung]]/1000</f>
        <v>1408975</v>
      </c>
      <c r="I35" s="72"/>
      <c r="J35" s="53"/>
      <c r="K35" s="53">
        <f>G35*EXP(5.043121+0.031911*LN(D35/G35)+0.058886*LN(F35)-0.043159*LN(E35))</f>
        <v>322858290039.00928</v>
      </c>
      <c r="L35" s="53">
        <f>K35-J35</f>
        <v>322858290039.00928</v>
      </c>
      <c r="M35" s="53"/>
      <c r="N35" s="53"/>
      <c r="O35" s="53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3"/>
      <c r="AA35" s="53"/>
      <c r="AB35" s="53"/>
      <c r="AC35" s="53"/>
      <c r="AD35" s="54"/>
      <c r="AE35" s="54"/>
      <c r="AF35" s="54"/>
      <c r="AG35" s="54"/>
      <c r="AH35" s="54"/>
      <c r="AI35" s="54"/>
      <c r="AJ35" s="53"/>
      <c r="AK35" s="53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3"/>
      <c r="BB35" s="53"/>
      <c r="BC35" s="54"/>
      <c r="BD35" s="54"/>
      <c r="BE35" s="74"/>
    </row>
    <row r="36" spans="1:57" hidden="1" x14ac:dyDescent="0.3">
      <c r="B36" s="2" t="s">
        <v>63</v>
      </c>
      <c r="C36" s="3" t="s">
        <v>64</v>
      </c>
      <c r="D36" s="72">
        <v>0</v>
      </c>
      <c r="E36" s="66">
        <v>0.751</v>
      </c>
      <c r="F36" s="53">
        <v>236</v>
      </c>
      <c r="G36" s="72">
        <v>14989</v>
      </c>
      <c r="H36" s="72">
        <f>Tabelle2[[#This Row],[Bevölkerung]]/1000</f>
        <v>14.989000000000001</v>
      </c>
      <c r="I36" s="72"/>
      <c r="J36" s="53"/>
      <c r="K36" s="53" t="e">
        <f>G36*EXP(5.043121+0.031911*LN(D36/G36)+0.058886*LN(F36)-0.043159*LN(E36))</f>
        <v>#NUM!</v>
      </c>
      <c r="L36" s="53" t="e">
        <f>K36-J36</f>
        <v>#NUM!</v>
      </c>
      <c r="M36" s="53"/>
      <c r="N36" s="53">
        <v>4681</v>
      </c>
      <c r="O36" s="53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3"/>
      <c r="AA36" s="53"/>
      <c r="AB36" s="53"/>
      <c r="AC36" s="53"/>
      <c r="AD36" s="54"/>
      <c r="AE36" s="54"/>
      <c r="AF36" s="54"/>
      <c r="AG36" s="54"/>
      <c r="AH36" s="54"/>
      <c r="AI36" s="54"/>
      <c r="AJ36" s="53"/>
      <c r="AK36" s="53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3"/>
      <c r="BB36" s="53"/>
      <c r="BC36" s="54"/>
      <c r="BD36" s="54"/>
      <c r="BE36" s="74"/>
    </row>
    <row r="37" spans="1:57" hidden="1" x14ac:dyDescent="0.3">
      <c r="B37" s="22" t="s">
        <v>65</v>
      </c>
      <c r="C37" s="23" t="s">
        <v>66</v>
      </c>
      <c r="D37" s="72">
        <v>0.10259099999999999</v>
      </c>
      <c r="E37" s="66">
        <v>0.79300000000000004</v>
      </c>
      <c r="F37" s="53">
        <v>51100</v>
      </c>
      <c r="G37" s="72">
        <v>5129910</v>
      </c>
      <c r="H37" s="72">
        <f>Tabelle2[[#This Row],[Bevölkerung]]/1000</f>
        <v>5129.91</v>
      </c>
      <c r="I37" s="72"/>
      <c r="J37" s="53"/>
      <c r="K37" s="53">
        <f>G37*EXP(5.043121+0.031911*LN(D37/G37)+0.058886*LN(F37)-0.043159*LN(E37))</f>
        <v>863443461.14781272</v>
      </c>
      <c r="L37" s="53">
        <f>K37-J37</f>
        <v>863443461.14781272</v>
      </c>
      <c r="M37" s="53"/>
      <c r="N37" s="53">
        <v>1621381</v>
      </c>
      <c r="O37" s="53"/>
      <c r="P37" s="54"/>
      <c r="Q37" s="54"/>
      <c r="R37" s="54"/>
      <c r="S37" s="54"/>
      <c r="T37" s="54"/>
      <c r="U37" s="54"/>
      <c r="V37" s="54"/>
      <c r="W37" s="54"/>
      <c r="X37" s="54">
        <v>1836291</v>
      </c>
      <c r="Y37" s="54"/>
      <c r="Z37" s="53"/>
      <c r="AA37" s="53"/>
      <c r="AB37" s="53"/>
      <c r="AC37" s="53"/>
      <c r="AD37" s="54"/>
      <c r="AE37" s="54"/>
      <c r="AF37" s="54"/>
      <c r="AG37" s="54"/>
      <c r="AH37" s="54"/>
      <c r="AI37" s="54"/>
      <c r="AJ37" s="53"/>
      <c r="AK37" s="53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3"/>
      <c r="BB37" s="53"/>
      <c r="BC37" s="54"/>
      <c r="BD37" s="54"/>
      <c r="BE37" s="74"/>
    </row>
    <row r="38" spans="1:57" hidden="1" x14ac:dyDescent="0.3">
      <c r="B38" s="22" t="s">
        <v>67</v>
      </c>
      <c r="C38" s="23" t="s">
        <v>68</v>
      </c>
      <c r="D38" s="72">
        <v>9.4482999999999998E-2</v>
      </c>
      <c r="E38" s="66">
        <v>0.50800000000000001</v>
      </c>
      <c r="F38" s="53">
        <v>322460</v>
      </c>
      <c r="G38" s="72">
        <v>31934230</v>
      </c>
      <c r="H38" s="72">
        <f>Tabelle2[[#This Row],[Bevölkerung]]/1000</f>
        <v>31934.23</v>
      </c>
      <c r="I38" s="72"/>
      <c r="J38" s="53"/>
      <c r="K38" s="53">
        <f>G38*EXP(5.043121+0.031911*LN(D38/G38)+0.058886*LN(F38)-0.043159*LN(E38))</f>
        <v>5745885815.1579895</v>
      </c>
      <c r="L38" s="53">
        <f>K38-J38</f>
        <v>5745885815.1579895</v>
      </c>
      <c r="M38" s="53"/>
      <c r="N38" s="53"/>
      <c r="O38" s="53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3"/>
      <c r="AA38" s="53"/>
      <c r="AB38" s="53"/>
      <c r="AC38" s="53"/>
      <c r="AD38" s="54"/>
      <c r="AE38" s="54"/>
      <c r="AF38" s="54"/>
      <c r="AG38" s="54"/>
      <c r="AH38" s="54"/>
      <c r="AI38" s="54"/>
      <c r="AJ38" s="53"/>
      <c r="AK38" s="53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3"/>
      <c r="BB38" s="53"/>
      <c r="BC38" s="54"/>
      <c r="BD38" s="54"/>
      <c r="BE38" s="74"/>
    </row>
    <row r="39" spans="1:57" x14ac:dyDescent="0.3">
      <c r="A39" t="s">
        <v>589</v>
      </c>
      <c r="B39" s="13" t="s">
        <v>69</v>
      </c>
      <c r="C39" s="14" t="s">
        <v>70</v>
      </c>
      <c r="D39" s="72">
        <v>44.993999999999993</v>
      </c>
      <c r="E39" s="66">
        <v>0.879</v>
      </c>
      <c r="F39" s="53">
        <v>42920</v>
      </c>
      <c r="G39" s="72">
        <v>5976990</v>
      </c>
      <c r="H39" s="72">
        <f>Tabelle2[[#This Row],[Bevölkerung]]/1000</f>
        <v>5976.99</v>
      </c>
      <c r="I39" s="72">
        <v>1.9</v>
      </c>
      <c r="J39" s="53">
        <v>2060000</v>
      </c>
      <c r="K39" s="53">
        <f>G39*EXP(5.043121+0.031911*LN(D39/G39)+0.058886*LN(F39)-0.043159*LN(E39))</f>
        <v>1197864840.2710738</v>
      </c>
      <c r="L39" s="53">
        <f>K39-J39</f>
        <v>1195804840.2710738</v>
      </c>
      <c r="M39" s="53"/>
      <c r="N39" s="53">
        <v>2852000</v>
      </c>
      <c r="O39" s="53"/>
      <c r="P39" s="54"/>
      <c r="Q39" s="54"/>
      <c r="R39" s="54"/>
      <c r="S39" s="54"/>
      <c r="T39" s="54"/>
      <c r="U39" s="54"/>
      <c r="V39" s="54"/>
      <c r="W39" s="54"/>
      <c r="X39" s="54">
        <v>3278108</v>
      </c>
      <c r="Y39" s="54"/>
      <c r="Z39" s="53"/>
      <c r="AA39" s="53"/>
      <c r="AB39" s="53"/>
      <c r="AC39" s="53"/>
      <c r="AD39" s="54"/>
      <c r="AE39" s="54"/>
      <c r="AF39" s="54"/>
      <c r="AG39" s="54"/>
      <c r="AH39" s="54"/>
      <c r="AI39" s="54"/>
      <c r="AJ39" s="53"/>
      <c r="AK39" s="53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3"/>
      <c r="BB39" s="53"/>
      <c r="BC39" s="54"/>
      <c r="BD39" s="54"/>
      <c r="BE39" s="74"/>
    </row>
    <row r="40" spans="1:57" x14ac:dyDescent="0.3">
      <c r="A40" t="s">
        <v>589</v>
      </c>
      <c r="B40" s="9" t="s">
        <v>71</v>
      </c>
      <c r="C40" s="10" t="s">
        <v>72</v>
      </c>
      <c r="D40" s="72">
        <v>4744.8040000000001</v>
      </c>
      <c r="E40" s="95">
        <v>0.77400000000000002</v>
      </c>
      <c r="F40" s="96">
        <v>357680</v>
      </c>
      <c r="G40" s="72">
        <v>83510950</v>
      </c>
      <c r="H40" s="72">
        <f>Tabelle2[[#This Row],[Bevölkerung]]/1000</f>
        <v>83510.95</v>
      </c>
      <c r="I40" s="72">
        <v>2</v>
      </c>
      <c r="J40" s="96">
        <v>19488974</v>
      </c>
      <c r="K40" s="96">
        <f>G40*EXP(5.043121+0.031911*LN(D40/G40)+0.058886*LN(F40)-0.043159*LN(E40))</f>
        <v>20337099258.854092</v>
      </c>
      <c r="L40" s="96">
        <f>K40-J40</f>
        <v>20317610284.854092</v>
      </c>
      <c r="M40" s="96">
        <v>3841438000</v>
      </c>
      <c r="N40" s="96"/>
      <c r="O40" s="96"/>
      <c r="P40" s="54">
        <v>12939452</v>
      </c>
      <c r="Q40" s="54">
        <v>1676403000</v>
      </c>
      <c r="R40" s="54">
        <v>2778512</v>
      </c>
      <c r="S40" s="54">
        <v>612785000</v>
      </c>
      <c r="T40" s="54">
        <v>3737451</v>
      </c>
      <c r="U40" s="54"/>
      <c r="V40" s="54">
        <v>3247507</v>
      </c>
      <c r="W40" s="54">
        <v>1529925000</v>
      </c>
      <c r="X40" s="54">
        <v>43084122</v>
      </c>
      <c r="Y40" s="54">
        <v>3967765000</v>
      </c>
      <c r="Z40" s="53">
        <v>21124000</v>
      </c>
      <c r="AA40" s="53"/>
      <c r="AB40" s="53"/>
      <c r="AC40" s="53"/>
      <c r="AD40" s="54"/>
      <c r="AE40" s="54"/>
      <c r="AF40" s="54">
        <v>187000</v>
      </c>
      <c r="AG40" s="54"/>
      <c r="AH40" s="54">
        <v>758000</v>
      </c>
      <c r="AI40" s="54"/>
      <c r="AJ40" s="53">
        <f>J40+Z40</f>
        <v>40612974</v>
      </c>
      <c r="AK40" s="53"/>
      <c r="AL40" s="54"/>
      <c r="AM40" s="54"/>
      <c r="AN40" s="54">
        <v>307000</v>
      </c>
      <c r="AO40" s="54"/>
      <c r="AP40" s="54"/>
      <c r="AQ40" s="54">
        <v>63000</v>
      </c>
      <c r="AR40" s="54"/>
      <c r="AS40" s="54">
        <f>141000+78000</f>
        <v>219000</v>
      </c>
      <c r="AT40" s="54"/>
      <c r="AU40" s="54">
        <v>270000</v>
      </c>
      <c r="AV40" s="54"/>
      <c r="AW40" s="54"/>
      <c r="AX40" s="54"/>
      <c r="AY40" s="54"/>
      <c r="AZ40" s="54"/>
      <c r="BA40" s="53"/>
      <c r="BB40" s="53"/>
      <c r="BC40" s="54"/>
      <c r="BD40" s="54"/>
      <c r="BE40" s="74"/>
    </row>
    <row r="41" spans="1:57" hidden="1" x14ac:dyDescent="0.3">
      <c r="B41" s="2" t="s">
        <v>73</v>
      </c>
      <c r="C41" s="3" t="s">
        <v>74</v>
      </c>
      <c r="D41" s="72">
        <v>7.4200000000000005E-7</v>
      </c>
      <c r="E41" s="66">
        <v>0.70499999999999996</v>
      </c>
      <c r="F41" s="53">
        <v>750</v>
      </c>
      <c r="G41" s="72">
        <v>66200</v>
      </c>
      <c r="H41" s="72">
        <f>Tabelle2[[#This Row],[Bevölkerung]]/1000</f>
        <v>66.2</v>
      </c>
      <c r="I41" s="72"/>
      <c r="J41" s="53"/>
      <c r="K41" s="53">
        <f>G41*EXP(5.043121+0.031911*LN(D41/G41)+0.058886*LN(F41)-0.043159*LN(E41))</f>
        <v>6878132.4476188207</v>
      </c>
      <c r="L41" s="53">
        <f>K41-J41</f>
        <v>6878132.4476188207</v>
      </c>
      <c r="M41" s="53"/>
      <c r="N41" s="53"/>
      <c r="O41" s="53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3"/>
      <c r="AA41" s="53"/>
      <c r="AB41" s="53"/>
      <c r="AC41" s="53"/>
      <c r="AD41" s="54"/>
      <c r="AE41" s="54"/>
      <c r="AF41" s="54"/>
      <c r="AG41" s="54"/>
      <c r="AH41" s="54"/>
      <c r="AI41" s="54"/>
      <c r="AJ41" s="53"/>
      <c r="AK41" s="53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3"/>
      <c r="BB41" s="53"/>
      <c r="BC41" s="54"/>
      <c r="BD41" s="54"/>
      <c r="BE41" s="74"/>
    </row>
    <row r="42" spans="1:57" hidden="1" x14ac:dyDescent="0.3">
      <c r="B42" s="22" t="s">
        <v>75</v>
      </c>
      <c r="C42" s="23" t="s">
        <v>76</v>
      </c>
      <c r="D42" s="72">
        <v>0.127828</v>
      </c>
      <c r="E42" s="66">
        <v>0.81100000000000005</v>
      </c>
      <c r="F42" s="53">
        <v>146839</v>
      </c>
      <c r="G42" s="72">
        <v>11427560</v>
      </c>
      <c r="H42" s="72">
        <f>Tabelle2[[#This Row],[Bevölkerung]]/1000</f>
        <v>11427.56</v>
      </c>
      <c r="I42" s="72"/>
      <c r="J42" s="53"/>
      <c r="K42" s="53">
        <f>G42*EXP(5.043121+0.031911*LN(D42/G42)+0.058886*LN(F42)-0.043159*LN(E42))</f>
        <v>2007240968.1315584</v>
      </c>
      <c r="L42" s="53">
        <f>K42-J42</f>
        <v>2007240968.1315584</v>
      </c>
      <c r="M42" s="53"/>
      <c r="N42" s="53"/>
      <c r="O42" s="53"/>
      <c r="P42" s="54">
        <v>2442901</v>
      </c>
      <c r="Q42" s="54"/>
      <c r="R42" s="54">
        <v>256875</v>
      </c>
      <c r="S42" s="54"/>
      <c r="T42" s="54">
        <v>99203</v>
      </c>
      <c r="U42" s="54"/>
      <c r="V42" s="54"/>
      <c r="W42" s="54"/>
      <c r="X42" s="54">
        <v>3694060</v>
      </c>
      <c r="Y42" s="54"/>
      <c r="Z42" s="53"/>
      <c r="AA42" s="53"/>
      <c r="AB42" s="53"/>
      <c r="AC42" s="53"/>
      <c r="AD42" s="54"/>
      <c r="AE42" s="54"/>
      <c r="AF42" s="54"/>
      <c r="AG42" s="54"/>
      <c r="AH42" s="54"/>
      <c r="AI42" s="54"/>
      <c r="AJ42" s="53"/>
      <c r="AK42" s="53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3"/>
      <c r="BB42" s="53"/>
      <c r="BC42" s="54"/>
      <c r="BD42" s="54"/>
      <c r="BE42" s="74"/>
    </row>
    <row r="43" spans="1:57" hidden="1" x14ac:dyDescent="0.3">
      <c r="B43" s="4" t="s">
        <v>77</v>
      </c>
      <c r="C43" s="5" t="s">
        <v>78</v>
      </c>
      <c r="D43" s="72">
        <v>4.5869999999999991E-3</v>
      </c>
      <c r="E43" s="66">
        <v>0.77800000000000002</v>
      </c>
      <c r="F43" s="53">
        <v>23200</v>
      </c>
      <c r="G43" s="72">
        <v>1168720</v>
      </c>
      <c r="H43" s="72">
        <f>Tabelle2[[#This Row],[Bevölkerung]]/1000</f>
        <v>1168.72</v>
      </c>
      <c r="I43" s="72"/>
      <c r="J43" s="53"/>
      <c r="K43" s="53">
        <f>G43*EXP(5.043121+0.031911*LN(D43/G43)+0.058886*LN(F43)-0.043159*LN(E43))</f>
        <v>178415166.51256531</v>
      </c>
      <c r="L43" s="53">
        <f>K43-J43</f>
        <v>178415166.51256531</v>
      </c>
      <c r="M43" s="53"/>
      <c r="N43" s="53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3"/>
      <c r="AA43" s="53"/>
      <c r="AB43" s="53"/>
      <c r="AC43" s="53"/>
      <c r="AD43" s="54"/>
      <c r="AE43" s="54"/>
      <c r="AF43" s="54"/>
      <c r="AG43" s="54"/>
      <c r="AH43" s="54"/>
      <c r="AI43" s="54"/>
      <c r="AJ43" s="53"/>
      <c r="AK43" s="53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3"/>
      <c r="BB43" s="53"/>
      <c r="BC43" s="54"/>
      <c r="BD43" s="54"/>
      <c r="BE43" s="74"/>
    </row>
    <row r="44" spans="1:57" hidden="1" x14ac:dyDescent="0.3">
      <c r="B44" s="22" t="s">
        <v>79</v>
      </c>
      <c r="C44" s="23" t="s">
        <v>80</v>
      </c>
      <c r="D44" s="72">
        <v>0.12567700000000001</v>
      </c>
      <c r="E44" s="66">
        <v>0.63800000000000001</v>
      </c>
      <c r="F44" s="53">
        <v>256370</v>
      </c>
      <c r="G44" s="72">
        <v>18135480</v>
      </c>
      <c r="H44" s="72">
        <f>Tabelle2[[#This Row],[Bevölkerung]]/1000</f>
        <v>18135.48</v>
      </c>
      <c r="I44" s="72"/>
      <c r="J44" s="53"/>
      <c r="K44" s="53">
        <f>G44*EXP(5.043121+0.031911*LN(D44/G44)+0.058886*LN(F44)-0.043159*LN(E44))</f>
        <v>3275581475.8043938</v>
      </c>
      <c r="L44" s="53">
        <f>K44-J44</f>
        <v>3275581475.8043938</v>
      </c>
      <c r="M44" s="53"/>
      <c r="N44" s="53">
        <v>5062650</v>
      </c>
      <c r="O44" s="53"/>
      <c r="P44" s="54"/>
      <c r="Q44" s="54"/>
      <c r="R44" s="54"/>
      <c r="S44" s="54"/>
      <c r="T44" s="54"/>
      <c r="U44" s="54"/>
      <c r="V44" s="54"/>
      <c r="W44" s="54"/>
      <c r="X44" s="54">
        <v>6610236</v>
      </c>
      <c r="Y44" s="54"/>
      <c r="Z44" s="53"/>
      <c r="AA44" s="53"/>
      <c r="AB44" s="53"/>
      <c r="AC44" s="53"/>
      <c r="AD44" s="54"/>
      <c r="AE44" s="54"/>
      <c r="AF44" s="54"/>
      <c r="AG44" s="54"/>
      <c r="AH44" s="54"/>
      <c r="AI44" s="54"/>
      <c r="AJ44" s="53"/>
      <c r="AK44" s="53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3"/>
      <c r="BB44" s="53"/>
      <c r="BC44" s="54"/>
      <c r="BD44" s="54"/>
      <c r="BE44" s="74"/>
    </row>
    <row r="45" spans="1:57" hidden="1" x14ac:dyDescent="0.3">
      <c r="B45" s="2" t="s">
        <v>81</v>
      </c>
      <c r="C45" s="3" t="s">
        <v>82</v>
      </c>
      <c r="D45" s="72">
        <v>3.6749000000000004E-2</v>
      </c>
      <c r="E45" s="66">
        <v>0.72</v>
      </c>
      <c r="F45" s="53">
        <v>21040</v>
      </c>
      <c r="G45" s="72">
        <v>6338190</v>
      </c>
      <c r="H45" s="72">
        <f>Tabelle2[[#This Row],[Bevölkerung]]/1000</f>
        <v>6338.19</v>
      </c>
      <c r="I45" s="72"/>
      <c r="J45" s="53"/>
      <c r="K45" s="53">
        <f>G45*EXP(5.043121+0.031911*LN(D45/G45)+0.058886*LN(F45)-0.043159*LN(E45))</f>
        <v>977343368.4318136</v>
      </c>
      <c r="L45" s="53">
        <f>K45-J45</f>
        <v>977343368.4318136</v>
      </c>
      <c r="M45" s="53"/>
      <c r="N45" s="53"/>
      <c r="O45" s="53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3"/>
      <c r="AA45" s="53"/>
      <c r="AB45" s="53"/>
      <c r="AC45" s="53"/>
      <c r="AD45" s="54"/>
      <c r="AE45" s="54"/>
      <c r="AF45" s="54"/>
      <c r="AG45" s="54"/>
      <c r="AH45" s="54"/>
      <c r="AI45" s="54"/>
      <c r="AJ45" s="53"/>
      <c r="AK45" s="53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3"/>
      <c r="BB45" s="53"/>
      <c r="BC45" s="54"/>
      <c r="BD45" s="54"/>
      <c r="BE45" s="74"/>
    </row>
    <row r="46" spans="1:57" hidden="1" x14ac:dyDescent="0.3">
      <c r="B46" s="2" t="s">
        <v>83</v>
      </c>
      <c r="C46" s="3" t="s">
        <v>84</v>
      </c>
      <c r="D46" s="72" t="s">
        <v>593</v>
      </c>
      <c r="E46" s="66">
        <v>0.40100000000000002</v>
      </c>
      <c r="F46" s="53">
        <v>121766</v>
      </c>
      <c r="G46" s="72">
        <v>3535600</v>
      </c>
      <c r="H46" s="72">
        <f>Tabelle2[[#This Row],[Bevölkerung]]/1000</f>
        <v>3535.6</v>
      </c>
      <c r="I46" s="72"/>
      <c r="J46" s="53"/>
      <c r="K46" s="53" t="e">
        <f>G46*EXP(5.043121+0.031911*LN(D46/G46)+0.058886*LN(F46)-0.043159*LN(E46))</f>
        <v>#VALUE!</v>
      </c>
      <c r="L46" s="53" t="e">
        <f>K46-J46</f>
        <v>#VALUE!</v>
      </c>
      <c r="M46" s="53"/>
      <c r="N46" s="53"/>
      <c r="O46" s="53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3"/>
      <c r="AA46" s="53"/>
      <c r="AB46" s="53"/>
      <c r="AC46" s="53"/>
      <c r="AD46" s="54"/>
      <c r="AE46" s="54"/>
      <c r="AF46" s="54"/>
      <c r="AG46" s="54"/>
      <c r="AH46" s="54"/>
      <c r="AI46" s="54"/>
      <c r="AJ46" s="53"/>
      <c r="AK46" s="53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3"/>
      <c r="BB46" s="53"/>
      <c r="BC46" s="54"/>
      <c r="BD46" s="54"/>
      <c r="BE46" s="74"/>
    </row>
    <row r="47" spans="1:57" x14ac:dyDescent="0.3">
      <c r="A47" t="s">
        <v>589</v>
      </c>
      <c r="B47" s="2" t="s">
        <v>85</v>
      </c>
      <c r="C47" s="3" t="s">
        <v>86</v>
      </c>
      <c r="D47" s="72">
        <v>45.004000000000005</v>
      </c>
      <c r="E47" s="66">
        <v>0.68899999999999995</v>
      </c>
      <c r="F47" s="53">
        <v>45340</v>
      </c>
      <c r="G47" s="72">
        <v>1371990</v>
      </c>
      <c r="H47" s="72">
        <f>Tabelle2[[#This Row],[Bevölkerung]]/1000</f>
        <v>1371.99</v>
      </c>
      <c r="I47" s="72">
        <v>1.9</v>
      </c>
      <c r="J47" s="53">
        <v>266475</v>
      </c>
      <c r="K47" s="53">
        <f>G47*EXP(5.043121+0.031911*LN(D47/G47)+0.058886*LN(F47)-0.043159*LN(E47))</f>
        <v>292174510.61844808</v>
      </c>
      <c r="L47" s="53">
        <f>K47-J47</f>
        <v>291908035.61844808</v>
      </c>
      <c r="M47" s="53"/>
      <c r="N47" s="53">
        <f>737873*0.76</f>
        <v>560783.48</v>
      </c>
      <c r="O47" s="53"/>
      <c r="P47" s="54"/>
      <c r="Q47" s="54"/>
      <c r="R47" s="54"/>
      <c r="S47" s="54"/>
      <c r="T47" s="54"/>
      <c r="U47" s="54"/>
      <c r="V47" s="54"/>
      <c r="W47" s="54"/>
      <c r="X47" s="54">
        <v>737873</v>
      </c>
      <c r="Y47" s="54">
        <v>49660721</v>
      </c>
      <c r="Z47" s="53"/>
      <c r="AA47" s="53"/>
      <c r="AB47" s="53"/>
      <c r="AC47" s="53"/>
      <c r="AD47" s="54"/>
      <c r="AE47" s="54"/>
      <c r="AF47" s="54"/>
      <c r="AG47" s="54"/>
      <c r="AH47" s="54"/>
      <c r="AI47" s="54"/>
      <c r="AJ47" s="53"/>
      <c r="AK47" s="53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3"/>
      <c r="BB47" s="53"/>
      <c r="BC47" s="54"/>
      <c r="BD47" s="54"/>
      <c r="BE47" s="74"/>
    </row>
    <row r="48" spans="1:57" hidden="1" x14ac:dyDescent="0.3">
      <c r="B48" s="2" t="s">
        <v>87</v>
      </c>
      <c r="C48" s="3" t="s">
        <v>88</v>
      </c>
      <c r="D48" s="72">
        <v>6.2570000000000004E-3</v>
      </c>
      <c r="E48" s="66">
        <v>0.56200000000000006</v>
      </c>
      <c r="F48" s="53">
        <v>18270</v>
      </c>
      <c r="G48" s="72">
        <v>928780</v>
      </c>
      <c r="H48" s="72">
        <f>Tabelle2[[#This Row],[Bevölkerung]]/1000</f>
        <v>928.78</v>
      </c>
      <c r="I48" s="72"/>
      <c r="J48" s="53"/>
      <c r="K48" s="53">
        <f>G48*EXP(5.043121+0.031911*LN(D48/G48)+0.058886*LN(F48)-0.043159*LN(E48))</f>
        <v>144247440.70823783</v>
      </c>
      <c r="L48" s="53">
        <f>K48-J48</f>
        <v>144247440.70823783</v>
      </c>
      <c r="M48" s="53"/>
      <c r="N48" s="53">
        <v>191910</v>
      </c>
      <c r="O48" s="53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3"/>
      <c r="AA48" s="53"/>
      <c r="AB48" s="53"/>
      <c r="AC48" s="53"/>
      <c r="AD48" s="54"/>
      <c r="AE48" s="54"/>
      <c r="AF48" s="54"/>
      <c r="AG48" s="54"/>
      <c r="AH48" s="54"/>
      <c r="AI48" s="54"/>
      <c r="AJ48" s="53"/>
      <c r="AK48" s="53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3"/>
      <c r="BB48" s="53"/>
      <c r="BC48" s="54"/>
      <c r="BD48" s="54"/>
      <c r="BE48" s="74"/>
    </row>
    <row r="49" spans="1:57" x14ac:dyDescent="0.3">
      <c r="A49" t="s">
        <v>589</v>
      </c>
      <c r="B49" s="13" t="s">
        <v>89</v>
      </c>
      <c r="C49" s="14" t="s">
        <v>90</v>
      </c>
      <c r="D49" s="72">
        <v>303.94499999999999</v>
      </c>
      <c r="E49" s="66">
        <v>0.85399999999999998</v>
      </c>
      <c r="F49" s="53">
        <v>338480</v>
      </c>
      <c r="G49" s="72">
        <v>5637210</v>
      </c>
      <c r="H49" s="72">
        <f>Tabelle2[[#This Row],[Bevölkerung]]/1000</f>
        <v>5637.21</v>
      </c>
      <c r="I49" s="72">
        <v>1.9</v>
      </c>
      <c r="J49" s="53">
        <v>1450000</v>
      </c>
      <c r="K49" s="53">
        <f>G49*EXP(5.043121+0.031911*LN(D49/G49)+0.058886*LN(F49)-0.043159*LN(E49))</f>
        <v>1360283366.3062229</v>
      </c>
      <c r="L49" s="53">
        <f>K49-J49</f>
        <v>1358833366.3062229</v>
      </c>
      <c r="M49" s="53"/>
      <c r="N49" s="53">
        <v>2860961</v>
      </c>
      <c r="O49" s="53"/>
      <c r="P49" s="54"/>
      <c r="Q49" s="54"/>
      <c r="R49" s="54"/>
      <c r="S49" s="54"/>
      <c r="T49" s="54"/>
      <c r="U49" s="54"/>
      <c r="V49" s="54">
        <v>1382453</v>
      </c>
      <c r="W49" s="54"/>
      <c r="X49" s="54">
        <v>3248159</v>
      </c>
      <c r="Y49" s="54"/>
      <c r="Z49" s="53"/>
      <c r="AA49" s="53"/>
      <c r="AB49" s="53"/>
      <c r="AC49" s="53"/>
      <c r="AD49" s="54"/>
      <c r="AE49" s="54"/>
      <c r="AF49" s="54"/>
      <c r="AG49" s="54"/>
      <c r="AH49" s="54"/>
      <c r="AI49" s="54"/>
      <c r="AJ49" s="53"/>
      <c r="AK49" s="53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3"/>
      <c r="BB49" s="53"/>
      <c r="BC49" s="54"/>
      <c r="BD49" s="54"/>
      <c r="BE49" s="74"/>
    </row>
    <row r="50" spans="1:57" x14ac:dyDescent="0.3">
      <c r="A50" t="s">
        <v>589</v>
      </c>
      <c r="B50" s="9" t="s">
        <v>91</v>
      </c>
      <c r="C50" s="10" t="s">
        <v>92</v>
      </c>
      <c r="D50" s="72">
        <v>3211.2919999999999</v>
      </c>
      <c r="E50" s="66">
        <v>0.80400000000000005</v>
      </c>
      <c r="F50" s="53">
        <v>606410</v>
      </c>
      <c r="G50" s="72">
        <v>68516700</v>
      </c>
      <c r="H50" s="72">
        <f>Tabelle2[[#This Row],[Bevölkerung]]/1000</f>
        <v>68516.7</v>
      </c>
      <c r="I50" s="72">
        <v>2.1</v>
      </c>
      <c r="J50" s="53">
        <v>17490000</v>
      </c>
      <c r="K50" s="53">
        <f>G50*EXP(5.043121+0.031911*LN(D50/G50)+0.058886*LN(F50)-0.043159*LN(E50))</f>
        <v>17079008401.94911</v>
      </c>
      <c r="L50" s="53">
        <f>K50-J50</f>
        <v>17061518401.94911</v>
      </c>
      <c r="M50" s="53"/>
      <c r="N50" s="53">
        <v>35100000</v>
      </c>
      <c r="O50" s="53"/>
      <c r="P50" s="54">
        <v>20824000</v>
      </c>
      <c r="Q50" s="54"/>
      <c r="R50" s="54"/>
      <c r="S50" s="54"/>
      <c r="T50" s="54"/>
      <c r="U50" s="54"/>
      <c r="V50" s="54"/>
      <c r="W50" s="54"/>
      <c r="X50" s="54">
        <v>38000000</v>
      </c>
      <c r="Y50" s="54"/>
      <c r="Z50" s="53"/>
      <c r="AA50" s="53"/>
      <c r="AB50" s="53"/>
      <c r="AC50" s="53"/>
      <c r="AD50" s="54">
        <v>123623</v>
      </c>
      <c r="AE50" s="54">
        <v>141000000</v>
      </c>
      <c r="AF50" s="54"/>
      <c r="AG50" s="54"/>
      <c r="AH50" s="54"/>
      <c r="AI50" s="54"/>
      <c r="AJ50" s="53"/>
      <c r="AK50" s="53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3"/>
      <c r="BB50" s="53"/>
      <c r="BC50" s="54"/>
      <c r="BD50" s="54"/>
      <c r="BE50" s="74"/>
    </row>
    <row r="51" spans="1:57" hidden="1" x14ac:dyDescent="0.3">
      <c r="B51" s="2" t="s">
        <v>93</v>
      </c>
      <c r="C51" s="3" t="s">
        <v>94</v>
      </c>
      <c r="D51" s="72">
        <v>2.0390999999999999E-2</v>
      </c>
      <c r="E51" s="66">
        <v>0.89400000000000002</v>
      </c>
      <c r="F51" s="53">
        <v>267670</v>
      </c>
      <c r="G51" s="72">
        <v>2538950</v>
      </c>
      <c r="H51" s="72">
        <f>Tabelle2[[#This Row],[Bevölkerung]]/1000</f>
        <v>2538.9499999999998</v>
      </c>
      <c r="I51" s="72"/>
      <c r="J51" s="53"/>
      <c r="K51" s="53">
        <f>G51*EXP(5.043121+0.031911*LN(D51/G51)+0.058886*LN(F51)-0.043159*LN(E51))</f>
        <v>455236634.8296926</v>
      </c>
      <c r="L51" s="53">
        <f>K51-J51</f>
        <v>455236634.8296926</v>
      </c>
      <c r="M51" s="53"/>
      <c r="N51" s="53">
        <v>431550</v>
      </c>
      <c r="O51" s="53"/>
      <c r="P51" s="54"/>
      <c r="Q51" s="54"/>
      <c r="R51" s="54"/>
      <c r="S51" s="54"/>
      <c r="T51" s="54"/>
      <c r="U51" s="54"/>
      <c r="V51" s="54"/>
      <c r="W51" s="54"/>
      <c r="X51" s="54">
        <v>468351</v>
      </c>
      <c r="Y51" s="54"/>
      <c r="Z51" s="53"/>
      <c r="AA51" s="53"/>
      <c r="AB51" s="53"/>
      <c r="AC51" s="53"/>
      <c r="AD51" s="54"/>
      <c r="AE51" s="54"/>
      <c r="AF51" s="54"/>
      <c r="AG51" s="54"/>
      <c r="AH51" s="54"/>
      <c r="AI51" s="54"/>
      <c r="AJ51" s="53"/>
      <c r="AK51" s="53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3"/>
      <c r="BB51" s="53"/>
      <c r="BC51" s="54"/>
      <c r="BD51" s="54"/>
      <c r="BE51" s="74"/>
    </row>
    <row r="52" spans="1:57" hidden="1" x14ac:dyDescent="0.3">
      <c r="B52" s="2" t="s">
        <v>95</v>
      </c>
      <c r="C52" s="3" t="s">
        <v>96</v>
      </c>
      <c r="D52" s="72">
        <v>2.7709999999999996E-3</v>
      </c>
      <c r="E52" s="66">
        <v>0.61299999999999999</v>
      </c>
      <c r="F52" s="53">
        <v>11300</v>
      </c>
      <c r="G52" s="72">
        <v>2759990</v>
      </c>
      <c r="H52" s="72">
        <f>Tabelle2[[#This Row],[Bevölkerung]]/1000</f>
        <v>2759.99</v>
      </c>
      <c r="I52" s="72"/>
      <c r="J52" s="53"/>
      <c r="K52" s="53">
        <f>G52*EXP(5.043121+0.031911*LN(D52/G52)+0.058886*LN(F52)-0.043159*LN(E52))</f>
        <v>390666233.72784746</v>
      </c>
      <c r="L52" s="53">
        <f>K52-J52</f>
        <v>390666233.72784746</v>
      </c>
      <c r="M52" s="53"/>
      <c r="N52" s="53">
        <v>502832</v>
      </c>
      <c r="O52" s="53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3"/>
      <c r="AA52" s="53"/>
      <c r="AB52" s="53"/>
      <c r="AC52" s="53"/>
      <c r="AD52" s="54"/>
      <c r="AE52" s="54"/>
      <c r="AF52" s="54"/>
      <c r="AG52" s="54"/>
      <c r="AH52" s="54"/>
      <c r="AI52" s="54"/>
      <c r="AJ52" s="53"/>
      <c r="AK52" s="53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3"/>
      <c r="BB52" s="53"/>
      <c r="BC52" s="54"/>
      <c r="BD52" s="54"/>
      <c r="BE52" s="74"/>
    </row>
    <row r="53" spans="1:57" hidden="1" x14ac:dyDescent="0.3">
      <c r="B53" s="2" t="s">
        <v>97</v>
      </c>
      <c r="C53" s="3" t="s">
        <v>98</v>
      </c>
      <c r="D53" s="72">
        <v>3.5353000000000002E-2</v>
      </c>
      <c r="E53" s="66">
        <v>0.58599999999999997</v>
      </c>
      <c r="F53" s="53">
        <v>69700</v>
      </c>
      <c r="G53" s="72">
        <v>3673850</v>
      </c>
      <c r="H53" s="72">
        <f>Tabelle2[[#This Row],[Bevölkerung]]/1000</f>
        <v>3673.85</v>
      </c>
      <c r="I53" s="72"/>
      <c r="J53" s="53"/>
      <c r="K53" s="53">
        <f>G53*EXP(5.043121+0.031911*LN(D53/G53)+0.058886*LN(F53)-0.043159*LN(E53))</f>
        <v>623327368.1298728</v>
      </c>
      <c r="L53" s="53">
        <f>K53-J53</f>
        <v>623327368.1298728</v>
      </c>
      <c r="M53" s="53"/>
      <c r="N53" s="53"/>
      <c r="O53" s="53"/>
      <c r="P53" s="54">
        <v>592720</v>
      </c>
      <c r="Q53" s="54"/>
      <c r="R53" s="54"/>
      <c r="S53" s="54"/>
      <c r="T53" s="54"/>
      <c r="U53" s="54"/>
      <c r="V53" s="54"/>
      <c r="W53" s="54"/>
      <c r="X53" s="54">
        <v>1057172</v>
      </c>
      <c r="Y53" s="54"/>
      <c r="Z53" s="53"/>
      <c r="AA53" s="53"/>
      <c r="AB53" s="53"/>
      <c r="AC53" s="53"/>
      <c r="AD53" s="54"/>
      <c r="AE53" s="54"/>
      <c r="AF53" s="54"/>
      <c r="AG53" s="54"/>
      <c r="AH53" s="54"/>
      <c r="AI53" s="54"/>
      <c r="AJ53" s="53"/>
      <c r="AK53" s="53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3"/>
      <c r="BB53" s="53"/>
      <c r="BC53" s="54"/>
      <c r="BD53" s="54"/>
      <c r="BE53" s="74"/>
    </row>
    <row r="54" spans="1:57" x14ac:dyDescent="0.3">
      <c r="A54" t="s">
        <v>589</v>
      </c>
      <c r="B54" s="24" t="s">
        <v>99</v>
      </c>
      <c r="C54" s="25" t="s">
        <v>100</v>
      </c>
      <c r="D54" s="72">
        <v>88.331999999999994</v>
      </c>
      <c r="E54" s="66">
        <v>0.56100000000000005</v>
      </c>
      <c r="F54" s="53">
        <v>238539</v>
      </c>
      <c r="G54" s="72">
        <v>34427410</v>
      </c>
      <c r="H54" s="72">
        <f>Tabelle2[[#This Row],[Bevölkerung]]/1000</f>
        <v>34427.410000000003</v>
      </c>
      <c r="I54" s="72">
        <v>3.59</v>
      </c>
      <c r="J54" s="53">
        <v>5862890</v>
      </c>
      <c r="K54" s="53">
        <f>G54*EXP(5.043121+0.031911*LN(D54/G54)+0.058886*LN(F54)-0.043159*LN(E54))</f>
        <v>7519584891.8288021</v>
      </c>
      <c r="L54" s="53">
        <f>K54-J54</f>
        <v>7513722001.8288021</v>
      </c>
      <c r="M54" s="53"/>
      <c r="N54" s="53">
        <v>8735604</v>
      </c>
      <c r="O54" s="53"/>
      <c r="P54" s="54">
        <v>6334063</v>
      </c>
      <c r="Q54" s="54"/>
      <c r="R54" s="54"/>
      <c r="S54" s="54"/>
      <c r="T54" s="54"/>
      <c r="U54" s="54"/>
      <c r="V54" s="54"/>
      <c r="W54" s="54"/>
      <c r="X54" s="54">
        <v>10006420</v>
      </c>
      <c r="Y54" s="54"/>
      <c r="Z54" s="53"/>
      <c r="AA54" s="53"/>
      <c r="AB54" s="53"/>
      <c r="AC54" s="53"/>
      <c r="AD54" s="54"/>
      <c r="AE54" s="54"/>
      <c r="AF54" s="54"/>
      <c r="AG54" s="54"/>
      <c r="AH54" s="54"/>
      <c r="AI54" s="54"/>
      <c r="AJ54" s="53"/>
      <c r="AK54" s="53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3"/>
      <c r="BB54" s="53"/>
      <c r="BC54" s="54"/>
      <c r="BD54" s="54"/>
      <c r="BE54" s="74"/>
    </row>
    <row r="55" spans="1:57" hidden="1" x14ac:dyDescent="0.3">
      <c r="B55" s="2" t="s">
        <v>101</v>
      </c>
      <c r="C55" s="3" t="s">
        <v>102</v>
      </c>
      <c r="D55" s="72">
        <v>1.464E-3</v>
      </c>
      <c r="E55" s="66">
        <v>0.36299999999999999</v>
      </c>
      <c r="F55" s="53">
        <v>340</v>
      </c>
      <c r="G55" s="72">
        <v>117210</v>
      </c>
      <c r="H55" s="72">
        <f>Tabelle2[[#This Row],[Bevölkerung]]/1000</f>
        <v>117.21</v>
      </c>
      <c r="I55" s="72"/>
      <c r="J55" s="53"/>
      <c r="K55" s="53">
        <f>G55*EXP(5.043121+0.031911*LN(D55/G55)+0.058886*LN(F55)-0.043159*LN(E55))</f>
        <v>14963073.014260849</v>
      </c>
      <c r="L55" s="53">
        <f>K55-J55</f>
        <v>14963073.014260849</v>
      </c>
      <c r="M55" s="53"/>
      <c r="N55" s="53"/>
      <c r="O55" s="53"/>
      <c r="P55" s="54"/>
      <c r="Q55" s="54"/>
      <c r="R55" s="54"/>
      <c r="S55" s="54"/>
      <c r="T55" s="54"/>
      <c r="U55" s="54"/>
      <c r="V55" s="54"/>
      <c r="W55" s="54"/>
      <c r="X55" s="54">
        <v>36111</v>
      </c>
      <c r="Y55" s="54"/>
      <c r="Z55" s="53"/>
      <c r="AA55" s="53"/>
      <c r="AB55" s="53"/>
      <c r="AC55" s="53"/>
      <c r="AD55" s="54"/>
      <c r="AE55" s="54"/>
      <c r="AF55" s="54"/>
      <c r="AG55" s="54"/>
      <c r="AH55" s="54"/>
      <c r="AI55" s="54"/>
      <c r="AJ55" s="53"/>
      <c r="AK55" s="53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3"/>
      <c r="BB55" s="53"/>
      <c r="BC55" s="54"/>
      <c r="BD55" s="54"/>
      <c r="BE55" s="74"/>
    </row>
    <row r="56" spans="1:57" x14ac:dyDescent="0.3">
      <c r="A56" t="s">
        <v>589</v>
      </c>
      <c r="B56" s="17" t="s">
        <v>103</v>
      </c>
      <c r="C56" s="18" t="s">
        <v>104</v>
      </c>
      <c r="D56" s="72">
        <v>267.34800000000001</v>
      </c>
      <c r="E56" s="66">
        <v>0.79100000000000004</v>
      </c>
      <c r="F56" s="53">
        <v>131960</v>
      </c>
      <c r="G56" s="72">
        <v>10388810</v>
      </c>
      <c r="H56" s="72">
        <f>Tabelle2[[#This Row],[Bevölkerung]]/1000</f>
        <v>10388.81</v>
      </c>
      <c r="I56" s="72">
        <v>2.6</v>
      </c>
      <c r="J56" s="53">
        <v>3630000</v>
      </c>
      <c r="K56" s="53">
        <f>G56*EXP(5.043121+0.031911*LN(D56/G56)+0.058886*LN(F56)-0.043159*LN(E56))</f>
        <v>2323952318.0862927</v>
      </c>
      <c r="L56" s="53">
        <f>K56-J56</f>
        <v>2320322318.0862927</v>
      </c>
      <c r="M56" s="53"/>
      <c r="N56" s="53"/>
      <c r="O56" s="53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3"/>
      <c r="AA56" s="53"/>
      <c r="AB56" s="53"/>
      <c r="AC56" s="53"/>
      <c r="AD56" s="54"/>
      <c r="AE56" s="54"/>
      <c r="AF56" s="54"/>
      <c r="AG56" s="54"/>
      <c r="AH56" s="54"/>
      <c r="AI56" s="54"/>
      <c r="AJ56" s="53"/>
      <c r="AK56" s="53"/>
      <c r="AL56" s="54"/>
      <c r="AM56" s="54"/>
      <c r="AN56" s="54"/>
      <c r="AO56" s="54"/>
      <c r="AP56" s="54"/>
      <c r="AQ56" s="54">
        <v>1749</v>
      </c>
      <c r="AR56" s="54"/>
      <c r="AS56" s="54"/>
      <c r="AT56" s="54"/>
      <c r="AU56" s="54"/>
      <c r="AV56" s="54">
        <v>34736</v>
      </c>
      <c r="AW56" s="54"/>
      <c r="AX56" s="54"/>
      <c r="AY56" s="54">
        <v>16952</v>
      </c>
      <c r="AZ56" s="54"/>
      <c r="BA56" s="53">
        <v>4105637</v>
      </c>
      <c r="BB56" s="53"/>
      <c r="BC56" s="54"/>
      <c r="BD56" s="54"/>
      <c r="BE56" s="74"/>
    </row>
    <row r="57" spans="1:57" hidden="1" x14ac:dyDescent="0.3">
      <c r="B57" s="22" t="s">
        <v>105</v>
      </c>
      <c r="C57" s="23" t="s">
        <v>106</v>
      </c>
      <c r="D57" s="72">
        <v>0.12117700000000001</v>
      </c>
      <c r="E57" s="66">
        <v>0.51100000000000001</v>
      </c>
      <c r="F57" s="53">
        <v>108890</v>
      </c>
      <c r="G57" s="72">
        <v>18406360</v>
      </c>
      <c r="H57" s="72">
        <f>Tabelle2[[#This Row],[Bevölkerung]]/1000</f>
        <v>18406.36</v>
      </c>
      <c r="I57" s="72"/>
      <c r="J57" s="53"/>
      <c r="K57" s="53">
        <f>G57*EXP(5.043121+0.031911*LN(D57/G57)+0.058886*LN(F57)-0.043159*LN(E57))</f>
        <v>3186240123.1517196</v>
      </c>
      <c r="L57" s="53">
        <f>K57-J57</f>
        <v>3186240123.1517196</v>
      </c>
      <c r="M57" s="53"/>
      <c r="N57" s="62">
        <v>3179595</v>
      </c>
      <c r="O57" s="62"/>
      <c r="P57" s="62">
        <v>3709732</v>
      </c>
      <c r="Q57" s="54"/>
      <c r="R57" s="54"/>
      <c r="S57" s="54"/>
      <c r="T57" s="54"/>
      <c r="U57" s="54"/>
      <c r="V57" s="54"/>
      <c r="W57" s="54"/>
      <c r="X57" s="62">
        <v>3943085</v>
      </c>
      <c r="Y57" s="54"/>
      <c r="Z57" s="53"/>
      <c r="AA57" s="53"/>
      <c r="AB57" s="53"/>
      <c r="AC57" s="53"/>
      <c r="AD57" s="54"/>
      <c r="AE57" s="54"/>
      <c r="AF57" s="54"/>
      <c r="AG57" s="54"/>
      <c r="AH57" s="54"/>
      <c r="AI57" s="54"/>
      <c r="AJ57" s="53"/>
      <c r="AK57" s="53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3"/>
      <c r="BB57" s="53"/>
      <c r="BC57" s="54"/>
      <c r="BD57" s="54"/>
      <c r="BE57" s="74"/>
    </row>
    <row r="58" spans="1:57" hidden="1" x14ac:dyDescent="0.3">
      <c r="B58" s="2" t="s">
        <v>107</v>
      </c>
      <c r="C58" s="3" t="s">
        <v>108</v>
      </c>
      <c r="D58" s="72">
        <v>3.0093999999999999E-2</v>
      </c>
      <c r="E58" s="66">
        <v>0.36099999999999999</v>
      </c>
      <c r="F58" s="53">
        <v>245860</v>
      </c>
      <c r="G58" s="72">
        <v>14754780</v>
      </c>
      <c r="H58" s="72">
        <f>Tabelle2[[#This Row],[Bevölkerung]]/1000</f>
        <v>14754.78</v>
      </c>
      <c r="I58" s="72"/>
      <c r="J58" s="53"/>
      <c r="K58" s="53">
        <f>G58*EXP(5.043121+0.031911*LN(D58/G58)+0.058886*LN(F58)-0.043159*LN(E58))</f>
        <v>2620263174.4836645</v>
      </c>
      <c r="L58" s="53">
        <f>K58-J58</f>
        <v>2620263174.4836645</v>
      </c>
      <c r="M58" s="53"/>
      <c r="N58" s="53"/>
      <c r="O58" s="53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3"/>
      <c r="AA58" s="53"/>
      <c r="AB58" s="53"/>
      <c r="AC58" s="53"/>
      <c r="AD58" s="54"/>
      <c r="AE58" s="54"/>
      <c r="AF58" s="54"/>
      <c r="AG58" s="54"/>
      <c r="AH58" s="54"/>
      <c r="AI58" s="54"/>
      <c r="AJ58" s="53"/>
      <c r="AK58" s="53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3"/>
      <c r="BB58" s="53"/>
      <c r="BC58" s="54"/>
      <c r="BD58" s="54"/>
      <c r="BE58" s="74"/>
    </row>
    <row r="59" spans="1:57" hidden="1" x14ac:dyDescent="0.3">
      <c r="B59" s="2" t="s">
        <v>109</v>
      </c>
      <c r="C59" s="3" t="s">
        <v>110</v>
      </c>
      <c r="D59" s="72">
        <v>2.274E-3</v>
      </c>
      <c r="E59" s="66">
        <v>0.434</v>
      </c>
      <c r="F59" s="53">
        <v>36130</v>
      </c>
      <c r="G59" s="72">
        <v>2201350</v>
      </c>
      <c r="H59" s="72">
        <f>Tabelle2[[#This Row],[Bevölkerung]]/1000</f>
        <v>2201.35</v>
      </c>
      <c r="I59" s="72"/>
      <c r="J59" s="53"/>
      <c r="K59" s="53">
        <f>G59*EXP(5.043121+0.031911*LN(D59/G59)+0.058886*LN(F59)-0.043159*LN(E59))</f>
        <v>338984547.8805837</v>
      </c>
      <c r="L59" s="53">
        <f>K59-J59</f>
        <v>338984547.8805837</v>
      </c>
      <c r="M59" s="53"/>
      <c r="N59" s="53"/>
      <c r="O59" s="53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3"/>
      <c r="AA59" s="53"/>
      <c r="AB59" s="53"/>
      <c r="AC59" s="53"/>
      <c r="AD59" s="54"/>
      <c r="AE59" s="54"/>
      <c r="AF59" s="54"/>
      <c r="AG59" s="54"/>
      <c r="AH59" s="54"/>
      <c r="AI59" s="54"/>
      <c r="AJ59" s="53"/>
      <c r="AK59" s="53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3"/>
      <c r="BB59" s="53"/>
      <c r="BC59" s="54"/>
      <c r="BD59" s="54"/>
      <c r="BE59" s="74"/>
    </row>
    <row r="60" spans="1:57" hidden="1" x14ac:dyDescent="0.3">
      <c r="B60" s="2" t="s">
        <v>111</v>
      </c>
      <c r="C60" s="3" t="s">
        <v>112</v>
      </c>
      <c r="D60" s="72">
        <v>2.5822000000000001E-2</v>
      </c>
      <c r="E60" s="66">
        <v>0.26600000000000001</v>
      </c>
      <c r="F60" s="53">
        <v>214970</v>
      </c>
      <c r="G60" s="72">
        <v>831090</v>
      </c>
      <c r="H60" s="72">
        <f>Tabelle2[[#This Row],[Bevölkerung]]/1000</f>
        <v>831.09</v>
      </c>
      <c r="I60" s="72"/>
      <c r="J60" s="53"/>
      <c r="K60" s="53">
        <f>G60*EXP(5.043121+0.031911*LN(D60/G60)+0.058886*LN(F60)-0.043159*LN(E60))</f>
        <v>161843303.4182362</v>
      </c>
      <c r="L60" s="53">
        <f>K60-J60</f>
        <v>161843303.4182362</v>
      </c>
      <c r="M60" s="53"/>
      <c r="N60" s="53">
        <v>204625</v>
      </c>
      <c r="O60" s="53"/>
      <c r="P60" s="54">
        <v>144174</v>
      </c>
      <c r="Q60" s="54"/>
      <c r="R60" s="54"/>
      <c r="S60" s="54"/>
      <c r="T60" s="54"/>
      <c r="U60" s="54"/>
      <c r="V60" s="54"/>
      <c r="W60" s="54"/>
      <c r="X60" s="54">
        <v>221929</v>
      </c>
      <c r="Y60" s="54"/>
      <c r="Z60" s="53"/>
      <c r="AA60" s="53"/>
      <c r="AB60" s="53"/>
      <c r="AC60" s="53"/>
      <c r="AD60" s="54"/>
      <c r="AE60" s="54"/>
      <c r="AF60" s="54"/>
      <c r="AG60" s="54"/>
      <c r="AH60" s="54"/>
      <c r="AI60" s="54"/>
      <c r="AJ60" s="53"/>
      <c r="AK60" s="53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3">
        <v>219509</v>
      </c>
      <c r="BB60" s="53"/>
      <c r="BC60" s="54"/>
      <c r="BD60" s="54"/>
      <c r="BE60" s="74"/>
    </row>
    <row r="61" spans="1:57" hidden="1" x14ac:dyDescent="0.3">
      <c r="B61" s="2" t="s">
        <v>113</v>
      </c>
      <c r="C61" s="5" t="s">
        <v>114</v>
      </c>
      <c r="D61" s="72">
        <v>3.3548000000000001E-2</v>
      </c>
      <c r="E61" s="66">
        <v>0.55300000000000005</v>
      </c>
      <c r="F61" s="53">
        <v>27750</v>
      </c>
      <c r="G61" s="72">
        <v>11772560</v>
      </c>
      <c r="H61" s="72">
        <f>Tabelle2[[#This Row],[Bevölkerung]]/1000</f>
        <v>11772.56</v>
      </c>
      <c r="I61" s="72"/>
      <c r="J61" s="53"/>
      <c r="K61" s="53">
        <f>G61*EXP(5.043121+0.031911*LN(D61/G61)+0.058886*LN(F61)-0.043159*LN(E61))</f>
        <v>1824459516.1585426</v>
      </c>
      <c r="L61" s="53">
        <f>K61-J61</f>
        <v>1824459516.1585426</v>
      </c>
      <c r="M61" s="53"/>
      <c r="N61" s="53">
        <v>1793198</v>
      </c>
      <c r="O61" s="53"/>
      <c r="P61" s="54"/>
      <c r="Q61" s="54"/>
      <c r="R61" s="54"/>
      <c r="S61" s="54"/>
      <c r="T61" s="54"/>
      <c r="U61" s="54"/>
      <c r="V61" s="54"/>
      <c r="W61" s="54"/>
      <c r="X61" s="54">
        <v>2016247</v>
      </c>
      <c r="Y61" s="54"/>
      <c r="Z61" s="53"/>
      <c r="AA61" s="53"/>
      <c r="AB61" s="53"/>
      <c r="AC61" s="53"/>
      <c r="AD61" s="54"/>
      <c r="AE61" s="54"/>
      <c r="AF61" s="54"/>
      <c r="AG61" s="54"/>
      <c r="AH61" s="54"/>
      <c r="AI61" s="54"/>
      <c r="AJ61" s="53"/>
      <c r="AK61" s="53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3"/>
      <c r="BB61" s="53"/>
      <c r="BC61" s="54"/>
      <c r="BD61" s="54"/>
      <c r="BE61" s="74"/>
    </row>
    <row r="62" spans="1:57" hidden="1" x14ac:dyDescent="0.3">
      <c r="B62" s="22" t="s">
        <v>115</v>
      </c>
      <c r="C62" s="23" t="s">
        <v>116</v>
      </c>
      <c r="D62" s="72">
        <v>3.8171999999999998E-2</v>
      </c>
      <c r="E62" s="66">
        <v>0.57099999999999995</v>
      </c>
      <c r="F62" s="53">
        <v>112490</v>
      </c>
      <c r="G62" s="72">
        <v>10825700</v>
      </c>
      <c r="H62" s="72">
        <f>Tabelle2[[#This Row],[Bevölkerung]]/1000</f>
        <v>10825.7</v>
      </c>
      <c r="I62" s="72"/>
      <c r="J62" s="53"/>
      <c r="K62" s="53">
        <f>G62*EXP(5.043121+0.031911*LN(D62/G62)+0.058886*LN(F62)-0.043159*LN(E62))</f>
        <v>1831742335.3006339</v>
      </c>
      <c r="L62" s="53">
        <f>K62-J62</f>
        <v>1831742335.3006339</v>
      </c>
      <c r="M62" s="53"/>
      <c r="N62" s="53">
        <v>1838527</v>
      </c>
      <c r="O62" s="53"/>
      <c r="P62" s="54"/>
      <c r="Q62" s="54"/>
      <c r="R62" s="54"/>
      <c r="S62" s="54"/>
      <c r="T62" s="54"/>
      <c r="U62" s="54"/>
      <c r="V62" s="54"/>
      <c r="W62" s="54"/>
      <c r="X62" s="54">
        <v>2158042</v>
      </c>
      <c r="Y62" s="54"/>
      <c r="Z62" s="53"/>
      <c r="AA62" s="53"/>
      <c r="AB62" s="53"/>
      <c r="AC62" s="53"/>
      <c r="AD62" s="54"/>
      <c r="AE62" s="54"/>
      <c r="AF62" s="54"/>
      <c r="AG62" s="54"/>
      <c r="AH62" s="54"/>
      <c r="AI62" s="54"/>
      <c r="AJ62" s="53"/>
      <c r="AK62" s="53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3"/>
      <c r="BB62" s="53"/>
      <c r="BC62" s="54"/>
      <c r="BD62" s="54"/>
      <c r="BE62" s="74"/>
    </row>
    <row r="63" spans="1:57" hidden="1" x14ac:dyDescent="0.3">
      <c r="B63" s="13" t="s">
        <v>117</v>
      </c>
      <c r="C63" s="14" t="s">
        <v>118</v>
      </c>
      <c r="D63" s="72">
        <v>4.187017</v>
      </c>
      <c r="E63" s="66">
        <v>0.34</v>
      </c>
      <c r="F63" s="53">
        <v>3287260</v>
      </c>
      <c r="G63" s="72">
        <v>1450935790</v>
      </c>
      <c r="H63" s="72">
        <f>Tabelle2[[#This Row],[Bevölkerung]]/1000</f>
        <v>1450935.79</v>
      </c>
      <c r="I63" s="72"/>
      <c r="J63" s="53"/>
      <c r="K63" s="53">
        <f>G63*EXP(5.043121+0.031911*LN(D63/G63)+0.058886*LN(F63)-0.043159*LN(E63))</f>
        <v>304303714145.30652</v>
      </c>
      <c r="L63" s="53">
        <f>K63-J63</f>
        <v>304303714145.30652</v>
      </c>
      <c r="M63" s="53"/>
      <c r="N63" s="53"/>
      <c r="O63" s="53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3"/>
      <c r="AA63" s="53"/>
      <c r="AB63" s="53"/>
      <c r="AC63" s="53"/>
      <c r="AD63" s="54"/>
      <c r="AE63" s="54"/>
      <c r="AF63" s="54"/>
      <c r="AG63" s="54"/>
      <c r="AH63" s="54"/>
      <c r="AI63" s="54"/>
      <c r="AJ63" s="53"/>
      <c r="AK63" s="53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3"/>
      <c r="BB63" s="53"/>
      <c r="BC63" s="54"/>
      <c r="BD63" s="54"/>
      <c r="BE63" s="74"/>
    </row>
    <row r="64" spans="1:57" hidden="1" x14ac:dyDescent="0.3">
      <c r="B64" s="17" t="s">
        <v>119</v>
      </c>
      <c r="C64" s="18" t="s">
        <v>120</v>
      </c>
      <c r="D64" s="72">
        <v>1.429743</v>
      </c>
      <c r="E64" s="66">
        <v>0.55300000000000005</v>
      </c>
      <c r="F64" s="53">
        <v>1916907</v>
      </c>
      <c r="G64" s="72">
        <v>283487930</v>
      </c>
      <c r="H64" s="72">
        <f>Tabelle2[[#This Row],[Bevölkerung]]/1000</f>
        <v>283487.93</v>
      </c>
      <c r="I64" s="72"/>
      <c r="J64" s="53"/>
      <c r="K64" s="53">
        <f>G64*EXP(5.043121+0.031911*LN(D64/G64)+0.058886*LN(F64)-0.043159*LN(E64))</f>
        <v>57414392290.779297</v>
      </c>
      <c r="L64" s="53">
        <f>K64-J64</f>
        <v>57414392290.779297</v>
      </c>
      <c r="M64" s="53"/>
      <c r="N64" s="53">
        <v>55303268</v>
      </c>
      <c r="O64" s="53"/>
      <c r="P64" s="54"/>
      <c r="Q64" s="54"/>
      <c r="R64" s="54"/>
      <c r="S64" s="54"/>
      <c r="T64" s="54"/>
      <c r="U64" s="54"/>
      <c r="V64" s="54"/>
      <c r="W64" s="54"/>
      <c r="X64" s="54">
        <v>70628952</v>
      </c>
      <c r="Y64" s="54"/>
      <c r="Z64" s="53"/>
      <c r="AA64" s="53"/>
      <c r="AB64" s="53"/>
      <c r="AC64" s="53"/>
      <c r="AD64" s="54"/>
      <c r="AE64" s="54"/>
      <c r="AF64" s="54"/>
      <c r="AG64" s="54"/>
      <c r="AH64" s="54"/>
      <c r="AI64" s="54"/>
      <c r="AJ64" s="53"/>
      <c r="AK64" s="53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3"/>
      <c r="BB64" s="53"/>
      <c r="BC64" s="54"/>
      <c r="BD64" s="54"/>
      <c r="BE64" s="74"/>
    </row>
    <row r="65" spans="1:57" hidden="1" x14ac:dyDescent="0.3">
      <c r="B65" s="22" t="s">
        <v>121</v>
      </c>
      <c r="C65" s="23" t="s">
        <v>122</v>
      </c>
      <c r="D65" s="72">
        <v>0.25801999999999997</v>
      </c>
      <c r="E65" s="66">
        <v>0.70499999999999996</v>
      </c>
      <c r="F65" s="53">
        <v>435050</v>
      </c>
      <c r="G65" s="72">
        <v>46042010</v>
      </c>
      <c r="H65" s="72">
        <f>Tabelle2[[#This Row],[Bevölkerung]]/1000</f>
        <v>46042.01</v>
      </c>
      <c r="I65" s="72"/>
      <c r="J65" s="53"/>
      <c r="K65" s="53">
        <f>G65*EXP(5.043121+0.031911*LN(D65/G65)+0.058886*LN(F65)-0.043159*LN(E65))</f>
        <v>8484441801.6004505</v>
      </c>
      <c r="L65" s="53">
        <f>K65-J65</f>
        <v>8484441801.6004505</v>
      </c>
      <c r="M65" s="53"/>
      <c r="N65" s="53"/>
      <c r="O65" s="53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3"/>
      <c r="AA65" s="53"/>
      <c r="AB65" s="53"/>
      <c r="AC65" s="53"/>
      <c r="AD65" s="54"/>
      <c r="AE65" s="54"/>
      <c r="AF65" s="54"/>
      <c r="AG65" s="54"/>
      <c r="AH65" s="54"/>
      <c r="AI65" s="54"/>
      <c r="AJ65" s="53"/>
      <c r="AK65" s="53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3"/>
      <c r="BB65" s="53"/>
      <c r="BC65" s="54"/>
      <c r="BD65" s="54"/>
      <c r="BE65" s="74"/>
    </row>
    <row r="66" spans="1:57" hidden="1" x14ac:dyDescent="0.3">
      <c r="B66" s="4" t="s">
        <v>123</v>
      </c>
      <c r="C66" s="5" t="s">
        <v>124</v>
      </c>
      <c r="D66" s="72">
        <v>0.3410129999999999</v>
      </c>
      <c r="E66" s="66">
        <v>0.749</v>
      </c>
      <c r="F66" s="53">
        <v>1745150</v>
      </c>
      <c r="G66" s="72">
        <v>91567740</v>
      </c>
      <c r="H66" s="72">
        <f>Tabelle2[[#This Row],[Bevölkerung]]/1000</f>
        <v>91567.74</v>
      </c>
      <c r="I66" s="72"/>
      <c r="J66" s="53"/>
      <c r="K66" s="53">
        <f>G66*EXP(5.043121+0.031911*LN(D66/G66)+0.058886*LN(F66)-0.043159*LN(E66))</f>
        <v>18027645485.635521</v>
      </c>
      <c r="L66" s="53">
        <f>K66-J66</f>
        <v>18027645485.635521</v>
      </c>
      <c r="M66" s="53"/>
      <c r="N66" s="53"/>
      <c r="O66" s="53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3"/>
      <c r="AA66" s="53"/>
      <c r="AB66" s="53"/>
      <c r="AC66" s="53"/>
      <c r="AD66" s="54"/>
      <c r="AE66" s="54"/>
      <c r="AF66" s="54"/>
      <c r="AG66" s="54"/>
      <c r="AH66" s="54"/>
      <c r="AI66" s="54"/>
      <c r="AJ66" s="53"/>
      <c r="AK66" s="53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3"/>
      <c r="BB66" s="53"/>
      <c r="BC66" s="54"/>
      <c r="BD66" s="54"/>
      <c r="BE66" s="74"/>
    </row>
    <row r="67" spans="1:57" x14ac:dyDescent="0.3">
      <c r="A67" t="s">
        <v>589</v>
      </c>
      <c r="B67" s="11" t="s">
        <v>125</v>
      </c>
      <c r="C67" s="12" t="s">
        <v>126</v>
      </c>
      <c r="D67" s="72">
        <v>59.884</v>
      </c>
      <c r="E67" s="95">
        <v>0.63200000000000001</v>
      </c>
      <c r="F67" s="53">
        <v>70280</v>
      </c>
      <c r="G67" s="72">
        <v>5380260</v>
      </c>
      <c r="H67" s="72">
        <f>Tabelle2[[#This Row],[Bevölkerung]]/1000</f>
        <v>5380.26</v>
      </c>
      <c r="I67" s="72">
        <v>2.6</v>
      </c>
      <c r="J67" s="53">
        <v>2090000</v>
      </c>
      <c r="K67" s="53">
        <f>G67*EXP(5.043121+0.031911*LN(D67/G67)+0.058886*LN(F67)-0.043159*LN(E67))</f>
        <v>1140101123.1471424</v>
      </c>
      <c r="L67" s="53">
        <f>K67-J67</f>
        <v>1138011123.1471424</v>
      </c>
      <c r="M67" s="53"/>
      <c r="N67" s="53">
        <v>1850000</v>
      </c>
      <c r="O67" s="53"/>
      <c r="P67" s="54"/>
      <c r="Q67" s="54"/>
      <c r="R67" s="54"/>
      <c r="S67" s="54"/>
      <c r="T67" s="54"/>
      <c r="U67" s="54"/>
      <c r="V67" s="54"/>
      <c r="W67" s="54"/>
      <c r="X67" s="54">
        <v>2112121</v>
      </c>
      <c r="Y67" s="54"/>
      <c r="Z67" s="53"/>
      <c r="AA67" s="53"/>
      <c r="AB67" s="53"/>
      <c r="AC67" s="53"/>
      <c r="AD67" s="97"/>
      <c r="AE67" s="54"/>
      <c r="AF67" s="54">
        <v>40000</v>
      </c>
      <c r="AG67" s="54"/>
      <c r="AH67" s="54"/>
      <c r="AI67" s="54"/>
      <c r="AJ67" s="53"/>
      <c r="AK67" s="53"/>
      <c r="AL67" s="54"/>
      <c r="AM67" s="54"/>
      <c r="AN67" s="54">
        <v>42000</v>
      </c>
      <c r="AO67" s="54"/>
      <c r="AP67" s="54"/>
      <c r="AQ67" s="54"/>
      <c r="AR67" s="54"/>
      <c r="AS67" s="54"/>
      <c r="AT67" s="54"/>
      <c r="AU67" s="54">
        <v>4000</v>
      </c>
      <c r="AV67" s="54"/>
      <c r="AW67" s="54">
        <v>16000</v>
      </c>
      <c r="AX67" s="54"/>
      <c r="AY67" s="54"/>
      <c r="AZ67" s="54"/>
      <c r="BA67" s="53"/>
      <c r="BB67" s="53"/>
      <c r="BC67" s="54"/>
      <c r="BD67" s="54"/>
      <c r="BE67" s="74"/>
    </row>
    <row r="68" spans="1:57" hidden="1" x14ac:dyDescent="0.3">
      <c r="B68" s="2" t="s">
        <v>127</v>
      </c>
      <c r="C68" s="3" t="s">
        <v>128</v>
      </c>
      <c r="D68" s="72">
        <v>3.5308999999999993E-2</v>
      </c>
      <c r="E68" s="66">
        <v>0.93799999999999994</v>
      </c>
      <c r="F68" s="53">
        <v>103000</v>
      </c>
      <c r="G68" s="72">
        <v>404610</v>
      </c>
      <c r="H68" s="72">
        <f>Tabelle2[[#This Row],[Bevölkerung]]/1000</f>
        <v>404.61</v>
      </c>
      <c r="I68" s="72"/>
      <c r="J68" s="53"/>
      <c r="K68" s="53">
        <f>G68*EXP(5.043121+0.031911*LN(D68/G68)+0.058886*LN(F68)-0.043159*LN(E68))</f>
        <v>73851154.824341774</v>
      </c>
      <c r="L68" s="53">
        <f>K68-J68</f>
        <v>73851154.824341774</v>
      </c>
      <c r="M68" s="53"/>
      <c r="N68" s="53">
        <v>126793</v>
      </c>
      <c r="O68" s="53"/>
      <c r="P68" s="54"/>
      <c r="Q68" s="54"/>
      <c r="R68" s="54"/>
      <c r="S68" s="54"/>
      <c r="T68" s="54"/>
      <c r="U68" s="54"/>
      <c r="V68" s="54">
        <f>149098*0.532</f>
        <v>79320.135999999999</v>
      </c>
      <c r="W68" s="54"/>
      <c r="X68" s="54">
        <v>149098</v>
      </c>
      <c r="Y68" s="54"/>
      <c r="Z68" s="53"/>
      <c r="AA68" s="53"/>
      <c r="AB68" s="53"/>
      <c r="AC68" s="53"/>
      <c r="AD68" s="54"/>
      <c r="AE68" s="54"/>
      <c r="AF68" s="54"/>
      <c r="AG68" s="54"/>
      <c r="AH68" s="54"/>
      <c r="AI68" s="54"/>
      <c r="AJ68" s="53"/>
      <c r="AK68" s="53"/>
      <c r="AL68" s="54">
        <v>4167</v>
      </c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3"/>
      <c r="BB68" s="53"/>
      <c r="BC68" s="54"/>
      <c r="BD68" s="54"/>
      <c r="BE68" s="74"/>
    </row>
    <row r="69" spans="1:57" hidden="1" x14ac:dyDescent="0.3">
      <c r="B69" s="17" t="s">
        <v>129</v>
      </c>
      <c r="C69" s="18" t="s">
        <v>130</v>
      </c>
      <c r="D69" s="72">
        <v>0.58336100000000002</v>
      </c>
      <c r="E69" s="66">
        <v>0.92400000000000004</v>
      </c>
      <c r="F69" s="53">
        <v>22070</v>
      </c>
      <c r="G69" s="72">
        <v>9974400</v>
      </c>
      <c r="H69" s="72">
        <f>Tabelle2[[#This Row],[Bevölkerung]]/1000</f>
        <v>9974.4</v>
      </c>
      <c r="I69" s="72"/>
      <c r="J69" s="53"/>
      <c r="K69" s="53">
        <f>G69*EXP(5.043121+0.031911*LN(D69/G69)+0.058886*LN(F69)-0.043159*LN(E69))</f>
        <v>1642655386.3549311</v>
      </c>
      <c r="L69" s="53">
        <f>K69-J69</f>
        <v>1642655386.3549311</v>
      </c>
      <c r="M69" s="53"/>
      <c r="N69" s="53"/>
      <c r="O69" s="53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3"/>
      <c r="AA69" s="53"/>
      <c r="AB69" s="53"/>
      <c r="AC69" s="53"/>
      <c r="AD69" s="54"/>
      <c r="AE69" s="54"/>
      <c r="AF69" s="54"/>
      <c r="AG69" s="54"/>
      <c r="AH69" s="54"/>
      <c r="AI69" s="54"/>
      <c r="AJ69" s="53"/>
      <c r="AK69" s="53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3"/>
      <c r="BB69" s="53"/>
      <c r="BC69" s="54"/>
      <c r="BD69" s="54"/>
      <c r="BE69" s="74"/>
    </row>
    <row r="70" spans="1:57" x14ac:dyDescent="0.3">
      <c r="A70" t="s">
        <v>589</v>
      </c>
      <c r="B70" s="13" t="s">
        <v>131</v>
      </c>
      <c r="C70" s="14" t="s">
        <v>132</v>
      </c>
      <c r="D70" s="72">
        <v>2422.855</v>
      </c>
      <c r="E70" s="66">
        <v>0.70399999999999996</v>
      </c>
      <c r="F70" s="53">
        <v>302070</v>
      </c>
      <c r="G70" s="72">
        <v>58986020</v>
      </c>
      <c r="H70" s="72">
        <f>Tabelle2[[#This Row],[Bevölkerung]]/1000</f>
        <v>58986.02</v>
      </c>
      <c r="I70" s="72">
        <v>2.2000000000000002</v>
      </c>
      <c r="J70" s="53">
        <v>14060000</v>
      </c>
      <c r="K70" s="53">
        <f>G70*EXP(5.043121+0.031911*LN(D70/G70)+0.058886*LN(F70)-0.043159*LN(E70))</f>
        <v>14133634013.081509</v>
      </c>
      <c r="L70" s="53">
        <f>K70-J70</f>
        <v>14119574013.081509</v>
      </c>
      <c r="M70" s="53"/>
      <c r="N70" s="53">
        <v>25690057</v>
      </c>
      <c r="O70" s="53"/>
      <c r="P70" s="54"/>
      <c r="Q70" s="54"/>
      <c r="R70" s="54"/>
      <c r="S70" s="54"/>
      <c r="T70" s="54"/>
      <c r="U70" s="54"/>
      <c r="V70" s="54"/>
      <c r="W70" s="54"/>
      <c r="X70" s="54">
        <v>35271829</v>
      </c>
      <c r="Y70" s="54"/>
      <c r="Z70" s="53"/>
      <c r="AA70" s="53"/>
      <c r="AB70" s="53"/>
      <c r="AC70" s="53"/>
      <c r="AD70" s="54"/>
      <c r="AE70" s="54"/>
      <c r="AF70" s="54"/>
      <c r="AG70" s="54"/>
      <c r="AH70" s="54"/>
      <c r="AI70" s="54"/>
      <c r="AJ70" s="53"/>
      <c r="AK70" s="53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3"/>
      <c r="BB70" s="53"/>
      <c r="BC70" s="54"/>
      <c r="BD70" s="54"/>
      <c r="BE70" s="74"/>
    </row>
    <row r="71" spans="1:57" x14ac:dyDescent="0.3">
      <c r="A71" t="s">
        <v>589</v>
      </c>
      <c r="B71" s="2" t="s">
        <v>133</v>
      </c>
      <c r="C71" s="3" t="s">
        <v>134</v>
      </c>
      <c r="D71" s="72">
        <v>21.411000000000001</v>
      </c>
      <c r="E71" s="66">
        <v>0.55700000000000005</v>
      </c>
      <c r="F71" s="53">
        <v>10990</v>
      </c>
      <c r="G71" s="72">
        <v>2839180</v>
      </c>
      <c r="H71" s="72">
        <f>Tabelle2[[#This Row],[Bevölkerung]]/1000</f>
        <v>2839.18</v>
      </c>
      <c r="I71" s="72">
        <v>2.95</v>
      </c>
      <c r="J71" s="53">
        <v>711331</v>
      </c>
      <c r="K71" s="53">
        <f>G71*EXP(5.043121+0.031911*LN(D71/G71)+0.058886*LN(F71)-0.043159*LN(E71))</f>
        <v>535615937.21753323</v>
      </c>
      <c r="L71" s="53">
        <f>K71-J71</f>
        <v>534904606.21753323</v>
      </c>
      <c r="M71" s="53"/>
      <c r="N71" s="53"/>
      <c r="O71" s="53"/>
      <c r="P71" s="54"/>
      <c r="Q71" s="54"/>
      <c r="R71" s="54"/>
      <c r="S71" s="54"/>
      <c r="T71" s="54"/>
      <c r="U71" s="54"/>
      <c r="V71" s="54"/>
      <c r="W71" s="54"/>
      <c r="X71" s="54">
        <v>853668</v>
      </c>
      <c r="Y71" s="54"/>
      <c r="Z71" s="53"/>
      <c r="AA71" s="53"/>
      <c r="AB71" s="53"/>
      <c r="AC71" s="53"/>
      <c r="AD71" s="54"/>
      <c r="AE71" s="54"/>
      <c r="AF71" s="54"/>
      <c r="AG71" s="54"/>
      <c r="AH71" s="54"/>
      <c r="AI71" s="54"/>
      <c r="AJ71" s="53"/>
      <c r="AK71" s="53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3"/>
      <c r="BB71" s="53"/>
      <c r="BC71" s="54"/>
      <c r="BD71" s="54"/>
      <c r="BE71" s="74"/>
    </row>
    <row r="72" spans="1:57" hidden="1" x14ac:dyDescent="0.3">
      <c r="B72" s="9" t="s">
        <v>135</v>
      </c>
      <c r="C72" s="10" t="s">
        <v>136</v>
      </c>
      <c r="D72" s="72">
        <v>4.1864309999999998</v>
      </c>
      <c r="E72" s="66">
        <v>0.91600000000000004</v>
      </c>
      <c r="F72" s="53">
        <v>377969</v>
      </c>
      <c r="G72" s="72">
        <v>123975370</v>
      </c>
      <c r="H72" s="72">
        <f>Tabelle2[[#This Row],[Bevölkerung]]/1000</f>
        <v>123975.37</v>
      </c>
      <c r="I72" s="72"/>
      <c r="J72" s="53"/>
      <c r="K72" s="53">
        <f>G72*EXP(5.043121+0.031911*LN(D72/G72)+0.058886*LN(F72)-0.043159*LN(E72))</f>
        <v>23724163503.255817</v>
      </c>
      <c r="L72" s="53">
        <f>K72-J72</f>
        <v>23724163503.255817</v>
      </c>
      <c r="M72" s="53"/>
      <c r="N72" s="53"/>
      <c r="O72" s="53"/>
      <c r="P72" s="54">
        <v>29319000</v>
      </c>
      <c r="Q72" s="54"/>
      <c r="R72" s="54"/>
      <c r="S72" s="54"/>
      <c r="T72" s="54">
        <v>1265000</v>
      </c>
      <c r="U72" s="54"/>
      <c r="V72" s="54"/>
      <c r="W72" s="54">
        <v>24968000</v>
      </c>
      <c r="X72" s="54">
        <v>65047000</v>
      </c>
      <c r="Y72" s="54"/>
      <c r="Z72" s="53"/>
      <c r="AA72" s="53"/>
      <c r="AB72" s="53"/>
      <c r="AC72" s="53"/>
      <c r="AD72" s="54"/>
      <c r="AE72" s="54"/>
      <c r="AF72" s="54"/>
      <c r="AG72" s="54"/>
      <c r="AH72" s="54"/>
      <c r="AI72" s="54"/>
      <c r="AJ72" s="53"/>
      <c r="AK72" s="53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3"/>
      <c r="BB72" s="53"/>
      <c r="BC72" s="54"/>
      <c r="BD72" s="54"/>
      <c r="BE72" s="74"/>
    </row>
    <row r="73" spans="1:57" hidden="1" x14ac:dyDescent="0.3">
      <c r="B73" s="4" t="s">
        <v>137</v>
      </c>
      <c r="C73" s="5" t="s">
        <v>138</v>
      </c>
      <c r="D73" s="72">
        <v>1.7401E-2</v>
      </c>
      <c r="E73" s="66">
        <v>0.36599999999999999</v>
      </c>
      <c r="F73" s="53">
        <v>527970</v>
      </c>
      <c r="G73" s="72">
        <v>40583160</v>
      </c>
      <c r="H73" s="72">
        <f>Tabelle2[[#This Row],[Bevölkerung]]/1000</f>
        <v>40583.160000000003</v>
      </c>
      <c r="I73" s="72"/>
      <c r="J73" s="53"/>
      <c r="K73" s="53">
        <f>G73*EXP(5.043121+0.031911*LN(D73/G73)+0.058886*LN(F73)-0.043159*LN(E73))</f>
        <v>7168558088.994442</v>
      </c>
      <c r="L73" s="53">
        <f>K73-J73</f>
        <v>7168558088.994442</v>
      </c>
      <c r="M73" s="53"/>
      <c r="N73" s="53"/>
      <c r="O73" s="53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3"/>
      <c r="AA73" s="53"/>
      <c r="AB73" s="53"/>
      <c r="AC73" s="53"/>
      <c r="AD73" s="54"/>
      <c r="AE73" s="54"/>
      <c r="AF73" s="54"/>
      <c r="AG73" s="54"/>
      <c r="AH73" s="54"/>
      <c r="AI73" s="54"/>
      <c r="AJ73" s="53"/>
      <c r="AK73" s="53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3"/>
      <c r="BB73" s="53"/>
      <c r="BC73" s="54"/>
      <c r="BD73" s="54"/>
      <c r="BE73" s="74"/>
    </row>
    <row r="74" spans="1:57" hidden="1" x14ac:dyDescent="0.3">
      <c r="B74" s="22" t="s">
        <v>139</v>
      </c>
      <c r="C74" s="23" t="s">
        <v>140</v>
      </c>
      <c r="D74" s="72">
        <v>5.6101999999999999E-2</v>
      </c>
      <c r="E74" s="66">
        <v>0.91</v>
      </c>
      <c r="F74" s="53">
        <v>89318</v>
      </c>
      <c r="G74" s="72">
        <v>11552880</v>
      </c>
      <c r="H74" s="72">
        <f>Tabelle2[[#This Row],[Bevölkerung]]/1000</f>
        <v>11552.88</v>
      </c>
      <c r="I74" s="72"/>
      <c r="J74" s="53"/>
      <c r="K74" s="53">
        <f>G74*EXP(5.043121+0.031911*LN(D74/G74)+0.058886*LN(F74)-0.043159*LN(E74))</f>
        <v>1909412446.0512655</v>
      </c>
      <c r="L74" s="53">
        <f>K74-J74</f>
        <v>1909412446.0512655</v>
      </c>
      <c r="M74" s="53"/>
      <c r="N74" s="53">
        <v>1918199</v>
      </c>
      <c r="O74" s="53"/>
      <c r="P74" s="54"/>
      <c r="Q74" s="54"/>
      <c r="R74" s="54"/>
      <c r="S74" s="54"/>
      <c r="T74" s="54"/>
      <c r="U74" s="54"/>
      <c r="V74" s="54"/>
      <c r="W74" s="54"/>
      <c r="X74" s="54">
        <v>2350490</v>
      </c>
      <c r="Y74" s="54"/>
      <c r="Z74" s="53"/>
      <c r="AA74" s="53"/>
      <c r="AB74" s="53"/>
      <c r="AC74" s="53"/>
      <c r="AD74" s="54"/>
      <c r="AE74" s="54"/>
      <c r="AF74" s="54"/>
      <c r="AG74" s="54"/>
      <c r="AH74" s="54"/>
      <c r="AI74" s="54"/>
      <c r="AJ74" s="53"/>
      <c r="AK74" s="53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3"/>
      <c r="BB74" s="53"/>
      <c r="BC74" s="54"/>
      <c r="BD74" s="54"/>
      <c r="BE74" s="74"/>
    </row>
    <row r="75" spans="1:57" x14ac:dyDescent="0.3">
      <c r="A75" t="s">
        <v>590</v>
      </c>
      <c r="B75" s="4" t="s">
        <v>141</v>
      </c>
      <c r="C75" s="5" t="s">
        <v>142</v>
      </c>
      <c r="D75" s="72">
        <v>4.9798999999999996E-2</v>
      </c>
      <c r="E75" s="66">
        <v>0.23400000000000001</v>
      </c>
      <c r="F75" s="53">
        <v>181040</v>
      </c>
      <c r="G75" s="72">
        <v>17638800</v>
      </c>
      <c r="H75" s="72">
        <f>Tabelle2[[#This Row],[Bevölkerung]]/1000</f>
        <v>17638.8</v>
      </c>
      <c r="I75" s="72">
        <v>4.1399999999999997</v>
      </c>
      <c r="J75" s="53">
        <f>3181372*0.93</f>
        <v>2958675.96</v>
      </c>
      <c r="K75" s="53">
        <f>G75*EXP(5.043121+0.031911*LN(D75/G75)+0.058886*LN(F75)-0.043159*LN(E75))</f>
        <v>3167283337.9644556</v>
      </c>
      <c r="L75" s="53">
        <f>K75-J75</f>
        <v>3164324662.0044556</v>
      </c>
      <c r="M75" s="53"/>
      <c r="N75" s="53"/>
      <c r="O75" s="53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3"/>
      <c r="AA75" s="53"/>
      <c r="AB75" s="53"/>
      <c r="AC75" s="53"/>
      <c r="AD75" s="54"/>
      <c r="AE75" s="54"/>
      <c r="AF75" s="54"/>
      <c r="AG75" s="54"/>
      <c r="AH75" s="54"/>
      <c r="AI75" s="54"/>
      <c r="AJ75" s="53"/>
      <c r="AK75" s="53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3"/>
      <c r="BB75" s="53"/>
      <c r="BC75" s="54"/>
      <c r="BD75" s="54"/>
      <c r="BE75" s="74"/>
    </row>
    <row r="76" spans="1:57" hidden="1" x14ac:dyDescent="0.3">
      <c r="B76" s="2" t="s">
        <v>143</v>
      </c>
      <c r="C76" s="3" t="s">
        <v>144</v>
      </c>
      <c r="D76" s="72">
        <v>5.6010999999999998E-2</v>
      </c>
      <c r="E76" s="66">
        <v>0.56399999999999995</v>
      </c>
      <c r="F76" s="53">
        <v>475440</v>
      </c>
      <c r="G76" s="72">
        <v>29123740</v>
      </c>
      <c r="H76" s="72">
        <f>Tabelle2[[#This Row],[Bevölkerung]]/1000</f>
        <v>29123.74</v>
      </c>
      <c r="I76" s="72"/>
      <c r="J76" s="53"/>
      <c r="K76" s="53">
        <f>G76*EXP(5.043121+0.031911*LN(D76/G76)+0.058886*LN(F76)-0.043159*LN(E76))</f>
        <v>5264381207.826972</v>
      </c>
      <c r="L76" s="53">
        <f>K76-J76</f>
        <v>5264381207.826972</v>
      </c>
      <c r="M76" s="53"/>
      <c r="N76" s="53"/>
      <c r="O76" s="53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3"/>
      <c r="AA76" s="53"/>
      <c r="AB76" s="53"/>
      <c r="AC76" s="53"/>
      <c r="AD76" s="54"/>
      <c r="AE76" s="54"/>
      <c r="AF76" s="54"/>
      <c r="AG76" s="54"/>
      <c r="AH76" s="54"/>
      <c r="AI76" s="54"/>
      <c r="AJ76" s="53"/>
      <c r="AK76" s="53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3"/>
      <c r="BB76" s="53"/>
      <c r="BC76" s="54"/>
      <c r="BD76" s="54"/>
      <c r="BE76" s="74"/>
    </row>
    <row r="77" spans="1:57" hidden="1" x14ac:dyDescent="0.3">
      <c r="B77" s="9" t="s">
        <v>145</v>
      </c>
      <c r="C77" s="10" t="s">
        <v>146</v>
      </c>
      <c r="D77" s="72">
        <v>2.2253409999999998</v>
      </c>
      <c r="E77" s="66">
        <v>0.81399999999999995</v>
      </c>
      <c r="F77" s="53">
        <v>15634410</v>
      </c>
      <c r="G77" s="72">
        <v>41288600</v>
      </c>
      <c r="H77" s="72">
        <f>Tabelle2[[#This Row],[Bevölkerung]]/1000</f>
        <v>41288.6</v>
      </c>
      <c r="I77" s="72"/>
      <c r="J77" s="53"/>
      <c r="K77" s="53">
        <f>G77*EXP(5.043121+0.031911*LN(D77/G77)+0.058886*LN(F77)-0.043159*LN(E77))</f>
        <v>10036327838.779255</v>
      </c>
      <c r="L77" s="53">
        <f>K77-J77</f>
        <v>10036327838.779255</v>
      </c>
      <c r="M77" s="53"/>
      <c r="N77" s="53">
        <v>14978941</v>
      </c>
      <c r="O77" s="53"/>
      <c r="P77" s="54"/>
      <c r="Q77" s="54"/>
      <c r="R77" s="54"/>
      <c r="S77" s="54"/>
      <c r="T77" s="54"/>
      <c r="U77" s="54"/>
      <c r="V77" s="54"/>
      <c r="W77" s="54"/>
      <c r="X77" s="54">
        <v>16284235</v>
      </c>
      <c r="Y77" s="54"/>
      <c r="Z77" s="53">
        <v>564068</v>
      </c>
      <c r="AA77" s="53">
        <v>784800000</v>
      </c>
      <c r="AB77" s="53"/>
      <c r="AC77" s="53"/>
      <c r="AD77" s="54">
        <v>78755</v>
      </c>
      <c r="AE77" s="54">
        <v>101500000</v>
      </c>
      <c r="AF77" s="54"/>
      <c r="AG77" s="54"/>
      <c r="AH77" s="54"/>
      <c r="AI77" s="54"/>
      <c r="AJ77" s="53"/>
      <c r="AK77" s="53"/>
      <c r="AL77" s="54"/>
      <c r="AM77" s="54"/>
      <c r="AN77" s="54"/>
      <c r="AO77" s="54"/>
      <c r="AP77" s="54"/>
      <c r="AQ77" s="54"/>
      <c r="AR77" s="54"/>
      <c r="AS77" s="54"/>
      <c r="AT77" s="54"/>
      <c r="AU77" s="54">
        <v>10058</v>
      </c>
      <c r="AV77" s="54">
        <v>24600000</v>
      </c>
      <c r="AW77" s="54">
        <v>47988</v>
      </c>
      <c r="AX77" s="54">
        <v>13400000</v>
      </c>
      <c r="AY77" s="54"/>
      <c r="AZ77" s="54"/>
      <c r="BA77" s="53"/>
      <c r="BB77" s="53"/>
      <c r="BC77" s="54"/>
      <c r="BD77" s="54"/>
      <c r="BE77" s="74"/>
    </row>
    <row r="78" spans="1:57" hidden="1" x14ac:dyDescent="0.3">
      <c r="B78" s="2" t="s">
        <v>147</v>
      </c>
      <c r="C78" s="3" t="s">
        <v>148</v>
      </c>
      <c r="D78" s="72">
        <v>2.7859999999999998E-3</v>
      </c>
      <c r="E78" s="66">
        <v>0.65700000000000003</v>
      </c>
      <c r="F78" s="53">
        <v>4030</v>
      </c>
      <c r="G78" s="72">
        <v>524880</v>
      </c>
      <c r="H78" s="72">
        <f>Tabelle2[[#This Row],[Bevölkerung]]/1000</f>
        <v>524.88</v>
      </c>
      <c r="I78" s="72"/>
      <c r="J78" s="53"/>
      <c r="K78" s="53">
        <f>G78*EXP(5.043121+0.031911*LN(D78/G78)+0.058886*LN(F78)-0.043159*LN(E78))</f>
        <v>73513871.122095525</v>
      </c>
      <c r="L78" s="53">
        <f>K78-J78</f>
        <v>73513871.122095525</v>
      </c>
      <c r="M78" s="53"/>
      <c r="N78" s="53"/>
      <c r="O78" s="53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3"/>
      <c r="AA78" s="53"/>
      <c r="AB78" s="53"/>
      <c r="AC78" s="53"/>
      <c r="AD78" s="54"/>
      <c r="AE78" s="54"/>
      <c r="AF78" s="54"/>
      <c r="AG78" s="54"/>
      <c r="AH78" s="54"/>
      <c r="AI78" s="54"/>
      <c r="AJ78" s="53"/>
      <c r="AK78" s="53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3"/>
      <c r="BB78" s="53"/>
      <c r="BC78" s="54"/>
      <c r="BD78" s="54"/>
      <c r="BE78" s="74"/>
    </row>
    <row r="79" spans="1:57" hidden="1" x14ac:dyDescent="0.3">
      <c r="B79" s="4" t="s">
        <v>149</v>
      </c>
      <c r="C79" s="5" t="s">
        <v>150</v>
      </c>
      <c r="D79" s="72">
        <v>0.30053800000000003</v>
      </c>
      <c r="E79" s="66">
        <v>0.57399999999999995</v>
      </c>
      <c r="F79" s="53">
        <v>2724902</v>
      </c>
      <c r="G79" s="72">
        <v>20592570</v>
      </c>
      <c r="H79" s="72">
        <f>Tabelle2[[#This Row],[Bevölkerung]]/1000</f>
        <v>20592.57</v>
      </c>
      <c r="I79" s="72"/>
      <c r="J79" s="53"/>
      <c r="K79" s="53">
        <f>G79*EXP(5.043121+0.031911*LN(D79/G79)+0.058886*LN(F79)-0.043159*LN(E79))</f>
        <v>4397631116.5823355</v>
      </c>
      <c r="L79" s="53">
        <f>K79-J79</f>
        <v>4397631116.5823355</v>
      </c>
      <c r="M79" s="53"/>
      <c r="N79" s="53"/>
      <c r="O79" s="53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3"/>
      <c r="AA79" s="53"/>
      <c r="AB79" s="53"/>
      <c r="AC79" s="53"/>
      <c r="AD79" s="54"/>
      <c r="AE79" s="54"/>
      <c r="AF79" s="54"/>
      <c r="AG79" s="54"/>
      <c r="AH79" s="54"/>
      <c r="AI79" s="54"/>
      <c r="AJ79" s="53"/>
      <c r="AK79" s="53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3"/>
      <c r="BB79" s="53"/>
      <c r="BC79" s="54"/>
      <c r="BD79" s="54"/>
      <c r="BE79" s="74"/>
    </row>
    <row r="80" spans="1:57" hidden="1" x14ac:dyDescent="0.3">
      <c r="B80" s="22" t="s">
        <v>151</v>
      </c>
      <c r="C80" s="23" t="s">
        <v>152</v>
      </c>
      <c r="D80" s="72">
        <v>0.222776</v>
      </c>
      <c r="E80" s="66">
        <v>0.99099999999999999</v>
      </c>
      <c r="F80" s="53">
        <v>11490</v>
      </c>
      <c r="G80" s="72">
        <v>2857820</v>
      </c>
      <c r="H80" s="72">
        <f>Tabelle2[[#This Row],[Bevölkerung]]/1000</f>
        <v>2857.82</v>
      </c>
      <c r="I80" s="72"/>
      <c r="J80" s="53"/>
      <c r="K80" s="53">
        <f>G80*EXP(5.043121+0.031911*LN(D80/G80)+0.058886*LN(F80)-0.043159*LN(E80))</f>
        <v>455691843.62572503</v>
      </c>
      <c r="L80" s="53">
        <f>K80-J80</f>
        <v>455691843.62572503</v>
      </c>
      <c r="M80" s="53"/>
      <c r="N80" s="53"/>
      <c r="O80" s="53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3"/>
      <c r="AA80" s="53"/>
      <c r="AB80" s="53"/>
      <c r="AC80" s="53"/>
      <c r="AD80" s="54"/>
      <c r="AE80" s="54"/>
      <c r="AF80" s="54"/>
      <c r="AG80" s="54"/>
      <c r="AH80" s="54"/>
      <c r="AI80" s="54"/>
      <c r="AJ80" s="53"/>
      <c r="AK80" s="53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3"/>
      <c r="BB80" s="53"/>
      <c r="BC80" s="54"/>
      <c r="BD80" s="54"/>
      <c r="BE80" s="74"/>
    </row>
    <row r="81" spans="1:57" hidden="1" x14ac:dyDescent="0.3">
      <c r="B81" s="19" t="s">
        <v>153</v>
      </c>
      <c r="C81" s="20" t="s">
        <v>154</v>
      </c>
      <c r="D81" s="72">
        <v>0.13167299999999998</v>
      </c>
      <c r="E81" s="66">
        <v>0.27</v>
      </c>
      <c r="F81" s="53">
        <v>591969</v>
      </c>
      <c r="G81" s="72">
        <v>56432940</v>
      </c>
      <c r="H81" s="72">
        <f>Tabelle2[[#This Row],[Bevölkerung]]/1000</f>
        <v>56432.94</v>
      </c>
      <c r="I81" s="72"/>
      <c r="J81" s="53"/>
      <c r="K81" s="53">
        <f>G81*EXP(5.043121+0.031911*LN(D81/G81)+0.058886*LN(F81)-0.043159*LN(E81))</f>
        <v>10733089907.599062</v>
      </c>
      <c r="L81" s="53">
        <f>K81-J81</f>
        <v>10733089907.599062</v>
      </c>
      <c r="M81" s="53"/>
      <c r="N81" s="53"/>
      <c r="O81" s="53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3"/>
      <c r="AA81" s="53"/>
      <c r="AB81" s="53"/>
      <c r="AC81" s="53"/>
      <c r="AD81" s="54"/>
      <c r="AE81" s="54"/>
      <c r="AF81" s="54"/>
      <c r="AG81" s="54"/>
      <c r="AH81" s="54"/>
      <c r="AI81" s="54"/>
      <c r="AJ81" s="53"/>
      <c r="AK81" s="53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3"/>
      <c r="BB81" s="53"/>
      <c r="BC81" s="54"/>
      <c r="BD81" s="54"/>
      <c r="BE81" s="74"/>
    </row>
    <row r="82" spans="1:57" hidden="1" x14ac:dyDescent="0.3">
      <c r="B82" s="2" t="s">
        <v>155</v>
      </c>
      <c r="C82" s="3" t="s">
        <v>156</v>
      </c>
      <c r="D82" s="72">
        <v>1.9848999999999999E-2</v>
      </c>
      <c r="E82" s="66">
        <v>0.36199999999999999</v>
      </c>
      <c r="F82" s="53">
        <v>199950</v>
      </c>
      <c r="G82" s="72">
        <v>7224610</v>
      </c>
      <c r="H82" s="72">
        <f>Tabelle2[[#This Row],[Bevölkerung]]/1000</f>
        <v>7224.61</v>
      </c>
      <c r="I82" s="72"/>
      <c r="J82" s="53"/>
      <c r="K82" s="53">
        <f>G82*EXP(5.043121+0.031911*LN(D82/G82)+0.058886*LN(F82)-0.043159*LN(E82))</f>
        <v>1279432255.8634577</v>
      </c>
      <c r="L82" s="53">
        <f>K82-J82</f>
        <v>1279432255.8634577</v>
      </c>
      <c r="M82" s="53"/>
      <c r="N82" s="53"/>
      <c r="O82" s="53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3"/>
      <c r="AA82" s="53"/>
      <c r="AB82" s="53"/>
      <c r="AC82" s="53"/>
      <c r="AD82" s="54"/>
      <c r="AE82" s="54"/>
      <c r="AF82" s="54"/>
      <c r="AG82" s="54"/>
      <c r="AH82" s="54"/>
      <c r="AI82" s="54"/>
      <c r="AJ82" s="53"/>
      <c r="AK82" s="53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3"/>
      <c r="BB82" s="53"/>
      <c r="BC82" s="54"/>
      <c r="BD82" s="54"/>
      <c r="BE82" s="74"/>
    </row>
    <row r="83" spans="1:57" hidden="1" x14ac:dyDescent="0.3">
      <c r="B83" s="2" t="s">
        <v>157</v>
      </c>
      <c r="C83" s="3" t="s">
        <v>158</v>
      </c>
      <c r="D83" s="72">
        <v>3.1199999999999994E-7</v>
      </c>
      <c r="E83" s="66">
        <v>0.54100000000000004</v>
      </c>
      <c r="F83" s="53">
        <v>810</v>
      </c>
      <c r="G83" s="72">
        <v>134520</v>
      </c>
      <c r="H83" s="72">
        <f>Tabelle2[[#This Row],[Bevölkerung]]/1000</f>
        <v>134.52000000000001</v>
      </c>
      <c r="I83" s="72"/>
      <c r="J83" s="53"/>
      <c r="K83" s="53">
        <f>G83*EXP(5.043121+0.031911*LN(D83/G83)+0.058886*LN(F83)-0.043159*LN(E83))</f>
        <v>13505097.327456987</v>
      </c>
      <c r="L83" s="53">
        <f>K83-J83</f>
        <v>13505097.327456987</v>
      </c>
      <c r="M83" s="53"/>
      <c r="N83" s="53"/>
      <c r="O83" s="53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3"/>
      <c r="AA83" s="53"/>
      <c r="AB83" s="53"/>
      <c r="AC83" s="53"/>
      <c r="AD83" s="54"/>
      <c r="AE83" s="54"/>
      <c r="AF83" s="54"/>
      <c r="AG83" s="54"/>
      <c r="AH83" s="54"/>
      <c r="AI83" s="54"/>
      <c r="AJ83" s="53"/>
      <c r="AK83" s="53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3"/>
      <c r="BB83" s="53"/>
      <c r="BC83" s="54"/>
      <c r="BD83" s="54"/>
      <c r="BE83" s="74"/>
    </row>
    <row r="84" spans="1:57" hidden="1" x14ac:dyDescent="0.3">
      <c r="B84" s="17" t="s">
        <v>159</v>
      </c>
      <c r="C84" s="18" t="s">
        <v>160</v>
      </c>
      <c r="D84" s="72">
        <v>0.42776599999999998</v>
      </c>
      <c r="E84" s="66">
        <v>0.80800000000000005</v>
      </c>
      <c r="F84" s="53">
        <v>1140619</v>
      </c>
      <c r="G84" s="72">
        <v>52886360</v>
      </c>
      <c r="H84" s="72">
        <f>Tabelle2[[#This Row],[Bevölkerung]]/1000</f>
        <v>52886.36</v>
      </c>
      <c r="I84" s="72"/>
      <c r="J84" s="53"/>
      <c r="K84" s="53">
        <f>G84*EXP(5.043121+0.031911*LN(D84/G84)+0.058886*LN(F84)-0.043159*LN(E84))</f>
        <v>10375091041.343878</v>
      </c>
      <c r="L84" s="53">
        <f>K84-J84</f>
        <v>10375091041.343878</v>
      </c>
      <c r="M84" s="53"/>
      <c r="N84" s="53">
        <v>13919746</v>
      </c>
      <c r="O84" s="53"/>
      <c r="P84" s="54"/>
      <c r="Q84" s="54"/>
      <c r="R84" s="54"/>
      <c r="S84" s="54"/>
      <c r="T84" s="54"/>
      <c r="U84" s="54"/>
      <c r="V84" s="54"/>
      <c r="W84" s="54"/>
      <c r="X84" s="54">
        <v>16070893</v>
      </c>
      <c r="Y84" s="54"/>
      <c r="Z84" s="53"/>
      <c r="AA84" s="53"/>
      <c r="AB84" s="53"/>
      <c r="AC84" s="53"/>
      <c r="AD84" s="54"/>
      <c r="AE84" s="54"/>
      <c r="AF84" s="54"/>
      <c r="AG84" s="54"/>
      <c r="AH84" s="54"/>
      <c r="AI84" s="54"/>
      <c r="AJ84" s="53"/>
      <c r="AK84" s="53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3"/>
      <c r="BB84" s="53"/>
      <c r="BC84" s="54"/>
      <c r="BD84" s="54"/>
      <c r="BE84" s="74"/>
    </row>
    <row r="85" spans="1:57" hidden="1" x14ac:dyDescent="0.3">
      <c r="B85" s="2" t="s">
        <v>161</v>
      </c>
      <c r="C85" s="3" t="s">
        <v>162</v>
      </c>
      <c r="D85" s="72">
        <v>1.5479999999999999E-3</v>
      </c>
      <c r="E85" s="66">
        <v>0.28999999999999998</v>
      </c>
      <c r="F85" s="53">
        <v>1861</v>
      </c>
      <c r="G85" s="72">
        <v>866630</v>
      </c>
      <c r="H85" s="72">
        <f>Tabelle2[[#This Row],[Bevölkerung]]/1000</f>
        <v>866.63</v>
      </c>
      <c r="I85" s="72"/>
      <c r="J85" s="53"/>
      <c r="K85" s="53">
        <f>G85*EXP(5.043121+0.031911*LN(D85/G85)+0.058886*LN(F85)-0.043159*LN(E85))</f>
        <v>116042896.27078143</v>
      </c>
      <c r="L85" s="53">
        <f>K85-J85</f>
        <v>116042896.27078143</v>
      </c>
      <c r="M85" s="53"/>
      <c r="N85" s="53">
        <v>140633</v>
      </c>
      <c r="O85" s="53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3"/>
      <c r="AA85" s="53"/>
      <c r="AB85" s="53"/>
      <c r="AC85" s="53"/>
      <c r="AD85" s="54"/>
      <c r="AE85" s="54"/>
      <c r="AF85" s="54"/>
      <c r="AG85" s="54"/>
      <c r="AH85" s="54"/>
      <c r="AI85" s="54"/>
      <c r="AJ85" s="53"/>
      <c r="AK85" s="53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3"/>
      <c r="BB85" s="53"/>
      <c r="BC85" s="54"/>
      <c r="BD85" s="54"/>
      <c r="BE85" s="74"/>
    </row>
    <row r="86" spans="1:57" hidden="1" x14ac:dyDescent="0.3">
      <c r="B86" s="2" t="s">
        <v>163</v>
      </c>
      <c r="C86" s="3" t="s">
        <v>164</v>
      </c>
      <c r="D86" s="72">
        <v>1.5280999999999999E-2</v>
      </c>
      <c r="E86" s="66">
        <v>0.66900000000000004</v>
      </c>
      <c r="F86" s="53">
        <v>342000</v>
      </c>
      <c r="G86" s="72">
        <v>6332960</v>
      </c>
      <c r="H86" s="72">
        <f>Tabelle2[[#This Row],[Bevölkerung]]/1000</f>
        <v>6332.96</v>
      </c>
      <c r="I86" s="72"/>
      <c r="J86" s="53"/>
      <c r="K86" s="53">
        <f>G86*EXP(5.043121+0.031911*LN(D86/G86)+0.058886*LN(F86)-0.043159*LN(E86))</f>
        <v>1122602116.7350996</v>
      </c>
      <c r="L86" s="53">
        <f>K86-J86</f>
        <v>1122602116.7350996</v>
      </c>
      <c r="M86" s="53"/>
      <c r="N86" s="53"/>
      <c r="O86" s="53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3"/>
      <c r="AA86" s="53"/>
      <c r="AB86" s="53"/>
      <c r="AC86" s="53"/>
      <c r="AD86" s="54"/>
      <c r="AE86" s="54"/>
      <c r="AF86" s="54"/>
      <c r="AG86" s="54"/>
      <c r="AH86" s="54"/>
      <c r="AI86" s="54"/>
      <c r="AJ86" s="53"/>
      <c r="AK86" s="53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3"/>
      <c r="BB86" s="53"/>
      <c r="BC86" s="54"/>
      <c r="BD86" s="54"/>
      <c r="BE86" s="74"/>
    </row>
    <row r="87" spans="1:57" hidden="1" x14ac:dyDescent="0.3">
      <c r="B87" s="4" t="s">
        <v>165</v>
      </c>
      <c r="C87" s="5" t="s">
        <v>166</v>
      </c>
      <c r="D87" s="72">
        <v>7.9118999999999995E-2</v>
      </c>
      <c r="E87" s="66">
        <v>0.44500000000000001</v>
      </c>
      <c r="F87" s="53">
        <v>2344860</v>
      </c>
      <c r="G87" s="72">
        <v>109276260</v>
      </c>
      <c r="H87" s="72">
        <f>Tabelle2[[#This Row],[Bevölkerung]]/1000</f>
        <v>109276.26</v>
      </c>
      <c r="I87" s="72"/>
      <c r="J87" s="53"/>
      <c r="K87" s="53">
        <f>G87*EXP(5.043121+0.031911*LN(D87/G87)+0.058886*LN(F87)-0.043159*LN(E87))</f>
        <v>21248986496.602684</v>
      </c>
      <c r="L87" s="53">
        <f>K87-J87</f>
        <v>21248986496.602684</v>
      </c>
      <c r="M87" s="53"/>
      <c r="N87" s="53"/>
      <c r="O87" s="53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3"/>
      <c r="AA87" s="53"/>
      <c r="AB87" s="53"/>
      <c r="AC87" s="53"/>
      <c r="AD87" s="54"/>
      <c r="AE87" s="54"/>
      <c r="AF87" s="54"/>
      <c r="AG87" s="54"/>
      <c r="AH87" s="54"/>
      <c r="AI87" s="54"/>
      <c r="AJ87" s="53"/>
      <c r="AK87" s="53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3"/>
      <c r="BB87" s="53"/>
      <c r="BC87" s="54"/>
      <c r="BD87" s="54"/>
      <c r="BE87" s="74"/>
    </row>
    <row r="88" spans="1:57" hidden="1" x14ac:dyDescent="0.3">
      <c r="B88" s="4" t="s">
        <v>167</v>
      </c>
      <c r="C88" s="5" t="s">
        <v>168</v>
      </c>
      <c r="D88" s="72">
        <v>0</v>
      </c>
      <c r="E88" s="66">
        <v>0.61899999999999999</v>
      </c>
      <c r="F88" s="53">
        <v>120540</v>
      </c>
      <c r="G88" s="72">
        <v>26498820</v>
      </c>
      <c r="H88" s="72">
        <f>Tabelle2[[#This Row],[Bevölkerung]]/1000</f>
        <v>26498.82</v>
      </c>
      <c r="I88" s="72"/>
      <c r="J88" s="53"/>
      <c r="K88" s="53" t="e">
        <f>G88*EXP(5.043121+0.031911*LN(D88/G88)+0.058886*LN(F88)-0.043159*LN(E88))</f>
        <v>#NUM!</v>
      </c>
      <c r="L88" s="53" t="e">
        <f>K88-J88</f>
        <v>#NUM!</v>
      </c>
      <c r="M88" s="53"/>
      <c r="N88" s="53"/>
      <c r="O88" s="53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3"/>
      <c r="AA88" s="53"/>
      <c r="AB88" s="53"/>
      <c r="AC88" s="53"/>
      <c r="AD88" s="54"/>
      <c r="AE88" s="54"/>
      <c r="AF88" s="54"/>
      <c r="AG88" s="54"/>
      <c r="AH88" s="54"/>
      <c r="AI88" s="54"/>
      <c r="AJ88" s="53"/>
      <c r="AK88" s="53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3"/>
      <c r="BB88" s="53"/>
      <c r="BC88" s="54"/>
      <c r="BD88" s="54"/>
      <c r="BE88" s="74"/>
    </row>
    <row r="89" spans="1:57" hidden="1" x14ac:dyDescent="0.3">
      <c r="B89" s="15" t="s">
        <v>169</v>
      </c>
      <c r="C89" s="16" t="s">
        <v>170</v>
      </c>
      <c r="D89" s="72">
        <v>1.7903219999999997</v>
      </c>
      <c r="E89" s="66">
        <v>0.81499999999999995</v>
      </c>
      <c r="F89" s="53">
        <v>100450</v>
      </c>
      <c r="G89" s="72">
        <v>51751070</v>
      </c>
      <c r="H89" s="72">
        <f>Tabelle2[[#This Row],[Bevölkerung]]/1000</f>
        <v>51751.07</v>
      </c>
      <c r="I89" s="72"/>
      <c r="J89" s="53"/>
      <c r="K89" s="53">
        <f>G89*EXP(5.043121+0.031911*LN(D89/G89)+0.058886*LN(F89)-0.043159*LN(E89))</f>
        <v>9213200755.5592613</v>
      </c>
      <c r="L89" s="53">
        <f>K89-J89</f>
        <v>9213200755.5592613</v>
      </c>
      <c r="M89" s="53"/>
      <c r="N89" s="53"/>
      <c r="O89" s="53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3"/>
      <c r="AA89" s="53"/>
      <c r="AB89" s="53"/>
      <c r="AC89" s="53"/>
      <c r="AD89" s="54"/>
      <c r="AE89" s="54"/>
      <c r="AF89" s="54"/>
      <c r="AG89" s="54"/>
      <c r="AH89" s="54"/>
      <c r="AI89" s="54"/>
      <c r="AJ89" s="53"/>
      <c r="AK89" s="53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3"/>
      <c r="BB89" s="53"/>
      <c r="BC89" s="54"/>
      <c r="BD89" s="54"/>
      <c r="BE89" s="74"/>
    </row>
    <row r="90" spans="1:57" x14ac:dyDescent="0.3">
      <c r="A90" t="s">
        <v>590</v>
      </c>
      <c r="B90" s="17" t="s">
        <v>171</v>
      </c>
      <c r="C90" s="18" t="s">
        <v>172</v>
      </c>
      <c r="D90" s="72">
        <v>9.8950999999999983E-2</v>
      </c>
      <c r="E90" s="66">
        <v>0.56899999999999995</v>
      </c>
      <c r="F90" s="53">
        <v>88070</v>
      </c>
      <c r="G90" s="72">
        <v>3866300</v>
      </c>
      <c r="H90" s="72">
        <f>Tabelle2[[#This Row],[Bevölkerung]]/1000</f>
        <v>3866.3</v>
      </c>
      <c r="I90" s="72">
        <v>2.6</v>
      </c>
      <c r="J90" s="53">
        <v>1620000</v>
      </c>
      <c r="K90" s="53">
        <f>G90*EXP(5.043121+0.031911*LN(D90/G90)+0.058886*LN(F90)-0.043159*LN(E90))</f>
        <v>687038520.83743978</v>
      </c>
      <c r="L90" s="53">
        <f>K90-J90</f>
        <v>685418520.83743978</v>
      </c>
      <c r="M90" s="53"/>
      <c r="N90" s="53">
        <v>1433445</v>
      </c>
      <c r="O90" s="53"/>
      <c r="P90" s="54"/>
      <c r="Q90" s="54"/>
      <c r="R90" s="54"/>
      <c r="S90" s="54"/>
      <c r="T90" s="54"/>
      <c r="U90" s="54"/>
      <c r="V90" s="54"/>
      <c r="W90" s="54"/>
      <c r="X90" s="54">
        <v>2391944</v>
      </c>
      <c r="Y90" s="54"/>
      <c r="Z90" s="53"/>
      <c r="AA90" s="53"/>
      <c r="AB90" s="53"/>
      <c r="AC90" s="53"/>
      <c r="AD90" s="54"/>
      <c r="AE90" s="54"/>
      <c r="AF90" s="54"/>
      <c r="AG90" s="54"/>
      <c r="AH90" s="54"/>
      <c r="AI90" s="54"/>
      <c r="AJ90" s="53"/>
      <c r="AK90" s="53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3"/>
      <c r="BB90" s="53"/>
      <c r="BC90" s="54"/>
      <c r="BD90" s="54"/>
      <c r="BE90" s="74"/>
    </row>
    <row r="91" spans="1:57" hidden="1" x14ac:dyDescent="0.3">
      <c r="B91" s="2" t="s">
        <v>173</v>
      </c>
      <c r="C91" s="3" t="s">
        <v>174</v>
      </c>
      <c r="D91" s="72">
        <v>0.10740000000000001</v>
      </c>
      <c r="E91" s="66">
        <v>0.77</v>
      </c>
      <c r="F91" s="53">
        <v>109880</v>
      </c>
      <c r="G91" s="72">
        <v>10979780</v>
      </c>
      <c r="H91" s="72">
        <f>Tabelle2[[#This Row],[Bevölkerung]]/1000</f>
        <v>10979.78</v>
      </c>
      <c r="I91" s="72"/>
      <c r="J91" s="53"/>
      <c r="K91" s="53">
        <f>G91*EXP(5.043121+0.031911*LN(D91/G91)+0.058886*LN(F91)-0.043159*LN(E91))</f>
        <v>1892072339.2218533</v>
      </c>
      <c r="L91" s="53">
        <f>K91-J91</f>
        <v>1892072339.2218533</v>
      </c>
      <c r="M91" s="53"/>
      <c r="N91" s="53">
        <v>3734569</v>
      </c>
      <c r="O91" s="53"/>
      <c r="P91" s="54"/>
      <c r="Q91" s="54"/>
      <c r="R91" s="54"/>
      <c r="S91" s="54"/>
      <c r="T91" s="54"/>
      <c r="U91" s="54"/>
      <c r="V91" s="54"/>
      <c r="W91" s="54"/>
      <c r="X91" s="54">
        <v>3882424</v>
      </c>
      <c r="Y91" s="54"/>
      <c r="Z91" s="53"/>
      <c r="AA91" s="53"/>
      <c r="AB91" s="53"/>
      <c r="AC91" s="53"/>
      <c r="AD91" s="54"/>
      <c r="AE91" s="54"/>
      <c r="AF91" s="54"/>
      <c r="AG91" s="54"/>
      <c r="AH91" s="54"/>
      <c r="AI91" s="54"/>
      <c r="AJ91" s="53"/>
      <c r="AK91" s="53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3"/>
      <c r="BB91" s="53"/>
      <c r="BC91" s="54"/>
      <c r="BD91" s="54"/>
      <c r="BE91" s="74"/>
    </row>
    <row r="92" spans="1:57" hidden="1" x14ac:dyDescent="0.3">
      <c r="B92" s="2" t="s">
        <v>175</v>
      </c>
      <c r="C92" s="3" t="s">
        <v>176</v>
      </c>
      <c r="D92" s="72">
        <v>0.15310099999999999</v>
      </c>
      <c r="E92" s="66">
        <v>1</v>
      </c>
      <c r="F92" s="53">
        <v>17820</v>
      </c>
      <c r="G92" s="72">
        <v>4973860</v>
      </c>
      <c r="H92" s="72">
        <f>Tabelle2[[#This Row],[Bevölkerung]]/1000</f>
        <v>4973.8599999999997</v>
      </c>
      <c r="I92" s="72"/>
      <c r="J92" s="53"/>
      <c r="K92" s="53">
        <f>G92*EXP(5.043121+0.031911*LN(D92/G92)+0.058886*LN(F92)-0.043159*LN(E92))</f>
        <v>789779352.02457118</v>
      </c>
      <c r="L92" s="53">
        <f>K92-J92</f>
        <v>789779352.02457118</v>
      </c>
      <c r="M92" s="53"/>
      <c r="N92" s="53"/>
      <c r="O92" s="53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3"/>
      <c r="AA92" s="53"/>
      <c r="AB92" s="53"/>
      <c r="AC92" s="53"/>
      <c r="AD92" s="54"/>
      <c r="AE92" s="54"/>
      <c r="AF92" s="54"/>
      <c r="AG92" s="54"/>
      <c r="AH92" s="54"/>
      <c r="AI92" s="54"/>
      <c r="AJ92" s="53"/>
      <c r="AK92" s="53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3"/>
      <c r="BB92" s="53"/>
      <c r="BC92" s="54"/>
      <c r="BD92" s="54"/>
      <c r="BE92" s="74"/>
    </row>
    <row r="93" spans="1:57" hidden="1" x14ac:dyDescent="0.3">
      <c r="B93" s="2" t="s">
        <v>177</v>
      </c>
      <c r="C93" s="3" t="s">
        <v>178</v>
      </c>
      <c r="D93" s="72">
        <v>1.6322E-2</v>
      </c>
      <c r="E93" s="66">
        <v>0.35</v>
      </c>
      <c r="F93" s="53">
        <v>236800</v>
      </c>
      <c r="G93" s="72">
        <v>7769820</v>
      </c>
      <c r="H93" s="72">
        <f>Tabelle2[[#This Row],[Bevölkerung]]/1000</f>
        <v>7769.82</v>
      </c>
      <c r="I93" s="72"/>
      <c r="J93" s="53"/>
      <c r="K93" s="53">
        <f>G93*EXP(5.043121+0.031911*LN(D93/G93)+0.058886*LN(F93)-0.043159*LN(E93))</f>
        <v>1379913599.1512125</v>
      </c>
      <c r="L93" s="53">
        <f>K93-J93</f>
        <v>1379913599.1512125</v>
      </c>
      <c r="M93" s="53"/>
      <c r="N93" s="53"/>
      <c r="O93" s="53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3"/>
      <c r="AA93" s="53"/>
      <c r="AB93" s="53"/>
      <c r="AC93" s="53"/>
      <c r="AD93" s="54"/>
      <c r="AE93" s="54"/>
      <c r="AF93" s="54"/>
      <c r="AG93" s="54"/>
      <c r="AH93" s="54"/>
      <c r="AI93" s="54"/>
      <c r="AJ93" s="53"/>
      <c r="AK93" s="53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3"/>
      <c r="BB93" s="53"/>
      <c r="BC93" s="54"/>
      <c r="BD93" s="54"/>
      <c r="BE93" s="74"/>
    </row>
    <row r="94" spans="1:57" hidden="1" x14ac:dyDescent="0.3">
      <c r="B94" s="4" t="s">
        <v>179</v>
      </c>
      <c r="C94" s="5" t="s">
        <v>180</v>
      </c>
      <c r="D94" s="72">
        <v>2.4039999999999999E-3</v>
      </c>
      <c r="E94" s="66">
        <v>0.28199999999999997</v>
      </c>
      <c r="F94" s="53">
        <v>30360</v>
      </c>
      <c r="G94" s="72">
        <v>2337420</v>
      </c>
      <c r="H94" s="72">
        <f>Tabelle2[[#This Row],[Bevölkerung]]/1000</f>
        <v>2337.42</v>
      </c>
      <c r="I94" s="72"/>
      <c r="J94" s="53"/>
      <c r="K94" s="53">
        <f>G94*EXP(5.043121+0.031911*LN(D94/G94)+0.058886*LN(F94)-0.043159*LN(E94))</f>
        <v>362909334.74144411</v>
      </c>
      <c r="L94" s="53">
        <f>K94-J94</f>
        <v>362909334.74144411</v>
      </c>
      <c r="M94" s="53"/>
      <c r="N94" s="53"/>
      <c r="O94" s="53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3"/>
      <c r="AA94" s="53"/>
      <c r="AB94" s="53"/>
      <c r="AC94" s="53"/>
      <c r="AD94" s="54"/>
      <c r="AE94" s="54"/>
      <c r="AF94" s="54"/>
      <c r="AG94" s="54"/>
      <c r="AH94" s="54"/>
      <c r="AI94" s="54"/>
      <c r="AJ94" s="53"/>
      <c r="AK94" s="53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3"/>
      <c r="BB94" s="53"/>
      <c r="BC94" s="54"/>
      <c r="BD94" s="54"/>
      <c r="BE94" s="74"/>
    </row>
    <row r="95" spans="1:57" x14ac:dyDescent="0.3">
      <c r="A95" t="s">
        <v>589</v>
      </c>
      <c r="B95" s="2" t="s">
        <v>181</v>
      </c>
      <c r="C95" s="3" t="s">
        <v>182</v>
      </c>
      <c r="D95" s="72">
        <v>45.535000000000011</v>
      </c>
      <c r="E95" s="66">
        <v>0.68100000000000005</v>
      </c>
      <c r="F95" s="53">
        <v>64590</v>
      </c>
      <c r="G95" s="72">
        <v>1862440</v>
      </c>
      <c r="H95" s="72">
        <f>Tabelle2[[#This Row],[Bevölkerung]]/1000</f>
        <v>1862.44</v>
      </c>
      <c r="I95" s="72">
        <v>2.1</v>
      </c>
      <c r="J95" s="53">
        <v>1310000</v>
      </c>
      <c r="K95" s="53">
        <f>G95*EXP(5.043121+0.031911*LN(D95/G95)+0.058886*LN(F95)-0.043159*LN(E95))</f>
        <v>401392608.93063486</v>
      </c>
      <c r="L95" s="53">
        <f>K95-J95</f>
        <v>400082608.93063486</v>
      </c>
      <c r="M95" s="53"/>
      <c r="N95" s="53">
        <v>811000</v>
      </c>
      <c r="O95" s="53"/>
      <c r="P95" s="54"/>
      <c r="Q95" s="54"/>
      <c r="R95" s="54"/>
      <c r="S95" s="54"/>
      <c r="T95" s="54"/>
      <c r="U95" s="54"/>
      <c r="V95" s="54"/>
      <c r="W95" s="54"/>
      <c r="X95" s="54">
        <v>1063939</v>
      </c>
      <c r="Y95" s="54"/>
      <c r="Z95" s="53"/>
      <c r="AA95" s="53"/>
      <c r="AB95" s="53"/>
      <c r="AC95" s="53"/>
      <c r="AD95" s="54"/>
      <c r="AE95" s="54"/>
      <c r="AF95" s="54"/>
      <c r="AG95" s="54"/>
      <c r="AH95" s="54"/>
      <c r="AI95" s="54"/>
      <c r="AJ95" s="53"/>
      <c r="AK95" s="53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3"/>
      <c r="BB95" s="53"/>
      <c r="BC95" s="54"/>
      <c r="BD95" s="54"/>
      <c r="BE95" s="74"/>
    </row>
    <row r="96" spans="1:57" hidden="1" x14ac:dyDescent="0.3">
      <c r="B96" s="22" t="s">
        <v>183</v>
      </c>
      <c r="C96" s="23" t="s">
        <v>184</v>
      </c>
      <c r="D96" s="72" t="s">
        <v>593</v>
      </c>
      <c r="E96" s="66">
        <v>0.88600000000000001</v>
      </c>
      <c r="F96" s="53">
        <v>10450</v>
      </c>
      <c r="G96" s="72">
        <v>5805960</v>
      </c>
      <c r="H96" s="72">
        <f>Tabelle2[[#This Row],[Bevölkerung]]/1000</f>
        <v>5805.96</v>
      </c>
      <c r="I96" s="72"/>
      <c r="J96" s="53"/>
      <c r="K96" s="53" t="e">
        <f>G96*EXP(5.043121+0.031911*LN(D96/G96)+0.058886*LN(F96)-0.043159*LN(E96))</f>
        <v>#VALUE!</v>
      </c>
      <c r="L96" s="53" t="e">
        <f>K96-J96</f>
        <v>#VALUE!</v>
      </c>
      <c r="M96" s="53"/>
      <c r="N96" s="53"/>
      <c r="O96" s="53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3"/>
      <c r="AA96" s="53"/>
      <c r="AB96" s="53"/>
      <c r="AC96" s="53"/>
      <c r="AD96" s="54"/>
      <c r="AE96" s="54"/>
      <c r="AF96" s="54"/>
      <c r="AG96" s="54"/>
      <c r="AH96" s="54"/>
      <c r="AI96" s="54"/>
      <c r="AJ96" s="53"/>
      <c r="AK96" s="53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3"/>
      <c r="BB96" s="53"/>
      <c r="BC96" s="54"/>
      <c r="BD96" s="54"/>
      <c r="BE96" s="74"/>
    </row>
    <row r="97" spans="1:57" hidden="1" x14ac:dyDescent="0.3">
      <c r="B97" s="2" t="s">
        <v>185</v>
      </c>
      <c r="C97" s="3" t="s">
        <v>186</v>
      </c>
      <c r="D97" s="72">
        <v>5.1660000000000013E-3</v>
      </c>
      <c r="E97" s="66">
        <v>0.51200000000000001</v>
      </c>
      <c r="F97" s="53">
        <v>111370</v>
      </c>
      <c r="G97" s="72">
        <v>5612820</v>
      </c>
      <c r="H97" s="72">
        <f>Tabelle2[[#This Row],[Bevölkerung]]/1000</f>
        <v>5612.82</v>
      </c>
      <c r="I97" s="72"/>
      <c r="J97" s="53"/>
      <c r="K97" s="53">
        <f>G97*EXP(5.043121+0.031911*LN(D97/G97)+0.058886*LN(F97)-0.043159*LN(E97))</f>
        <v>913616005.75775993</v>
      </c>
      <c r="L97" s="53">
        <f>K97-J97</f>
        <v>913616005.75775993</v>
      </c>
      <c r="M97" s="53"/>
      <c r="N97" s="53"/>
      <c r="O97" s="53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3"/>
      <c r="AA97" s="53"/>
      <c r="AB97" s="53"/>
      <c r="AC97" s="53"/>
      <c r="AD97" s="54"/>
      <c r="AE97" s="54"/>
      <c r="AF97" s="54"/>
      <c r="AG97" s="54"/>
      <c r="AH97" s="54"/>
      <c r="AI97" s="54"/>
      <c r="AJ97" s="53"/>
      <c r="AK97" s="53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3"/>
      <c r="BB97" s="53"/>
      <c r="BC97" s="54"/>
      <c r="BD97" s="54"/>
      <c r="BE97" s="74"/>
    </row>
    <row r="98" spans="1:57" hidden="1" x14ac:dyDescent="0.3">
      <c r="B98" s="2" t="s">
        <v>187</v>
      </c>
      <c r="C98" s="3" t="s">
        <v>188</v>
      </c>
      <c r="D98" s="72" t="s">
        <v>593</v>
      </c>
      <c r="E98" s="66">
        <v>0.80100000000000005</v>
      </c>
      <c r="F98" s="53">
        <v>1759540</v>
      </c>
      <c r="G98" s="72">
        <v>5805960</v>
      </c>
      <c r="H98" s="72">
        <f>Tabelle2[[#This Row],[Bevölkerung]]/1000</f>
        <v>5805.96</v>
      </c>
      <c r="I98" s="72"/>
      <c r="J98" s="53"/>
      <c r="K98" s="53" t="e">
        <f>G98*EXP(5.043121+0.031911*LN(D98/G98)+0.058886*LN(F98)-0.043159*LN(E98))</f>
        <v>#VALUE!</v>
      </c>
      <c r="L98" s="53" t="e">
        <f>K98-J98</f>
        <v>#VALUE!</v>
      </c>
      <c r="M98" s="53"/>
      <c r="N98" s="53"/>
      <c r="O98" s="53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3"/>
      <c r="AA98" s="53"/>
      <c r="AB98" s="53"/>
      <c r="AC98" s="53"/>
      <c r="AD98" s="54"/>
      <c r="AE98" s="54"/>
      <c r="AF98" s="54"/>
      <c r="AG98" s="54"/>
      <c r="AH98" s="54"/>
      <c r="AI98" s="54"/>
      <c r="AJ98" s="53"/>
      <c r="AK98" s="53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3"/>
      <c r="BB98" s="53"/>
      <c r="BC98" s="54"/>
      <c r="BD98" s="54"/>
      <c r="BE98" s="74"/>
    </row>
    <row r="99" spans="1:57" hidden="1" x14ac:dyDescent="0.3">
      <c r="B99" s="4" t="s">
        <v>189</v>
      </c>
      <c r="C99" s="5" t="s">
        <v>190</v>
      </c>
      <c r="D99" s="72">
        <v>7.000000000000001E-3</v>
      </c>
      <c r="E99" s="66">
        <v>0.14299999999999999</v>
      </c>
      <c r="F99" s="53">
        <v>160</v>
      </c>
      <c r="G99" s="72">
        <v>40200</v>
      </c>
      <c r="H99" s="72">
        <f>Tabelle2[[#This Row],[Bevölkerung]]/1000</f>
        <v>40.200000000000003</v>
      </c>
      <c r="I99" s="72"/>
      <c r="J99" s="53"/>
      <c r="K99" s="53">
        <f>G99*EXP(5.043121+0.031911*LN(D99/G99)+0.058886*LN(F99)-0.043159*LN(E99))</f>
        <v>5558809.6425170098</v>
      </c>
      <c r="L99" s="53">
        <f>K99-J99</f>
        <v>5558809.6425170098</v>
      </c>
      <c r="M99" s="53"/>
      <c r="N99" s="53"/>
      <c r="O99" s="53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3"/>
      <c r="AA99" s="53"/>
      <c r="AB99" s="53"/>
      <c r="AC99" s="53"/>
      <c r="AD99" s="54"/>
      <c r="AE99" s="54"/>
      <c r="AF99" s="54"/>
      <c r="AG99" s="54"/>
      <c r="AH99" s="54"/>
      <c r="AI99" s="54"/>
      <c r="AJ99" s="53"/>
      <c r="AK99" s="53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3"/>
      <c r="BB99" s="53"/>
      <c r="BC99" s="54"/>
      <c r="BD99" s="54"/>
      <c r="BE99" s="74"/>
    </row>
    <row r="100" spans="1:57" x14ac:dyDescent="0.3">
      <c r="A100" t="s">
        <v>589</v>
      </c>
      <c r="B100" s="2" t="s">
        <v>191</v>
      </c>
      <c r="C100" s="3" t="s">
        <v>192</v>
      </c>
      <c r="D100" s="72">
        <v>89.191999999999993</v>
      </c>
      <c r="E100" s="66">
        <v>0.67700000000000005</v>
      </c>
      <c r="F100" s="53">
        <v>65290</v>
      </c>
      <c r="G100" s="72">
        <v>2888050</v>
      </c>
      <c r="H100" s="72">
        <f>Tabelle2[[#This Row],[Bevölkerung]]/1000</f>
        <v>2888.05</v>
      </c>
      <c r="I100" s="72">
        <v>1.8</v>
      </c>
      <c r="J100" s="53">
        <v>510000</v>
      </c>
      <c r="K100" s="53">
        <f>G100*EXP(5.043121+0.031911*LN(D100/G100)+0.058886*LN(F100)-0.043159*LN(E100))</f>
        <v>627647072.15458584</v>
      </c>
      <c r="L100" s="53">
        <f>K100-J100</f>
        <v>627137072.15458584</v>
      </c>
      <c r="M100" s="53"/>
      <c r="N100" s="53"/>
      <c r="O100" s="53"/>
      <c r="P100" s="54"/>
      <c r="Q100" s="54"/>
      <c r="R100" s="54"/>
      <c r="S100" s="54"/>
      <c r="T100" s="54"/>
      <c r="U100" s="54"/>
      <c r="V100" s="54"/>
      <c r="W100" s="54"/>
      <c r="X100" s="54">
        <v>1438000</v>
      </c>
      <c r="Y100" s="54"/>
      <c r="Z100" s="53"/>
      <c r="AA100" s="53"/>
      <c r="AB100" s="53"/>
      <c r="AC100" s="53"/>
      <c r="AD100" s="54"/>
      <c r="AE100" s="54"/>
      <c r="AF100" s="54"/>
      <c r="AG100" s="54"/>
      <c r="AH100" s="54"/>
      <c r="AI100" s="54"/>
      <c r="AJ100" s="53"/>
      <c r="AK100" s="53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3"/>
      <c r="BB100" s="53"/>
      <c r="BC100" s="54"/>
      <c r="BD100" s="54"/>
      <c r="BE100" s="74"/>
    </row>
    <row r="101" spans="1:57" x14ac:dyDescent="0.3">
      <c r="A101" t="s">
        <v>589</v>
      </c>
      <c r="B101" s="13" t="s">
        <v>193</v>
      </c>
      <c r="C101" s="14" t="s">
        <v>194</v>
      </c>
      <c r="D101" s="72">
        <v>96.613000000000014</v>
      </c>
      <c r="E101" s="66">
        <v>0.91</v>
      </c>
      <c r="F101" s="53">
        <v>2590</v>
      </c>
      <c r="G101" s="72">
        <v>677720</v>
      </c>
      <c r="H101" s="72">
        <f>Tabelle2[[#This Row],[Bevölkerung]]/1000</f>
        <v>677.72</v>
      </c>
      <c r="I101" s="72">
        <v>2.2999999999999998</v>
      </c>
      <c r="J101" s="53">
        <v>138220</v>
      </c>
      <c r="K101" s="53">
        <f>G101*EXP(5.043121+0.031911*LN(D101/G101)+0.058886*LN(F101)-0.043159*LN(E101))</f>
        <v>126265019.54927623</v>
      </c>
      <c r="L101" s="53">
        <f>K101-J101</f>
        <v>126126799.54927623</v>
      </c>
      <c r="M101" s="53"/>
      <c r="N101" s="53"/>
      <c r="O101" s="53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3"/>
      <c r="AA101" s="53"/>
      <c r="AB101" s="53"/>
      <c r="AC101" s="53"/>
      <c r="AD101" s="54"/>
      <c r="AE101" s="54"/>
      <c r="AF101" s="54"/>
      <c r="AG101" s="54"/>
      <c r="AH101" s="54"/>
      <c r="AI101" s="54"/>
      <c r="AJ101" s="53"/>
      <c r="AK101" s="53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3"/>
      <c r="BB101" s="53"/>
      <c r="BC101" s="54"/>
      <c r="BD101" s="54"/>
      <c r="BE101" s="74"/>
    </row>
    <row r="102" spans="1:57" hidden="1" x14ac:dyDescent="0.3">
      <c r="B102" s="2" t="s">
        <v>195</v>
      </c>
      <c r="C102" s="3" t="s">
        <v>196</v>
      </c>
      <c r="D102" s="72">
        <v>1.8707999999999999E-2</v>
      </c>
      <c r="E102" s="66">
        <v>0.372</v>
      </c>
      <c r="F102" s="53">
        <v>587295</v>
      </c>
      <c r="G102" s="72">
        <v>31964960</v>
      </c>
      <c r="H102" s="72">
        <f>Tabelle2[[#This Row],[Bevölkerung]]/1000</f>
        <v>31964.959999999999</v>
      </c>
      <c r="I102" s="72"/>
      <c r="J102" s="53"/>
      <c r="K102" s="53">
        <f>G102*EXP(5.043121+0.031911*LN(D102/G102)+0.058886*LN(F102)-0.043159*LN(E102))</f>
        <v>5734434606.4405851</v>
      </c>
      <c r="L102" s="53">
        <f>K102-J102</f>
        <v>5734434606.4405851</v>
      </c>
      <c r="M102" s="53"/>
      <c r="N102" s="53"/>
      <c r="O102" s="53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3"/>
      <c r="AA102" s="53"/>
      <c r="AB102" s="53"/>
      <c r="AC102" s="53"/>
      <c r="AD102" s="54"/>
      <c r="AE102" s="54"/>
      <c r="AF102" s="54"/>
      <c r="AG102" s="54"/>
      <c r="AH102" s="54"/>
      <c r="AI102" s="54"/>
      <c r="AJ102" s="53"/>
      <c r="AK102" s="53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3"/>
      <c r="BB102" s="53"/>
      <c r="BC102" s="54"/>
      <c r="BD102" s="54"/>
      <c r="BE102" s="74"/>
    </row>
    <row r="103" spans="1:57" hidden="1" x14ac:dyDescent="0.3">
      <c r="B103" s="4" t="s">
        <v>197</v>
      </c>
      <c r="C103" s="5" t="s">
        <v>198</v>
      </c>
      <c r="D103" s="72">
        <v>1.3958999999999999E-2</v>
      </c>
      <c r="E103" s="66">
        <v>0.16900000000000001</v>
      </c>
      <c r="F103" s="53">
        <v>118480</v>
      </c>
      <c r="G103" s="72">
        <v>21655290</v>
      </c>
      <c r="H103" s="72">
        <f>Tabelle2[[#This Row],[Bevölkerung]]/1000</f>
        <v>21655.29</v>
      </c>
      <c r="I103" s="72"/>
      <c r="J103" s="53"/>
      <c r="K103" s="53">
        <f>G103*EXP(5.043121+0.031911*LN(D103/G103)+0.058886*LN(F103)-0.043159*LN(E103))</f>
        <v>3669181445.0485659</v>
      </c>
      <c r="L103" s="53">
        <f>K103-J103</f>
        <v>3669181445.0485659</v>
      </c>
      <c r="M103" s="53"/>
      <c r="N103" s="53"/>
      <c r="O103" s="53"/>
      <c r="P103" s="54"/>
      <c r="Q103" s="54"/>
      <c r="R103" s="54"/>
      <c r="S103" s="54"/>
      <c r="T103" s="54"/>
      <c r="U103" s="54"/>
      <c r="V103" s="54"/>
      <c r="W103" s="54"/>
      <c r="X103" s="54">
        <v>4805431</v>
      </c>
      <c r="Y103" s="54"/>
      <c r="Z103" s="53"/>
      <c r="AA103" s="53"/>
      <c r="AB103" s="53"/>
      <c r="AC103" s="53"/>
      <c r="AD103" s="54"/>
      <c r="AE103" s="54"/>
      <c r="AF103" s="54"/>
      <c r="AG103" s="54"/>
      <c r="AH103" s="54"/>
      <c r="AI103" s="54"/>
      <c r="AJ103" s="53"/>
      <c r="AK103" s="53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3"/>
      <c r="BB103" s="53"/>
      <c r="BC103" s="54"/>
      <c r="BD103" s="54"/>
      <c r="BE103" s="74"/>
    </row>
    <row r="104" spans="1:57" hidden="1" x14ac:dyDescent="0.3">
      <c r="B104" s="13" t="s">
        <v>199</v>
      </c>
      <c r="C104" s="14" t="s">
        <v>200</v>
      </c>
      <c r="D104" s="72">
        <v>0.44498399999999999</v>
      </c>
      <c r="E104" s="66">
        <v>0.76</v>
      </c>
      <c r="F104" s="53">
        <v>330411</v>
      </c>
      <c r="G104" s="72">
        <v>35557670</v>
      </c>
      <c r="H104" s="72">
        <f>Tabelle2[[#This Row],[Bevölkerung]]/1000</f>
        <v>35557.67</v>
      </c>
      <c r="I104" s="72"/>
      <c r="J104" s="53"/>
      <c r="K104" s="53">
        <f>G104*EXP(5.043121+0.031911*LN(D104/G104)+0.058886*LN(F104)-0.043159*LN(E104))</f>
        <v>6593141732.6597242</v>
      </c>
      <c r="L104" s="53">
        <f>K104-J104</f>
        <v>6593141732.6597242</v>
      </c>
      <c r="M104" s="53"/>
      <c r="N104" s="53"/>
      <c r="O104" s="53"/>
      <c r="P104" s="54"/>
      <c r="Q104" s="54"/>
      <c r="R104" s="54"/>
      <c r="S104" s="54"/>
      <c r="T104" s="54"/>
      <c r="U104" s="54"/>
      <c r="V104" s="54"/>
      <c r="W104" s="54"/>
      <c r="X104" s="54">
        <v>6343987</v>
      </c>
      <c r="Y104" s="54"/>
      <c r="Z104" s="53"/>
      <c r="AA104" s="53"/>
      <c r="AB104" s="53"/>
      <c r="AC104" s="53"/>
      <c r="AD104" s="54"/>
      <c r="AE104" s="54"/>
      <c r="AF104" s="54"/>
      <c r="AG104" s="54"/>
      <c r="AH104" s="54">
        <v>123077</v>
      </c>
      <c r="AI104" s="54"/>
      <c r="AJ104" s="53"/>
      <c r="AK104" s="53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3"/>
      <c r="BB104" s="53"/>
      <c r="BC104" s="54"/>
      <c r="BD104" s="54"/>
      <c r="BE104" s="74"/>
    </row>
    <row r="105" spans="1:57" hidden="1" x14ac:dyDescent="0.3">
      <c r="B105" s="4" t="s">
        <v>201</v>
      </c>
      <c r="C105" s="5" t="s">
        <v>202</v>
      </c>
      <c r="D105" s="72">
        <v>7.4800000000000005E-3</v>
      </c>
      <c r="E105" s="66">
        <v>0.39800000000000002</v>
      </c>
      <c r="F105" s="53">
        <v>300</v>
      </c>
      <c r="G105" s="72">
        <v>527800</v>
      </c>
      <c r="H105" s="72">
        <f>Tabelle2[[#This Row],[Bevölkerung]]/1000</f>
        <v>527.79999999999995</v>
      </c>
      <c r="I105" s="72"/>
      <c r="J105" s="53"/>
      <c r="K105" s="53">
        <f>G105*EXP(5.043121+0.031911*LN(D105/G105)+0.058886*LN(F105)-0.043159*LN(E105))</f>
        <v>66888240.163257435</v>
      </c>
      <c r="L105" s="53">
        <f>K105-J105</f>
        <v>66888240.163257435</v>
      </c>
      <c r="M105" s="53"/>
      <c r="N105" s="53"/>
      <c r="O105" s="53"/>
      <c r="P105" s="54"/>
      <c r="Q105" s="54"/>
      <c r="R105" s="54"/>
      <c r="S105" s="54"/>
      <c r="T105" s="54"/>
      <c r="U105" s="54"/>
      <c r="V105" s="54"/>
      <c r="W105" s="54"/>
      <c r="X105" s="54">
        <v>65764</v>
      </c>
      <c r="Y105" s="54"/>
      <c r="Z105" s="53"/>
      <c r="AA105" s="53"/>
      <c r="AB105" s="53"/>
      <c r="AC105" s="53"/>
      <c r="AD105" s="54"/>
      <c r="AE105" s="54"/>
      <c r="AF105" s="54"/>
      <c r="AG105" s="54"/>
      <c r="AH105" s="54"/>
      <c r="AI105" s="54"/>
      <c r="AJ105" s="53"/>
      <c r="AK105" s="53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3"/>
      <c r="BB105" s="53"/>
      <c r="BC105" s="54"/>
      <c r="BD105" s="54"/>
      <c r="BE105" s="74"/>
    </row>
    <row r="106" spans="1:57" hidden="1" x14ac:dyDescent="0.3">
      <c r="B106" s="2" t="s">
        <v>203</v>
      </c>
      <c r="C106" s="3" t="s">
        <v>204</v>
      </c>
      <c r="D106" s="72">
        <v>2.3207999999999996E-2</v>
      </c>
      <c r="E106" s="66">
        <v>0.42399999999999999</v>
      </c>
      <c r="F106" s="53">
        <v>1240190</v>
      </c>
      <c r="G106" s="72">
        <v>24478600</v>
      </c>
      <c r="H106" s="72">
        <f>Tabelle2[[#This Row],[Bevölkerung]]/1000</f>
        <v>24478.6</v>
      </c>
      <c r="I106" s="72"/>
      <c r="J106" s="53"/>
      <c r="K106" s="53">
        <f>G106*EXP(5.043121+0.031911*LN(D106/G106)+0.058886*LN(F106)-0.043159*LN(E106))</f>
        <v>4633958700.545352</v>
      </c>
      <c r="L106" s="53">
        <f>K106-J106</f>
        <v>4633958700.545352</v>
      </c>
      <c r="M106" s="53"/>
      <c r="N106" s="53"/>
      <c r="O106" s="53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3"/>
      <c r="AA106" s="53"/>
      <c r="AB106" s="53"/>
      <c r="AC106" s="53"/>
      <c r="AD106" s="54"/>
      <c r="AE106" s="54"/>
      <c r="AF106" s="54"/>
      <c r="AG106" s="54"/>
      <c r="AH106" s="54"/>
      <c r="AI106" s="54"/>
      <c r="AJ106" s="53"/>
      <c r="AK106" s="53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3"/>
      <c r="BB106" s="53"/>
      <c r="BC106" s="54"/>
      <c r="BD106" s="54"/>
      <c r="BE106" s="74"/>
    </row>
    <row r="107" spans="1:57" x14ac:dyDescent="0.3">
      <c r="A107" t="s">
        <v>589</v>
      </c>
      <c r="B107" s="22" t="s">
        <v>205</v>
      </c>
      <c r="C107" s="23" t="s">
        <v>206</v>
      </c>
      <c r="D107" s="72">
        <v>2.5750000000000002</v>
      </c>
      <c r="E107" s="66">
        <v>0.94599999999999995</v>
      </c>
      <c r="F107" s="53">
        <v>320</v>
      </c>
      <c r="G107" s="72">
        <v>574350</v>
      </c>
      <c r="H107" s="72">
        <f>Tabelle2[[#This Row],[Bevölkerung]]/1000</f>
        <v>574.35</v>
      </c>
      <c r="I107" s="72">
        <v>2.4</v>
      </c>
      <c r="J107" s="53">
        <v>74820</v>
      </c>
      <c r="K107" s="53">
        <f>G107*EXP(5.043121+0.031911*LN(D107/G107)+0.058886*LN(F107)-0.043159*LN(E107))</f>
        <v>84578942.408463538</v>
      </c>
      <c r="L107" s="53">
        <f>K107-J107</f>
        <v>84504122.408463538</v>
      </c>
      <c r="M107" s="53"/>
      <c r="N107" s="53">
        <v>215691</v>
      </c>
      <c r="O107" s="53"/>
      <c r="P107" s="54"/>
      <c r="Q107" s="54"/>
      <c r="R107" s="54"/>
      <c r="S107" s="54"/>
      <c r="T107" s="54"/>
      <c r="U107" s="54"/>
      <c r="V107" s="54"/>
      <c r="W107" s="54"/>
      <c r="X107" s="54">
        <v>297304</v>
      </c>
      <c r="Y107" s="54"/>
      <c r="Z107" s="53"/>
      <c r="AA107" s="53"/>
      <c r="AB107" s="53"/>
      <c r="AC107" s="53"/>
      <c r="AD107" s="54"/>
      <c r="AE107" s="54"/>
      <c r="AF107" s="54"/>
      <c r="AG107" s="54"/>
      <c r="AH107" s="54"/>
      <c r="AI107" s="54"/>
      <c r="AJ107" s="53"/>
      <c r="AK107" s="53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3"/>
      <c r="BB107" s="53"/>
      <c r="BC107" s="54"/>
      <c r="BD107" s="54"/>
      <c r="BE107" s="74"/>
    </row>
    <row r="108" spans="1:57" hidden="1" x14ac:dyDescent="0.3">
      <c r="B108" s="22" t="s">
        <v>207</v>
      </c>
      <c r="C108" s="23" t="s">
        <v>208</v>
      </c>
      <c r="D108" s="72">
        <v>0.16583500000000001</v>
      </c>
      <c r="E108" s="66">
        <v>0.625</v>
      </c>
      <c r="F108" s="53">
        <v>446550</v>
      </c>
      <c r="G108" s="72">
        <v>38081170</v>
      </c>
      <c r="H108" s="72">
        <f>Tabelle2[[#This Row],[Bevölkerung]]/1000</f>
        <v>38081.17</v>
      </c>
      <c r="I108" s="72"/>
      <c r="J108" s="53"/>
      <c r="K108" s="53">
        <f>G108*EXP(5.043121+0.031911*LN(D108/G108)+0.058886*LN(F108)-0.043159*LN(E108))</f>
        <v>7008237496.6149397</v>
      </c>
      <c r="L108" s="53">
        <f>K108-J108</f>
        <v>7008237496.6149397</v>
      </c>
      <c r="M108" s="53"/>
      <c r="N108" s="53"/>
      <c r="O108" s="53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3"/>
      <c r="AA108" s="53"/>
      <c r="AB108" s="53"/>
      <c r="AC108" s="53"/>
      <c r="AD108" s="54"/>
      <c r="AE108" s="54"/>
      <c r="AF108" s="54"/>
      <c r="AG108" s="54"/>
      <c r="AH108" s="54"/>
      <c r="AI108" s="54"/>
      <c r="AJ108" s="53"/>
      <c r="AK108" s="53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3"/>
      <c r="BB108" s="53"/>
      <c r="BC108" s="54"/>
      <c r="BD108" s="54"/>
      <c r="BE108" s="74"/>
    </row>
    <row r="109" spans="1:57" hidden="1" x14ac:dyDescent="0.3">
      <c r="B109" s="2" t="s">
        <v>209</v>
      </c>
      <c r="C109" s="3" t="s">
        <v>210</v>
      </c>
      <c r="D109" s="72">
        <v>2.9699999999999997E-7</v>
      </c>
      <c r="E109" s="66">
        <v>0.77</v>
      </c>
      <c r="F109" s="53">
        <v>180</v>
      </c>
      <c r="G109" s="72">
        <v>37550</v>
      </c>
      <c r="H109" s="72">
        <f>Tabelle2[[#This Row],[Bevölkerung]]/1000</f>
        <v>37.549999999999997</v>
      </c>
      <c r="I109" s="72"/>
      <c r="J109" s="53"/>
      <c r="K109" s="53">
        <f>G109*EXP(5.043121+0.031911*LN(D109/G109)+0.058886*LN(F109)-0.043159*LN(E109))</f>
        <v>3533794.0889585512</v>
      </c>
      <c r="L109" s="53">
        <f>K109-J109</f>
        <v>3533794.0889585512</v>
      </c>
      <c r="M109" s="53"/>
      <c r="N109" s="53"/>
      <c r="O109" s="53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3"/>
      <c r="AA109" s="53"/>
      <c r="AB109" s="53"/>
      <c r="AC109" s="53"/>
      <c r="AD109" s="54"/>
      <c r="AE109" s="54"/>
      <c r="AF109" s="54"/>
      <c r="AG109" s="54"/>
      <c r="AH109" s="54"/>
      <c r="AI109" s="54"/>
      <c r="AJ109" s="53"/>
      <c r="AK109" s="53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3"/>
      <c r="BB109" s="53"/>
      <c r="BC109" s="54"/>
      <c r="BD109" s="54"/>
      <c r="BE109" s="74"/>
    </row>
    <row r="110" spans="1:57" hidden="1" x14ac:dyDescent="0.3">
      <c r="B110" s="2" t="s">
        <v>211</v>
      </c>
      <c r="C110" s="3" t="s">
        <v>212</v>
      </c>
      <c r="D110" s="72">
        <v>1.1469999999999999E-2</v>
      </c>
      <c r="E110" s="66">
        <v>0.53700000000000003</v>
      </c>
      <c r="F110" s="53">
        <v>1030700</v>
      </c>
      <c r="G110" s="72">
        <v>5169400</v>
      </c>
      <c r="H110" s="72">
        <f>Tabelle2[[#This Row],[Bevölkerung]]/1000</f>
        <v>5169.3999999999996</v>
      </c>
      <c r="I110" s="72"/>
      <c r="J110" s="53"/>
      <c r="K110" s="53">
        <f>G110*EXP(5.043121+0.031911*LN(D110/G110)+0.058886*LN(F110)-0.043159*LN(E110))</f>
        <v>984530664.45987952</v>
      </c>
      <c r="L110" s="53">
        <f>K110-J110</f>
        <v>984530664.45987952</v>
      </c>
      <c r="M110" s="53"/>
      <c r="N110" s="53"/>
      <c r="O110" s="53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3"/>
      <c r="AA110" s="53"/>
      <c r="AB110" s="53"/>
      <c r="AC110" s="53"/>
      <c r="AD110" s="54"/>
      <c r="AE110" s="54"/>
      <c r="AF110" s="54"/>
      <c r="AG110" s="54"/>
      <c r="AH110" s="54"/>
      <c r="AI110" s="54"/>
      <c r="AJ110" s="53"/>
      <c r="AK110" s="53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3"/>
      <c r="BB110" s="53"/>
      <c r="BC110" s="54"/>
      <c r="BD110" s="54"/>
      <c r="BE110" s="74"/>
    </row>
    <row r="111" spans="1:57" x14ac:dyDescent="0.3">
      <c r="A111" t="s">
        <v>589</v>
      </c>
      <c r="B111" s="17" t="s">
        <v>213</v>
      </c>
      <c r="C111" s="18" t="s">
        <v>214</v>
      </c>
      <c r="D111" s="72">
        <v>15.494</v>
      </c>
      <c r="E111" s="66">
        <v>0.40799999999999997</v>
      </c>
      <c r="F111" s="53">
        <v>2010</v>
      </c>
      <c r="G111" s="72">
        <v>1259510</v>
      </c>
      <c r="H111" s="72">
        <f>Tabelle2[[#This Row],[Bevölkerung]]/1000</f>
        <v>1259.51</v>
      </c>
      <c r="I111" s="72">
        <v>5.38</v>
      </c>
      <c r="J111" s="53">
        <v>329000</v>
      </c>
      <c r="K111" s="53">
        <f>G111*EXP(5.043121+0.031911*LN(D111/G111)+0.058886*LN(F111)-0.043159*LN(E111))</f>
        <v>221326052.47347358</v>
      </c>
      <c r="L111" s="53">
        <f>K111-J111</f>
        <v>220997052.47347358</v>
      </c>
      <c r="M111" s="53"/>
      <c r="N111" s="53">
        <v>354062</v>
      </c>
      <c r="O111" s="53"/>
      <c r="P111" s="54"/>
      <c r="Q111" s="54"/>
      <c r="R111" s="54"/>
      <c r="S111" s="54"/>
      <c r="T111" s="54"/>
      <c r="U111" s="54"/>
      <c r="V111" s="54"/>
      <c r="W111" s="54"/>
      <c r="X111" s="54">
        <v>411700</v>
      </c>
      <c r="Y111" s="54"/>
      <c r="Z111" s="53"/>
      <c r="AA111" s="53"/>
      <c r="AB111" s="53"/>
      <c r="AC111" s="53"/>
      <c r="AD111" s="54"/>
      <c r="AE111" s="54"/>
      <c r="AF111" s="54"/>
      <c r="AG111" s="54"/>
      <c r="AH111" s="54"/>
      <c r="AI111" s="54"/>
      <c r="AJ111" s="53"/>
      <c r="AK111" s="53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3"/>
      <c r="BB111" s="53"/>
      <c r="BC111" s="54"/>
      <c r="BD111" s="54"/>
      <c r="BE111" s="74"/>
    </row>
    <row r="112" spans="1:57" hidden="1" x14ac:dyDescent="0.3">
      <c r="B112" s="2" t="s">
        <v>215</v>
      </c>
      <c r="C112" s="3" t="s">
        <v>216</v>
      </c>
      <c r="D112" s="72">
        <v>1.7885000000000002E-2</v>
      </c>
      <c r="E112" s="66">
        <v>0.57999999999999996</v>
      </c>
      <c r="F112" s="53">
        <v>25710</v>
      </c>
      <c r="G112" s="72">
        <v>1792180</v>
      </c>
      <c r="H112" s="72">
        <f>Tabelle2[[#This Row],[Bevölkerung]]/1000</f>
        <v>1792.18</v>
      </c>
      <c r="I112" s="72"/>
      <c r="J112" s="53"/>
      <c r="K112" s="53">
        <f>G112*EXP(5.043121+0.031911*LN(D112/G112)+0.058886*LN(F112)-0.043159*LN(E112))</f>
        <v>287189292.72215003</v>
      </c>
      <c r="L112" s="53">
        <f>K112-J112</f>
        <v>287189292.72215003</v>
      </c>
      <c r="M112" s="53"/>
      <c r="N112" s="53">
        <v>531987</v>
      </c>
      <c r="O112" s="53"/>
      <c r="P112" s="54"/>
      <c r="Q112" s="54"/>
      <c r="R112" s="54"/>
      <c r="S112" s="54"/>
      <c r="T112" s="54"/>
      <c r="U112" s="54"/>
      <c r="V112" s="54"/>
      <c r="W112" s="54"/>
      <c r="X112" s="54">
        <v>839174</v>
      </c>
      <c r="Y112" s="54">
        <v>83062799</v>
      </c>
      <c r="Z112" s="53"/>
      <c r="AA112" s="53"/>
      <c r="AB112" s="53"/>
      <c r="AC112" s="53"/>
      <c r="AD112" s="54"/>
      <c r="AE112" s="54"/>
      <c r="AF112" s="54"/>
      <c r="AG112" s="54"/>
      <c r="AH112" s="54"/>
      <c r="AI112" s="54"/>
      <c r="AJ112" s="53"/>
      <c r="AK112" s="53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3"/>
      <c r="BB112" s="53"/>
      <c r="BC112" s="54"/>
      <c r="BD112" s="54"/>
      <c r="BE112" s="74"/>
    </row>
    <row r="113" spans="1:57" hidden="1" x14ac:dyDescent="0.3">
      <c r="B113" s="19" t="s">
        <v>217</v>
      </c>
      <c r="C113" s="20" t="s">
        <v>218</v>
      </c>
      <c r="D113" s="72">
        <v>1.6926400000000001</v>
      </c>
      <c r="E113" s="66">
        <v>0.80200000000000005</v>
      </c>
      <c r="F113" s="53">
        <v>1957194</v>
      </c>
      <c r="G113" s="72">
        <v>130861010</v>
      </c>
      <c r="H113" s="72">
        <f>Tabelle2[[#This Row],[Bevölkerung]]/1000</f>
        <v>130861.01</v>
      </c>
      <c r="I113" s="72"/>
      <c r="J113" s="53"/>
      <c r="K113" s="53">
        <f>G113*EXP(5.043121+0.031911*LN(D113/G113)+0.058886*LN(F113)-0.043159*LN(E113))</f>
        <v>26909955098.52549</v>
      </c>
      <c r="L113" s="53">
        <f>K113-J113</f>
        <v>26909955098.52549</v>
      </c>
      <c r="M113" s="53"/>
      <c r="N113" s="53"/>
      <c r="O113" s="53"/>
      <c r="P113" s="54"/>
      <c r="Q113" s="54"/>
      <c r="R113" s="54"/>
      <c r="S113" s="54"/>
      <c r="T113" s="54"/>
      <c r="U113" s="54"/>
      <c r="V113" s="54"/>
      <c r="W113" s="54"/>
      <c r="X113" s="54">
        <v>35219141</v>
      </c>
      <c r="Y113" s="54"/>
      <c r="Z113" s="53"/>
      <c r="AA113" s="53"/>
      <c r="AB113" s="53"/>
      <c r="AC113" s="53"/>
      <c r="AD113" s="54"/>
      <c r="AE113" s="54"/>
      <c r="AF113" s="54"/>
      <c r="AG113" s="54"/>
      <c r="AH113" s="54"/>
      <c r="AI113" s="54"/>
      <c r="AJ113" s="53"/>
      <c r="AK113" s="53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3"/>
      <c r="BB113" s="53"/>
      <c r="BC113" s="54"/>
      <c r="BD113" s="54"/>
      <c r="BE113" s="74"/>
    </row>
    <row r="114" spans="1:57" hidden="1" x14ac:dyDescent="0.3">
      <c r="B114" s="2" t="s">
        <v>219</v>
      </c>
      <c r="C114" s="3" t="s">
        <v>220</v>
      </c>
      <c r="D114" s="72">
        <v>5.0000000000000008E-7</v>
      </c>
      <c r="E114" s="66">
        <v>0.22700000000000001</v>
      </c>
      <c r="F114" s="53">
        <v>700</v>
      </c>
      <c r="G114" s="72">
        <v>113160</v>
      </c>
      <c r="H114" s="72">
        <f>Tabelle2[[#This Row],[Bevölkerung]]/1000</f>
        <v>113.16</v>
      </c>
      <c r="I114" s="72"/>
      <c r="J114" s="53"/>
      <c r="K114" s="53">
        <f>G114*EXP(5.043121+0.031911*LN(D114/G114)+0.058886*LN(F114)-0.043159*LN(E114))</f>
        <v>11936629.672086144</v>
      </c>
      <c r="L114" s="53">
        <f>K114-J114</f>
        <v>11936629.672086144</v>
      </c>
      <c r="M114" s="53"/>
      <c r="N114" s="53"/>
      <c r="O114" s="53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3"/>
      <c r="AA114" s="53"/>
      <c r="AB114" s="53"/>
      <c r="AC114" s="53"/>
      <c r="AD114" s="54"/>
      <c r="AE114" s="54"/>
      <c r="AF114" s="54"/>
      <c r="AG114" s="54"/>
      <c r="AH114" s="54"/>
      <c r="AI114" s="54"/>
      <c r="AJ114" s="53"/>
      <c r="AK114" s="53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3"/>
      <c r="BB114" s="53"/>
      <c r="BC114" s="54"/>
      <c r="BD114" s="54"/>
      <c r="BE114" s="74"/>
    </row>
    <row r="115" spans="1:57" hidden="1" x14ac:dyDescent="0.3">
      <c r="B115" s="2" t="s">
        <v>221</v>
      </c>
      <c r="C115" s="3" t="s">
        <v>222</v>
      </c>
      <c r="D115" s="72">
        <v>1.9462E-2</v>
      </c>
      <c r="E115" s="66">
        <v>0.42599999999999999</v>
      </c>
      <c r="F115" s="53">
        <v>33850</v>
      </c>
      <c r="G115" s="72">
        <v>2389280</v>
      </c>
      <c r="H115" s="72">
        <f>Tabelle2[[#This Row],[Bevölkerung]]/1000</f>
        <v>2389.2800000000002</v>
      </c>
      <c r="I115" s="72"/>
      <c r="J115" s="53"/>
      <c r="K115" s="53">
        <f>G115*EXP(5.043121+0.031911*LN(D115/G115)+0.058886*LN(F115)-0.043159*LN(E115))</f>
        <v>391794156.46948844</v>
      </c>
      <c r="L115" s="53">
        <f>K115-J115</f>
        <v>391794156.46948844</v>
      </c>
      <c r="M115" s="53"/>
      <c r="N115" s="53">
        <v>996965</v>
      </c>
      <c r="O115" s="53"/>
      <c r="P115" s="54"/>
      <c r="Q115" s="54"/>
      <c r="R115" s="54"/>
      <c r="S115" s="54"/>
      <c r="T115" s="54"/>
      <c r="U115" s="54"/>
      <c r="V115" s="54"/>
      <c r="W115" s="54"/>
      <c r="X115" s="54">
        <v>1236575</v>
      </c>
      <c r="Y115" s="54"/>
      <c r="Z115" s="53"/>
      <c r="AA115" s="53"/>
      <c r="AB115" s="53"/>
      <c r="AC115" s="53"/>
      <c r="AD115" s="54"/>
      <c r="AE115" s="54"/>
      <c r="AF115" s="54"/>
      <c r="AG115" s="54"/>
      <c r="AH115" s="54"/>
      <c r="AI115" s="54"/>
      <c r="AJ115" s="53"/>
      <c r="AK115" s="53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3"/>
      <c r="BB115" s="53"/>
      <c r="BC115" s="54"/>
      <c r="BD115" s="54"/>
      <c r="BE115" s="74"/>
    </row>
    <row r="116" spans="1:57" hidden="1" x14ac:dyDescent="0.3">
      <c r="B116" s="2" t="s">
        <v>223</v>
      </c>
      <c r="C116" s="3" t="s">
        <v>224</v>
      </c>
      <c r="D116" s="72">
        <v>0.01</v>
      </c>
      <c r="E116" s="66">
        <v>1</v>
      </c>
      <c r="F116" s="53">
        <v>75</v>
      </c>
      <c r="G116" s="72">
        <v>38630</v>
      </c>
      <c r="H116" s="72">
        <f>Tabelle2[[#This Row],[Bevölkerung]]/1000</f>
        <v>38.630000000000003</v>
      </c>
      <c r="I116" s="72"/>
      <c r="J116" s="53"/>
      <c r="K116" s="53">
        <f>G116*EXP(5.043121+0.031911*LN(D116/G116)+0.058886*LN(F116)-0.043159*LN(E116))</f>
        <v>4757117.0033263266</v>
      </c>
      <c r="L116" s="53">
        <f>K116-J116</f>
        <v>4757117.0033263266</v>
      </c>
      <c r="M116" s="53"/>
      <c r="N116" s="53"/>
      <c r="O116" s="53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3"/>
      <c r="AA116" s="53"/>
      <c r="AB116" s="53"/>
      <c r="AC116" s="53"/>
      <c r="AD116" s="54"/>
      <c r="AE116" s="54"/>
      <c r="AF116" s="54"/>
      <c r="AG116" s="54"/>
      <c r="AH116" s="54"/>
      <c r="AI116" s="54"/>
      <c r="AJ116" s="53"/>
      <c r="AK116" s="53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3"/>
      <c r="BB116" s="53"/>
      <c r="BC116" s="54"/>
      <c r="BD116" s="54"/>
      <c r="BE116" s="74"/>
    </row>
    <row r="117" spans="1:57" hidden="1" x14ac:dyDescent="0.3">
      <c r="B117" s="4" t="s">
        <v>225</v>
      </c>
      <c r="C117" s="5" t="s">
        <v>226</v>
      </c>
      <c r="D117" s="72">
        <v>2.5804000000000001E-2</v>
      </c>
      <c r="E117" s="66">
        <v>0.68400000000000005</v>
      </c>
      <c r="F117" s="53">
        <v>1564116</v>
      </c>
      <c r="G117" s="72">
        <v>3524790</v>
      </c>
      <c r="H117" s="72">
        <f>Tabelle2[[#This Row],[Bevölkerung]]/1000</f>
        <v>3524.79</v>
      </c>
      <c r="I117" s="72"/>
      <c r="J117" s="53"/>
      <c r="K117" s="53">
        <f>G117*EXP(5.043121+0.031911*LN(D117/G117)+0.058886*LN(F117)-0.043159*LN(E117))</f>
        <v>707289451.41215599</v>
      </c>
      <c r="L117" s="53">
        <f>K117-J117</f>
        <v>707289451.41215599</v>
      </c>
      <c r="M117" s="53"/>
      <c r="N117" s="53"/>
      <c r="O117" s="53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3"/>
      <c r="AA117" s="53"/>
      <c r="AB117" s="53"/>
      <c r="AC117" s="53"/>
      <c r="AD117" s="54"/>
      <c r="AE117" s="54"/>
      <c r="AF117" s="54"/>
      <c r="AG117" s="54"/>
      <c r="AH117" s="54"/>
      <c r="AI117" s="54"/>
      <c r="AJ117" s="53"/>
      <c r="AK117" s="53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3"/>
      <c r="BB117" s="53"/>
      <c r="BC117" s="54"/>
      <c r="BD117" s="54"/>
      <c r="BE117" s="74"/>
    </row>
    <row r="118" spans="1:57" hidden="1" x14ac:dyDescent="0.3">
      <c r="B118" s="4" t="s">
        <v>227</v>
      </c>
      <c r="C118" s="5" t="s">
        <v>228</v>
      </c>
      <c r="D118" s="72">
        <v>8.5619999999999984E-3</v>
      </c>
      <c r="E118" s="66">
        <v>0.66800000000000004</v>
      </c>
      <c r="F118" s="53">
        <v>13888</v>
      </c>
      <c r="G118" s="72">
        <v>623830</v>
      </c>
      <c r="H118" s="72">
        <f>Tabelle2[[#This Row],[Bevölkerung]]/1000</f>
        <v>623.83000000000004</v>
      </c>
      <c r="I118" s="72"/>
      <c r="J118" s="53"/>
      <c r="K118" s="53">
        <f>G118*EXP(5.043121+0.031911*LN(D118/G118)+0.058886*LN(F118)-0.043159*LN(E118))</f>
        <v>96799225.206755921</v>
      </c>
      <c r="L118" s="53">
        <f>K118-J118</f>
        <v>96799225.206755921</v>
      </c>
      <c r="M118" s="53"/>
      <c r="N118" s="53"/>
      <c r="O118" s="53"/>
      <c r="P118" s="54"/>
      <c r="Q118" s="54"/>
      <c r="R118" s="54"/>
      <c r="S118" s="54"/>
      <c r="T118" s="54"/>
      <c r="U118" s="54"/>
      <c r="V118" s="54"/>
      <c r="W118" s="54"/>
      <c r="X118" s="54">
        <v>247000</v>
      </c>
      <c r="Y118" s="54">
        <v>17673000</v>
      </c>
      <c r="Z118" s="53"/>
      <c r="AA118" s="53"/>
      <c r="AB118" s="53"/>
      <c r="AC118" s="53"/>
      <c r="AD118" s="54"/>
      <c r="AE118" s="54"/>
      <c r="AF118" s="54"/>
      <c r="AG118" s="54"/>
      <c r="AH118" s="54"/>
      <c r="AI118" s="54"/>
      <c r="AJ118" s="53"/>
      <c r="AK118" s="53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3"/>
      <c r="BB118" s="53"/>
      <c r="BC118" s="54"/>
      <c r="BD118" s="54"/>
      <c r="BE118" s="74"/>
    </row>
    <row r="119" spans="1:57" hidden="1" x14ac:dyDescent="0.3">
      <c r="B119" s="24" t="s">
        <v>229</v>
      </c>
      <c r="C119" s="25" t="s">
        <v>230</v>
      </c>
      <c r="D119" s="72">
        <v>2.3771E-2</v>
      </c>
      <c r="E119" s="66">
        <v>0.36</v>
      </c>
      <c r="F119" s="53">
        <v>799380</v>
      </c>
      <c r="G119" s="72">
        <v>34631770</v>
      </c>
      <c r="H119" s="72">
        <f>Tabelle2[[#This Row],[Bevölkerung]]/1000</f>
        <v>34631.769999999997</v>
      </c>
      <c r="I119" s="72"/>
      <c r="J119" s="53"/>
      <c r="K119" s="53">
        <f>G119*EXP(5.043121+0.031911*LN(D119/G119)+0.058886*LN(F119)-0.043159*LN(E119))</f>
        <v>6367944267.3728313</v>
      </c>
      <c r="L119" s="53">
        <f>K119-J119</f>
        <v>6367944267.3728313</v>
      </c>
      <c r="M119" s="53"/>
      <c r="N119" s="53"/>
      <c r="O119" s="53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3"/>
      <c r="AA119" s="53"/>
      <c r="AB119" s="53"/>
      <c r="AC119" s="53"/>
      <c r="AD119" s="54"/>
      <c r="AE119" s="54"/>
      <c r="AF119" s="54"/>
      <c r="AG119" s="54"/>
      <c r="AH119" s="54"/>
      <c r="AI119" s="54"/>
      <c r="AJ119" s="53"/>
      <c r="AK119" s="53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3"/>
      <c r="BB119" s="53"/>
      <c r="BC119" s="54"/>
      <c r="BD119" s="54"/>
      <c r="BE119" s="74"/>
    </row>
    <row r="120" spans="1:57" hidden="1" x14ac:dyDescent="0.3">
      <c r="B120" s="2" t="s">
        <v>231</v>
      </c>
      <c r="C120" s="3" t="s">
        <v>232</v>
      </c>
      <c r="D120" s="72">
        <v>6.4944000000000002E-2</v>
      </c>
      <c r="E120" s="66">
        <v>0.30599999999999999</v>
      </c>
      <c r="F120" s="53">
        <v>676590</v>
      </c>
      <c r="G120" s="72">
        <v>54500090</v>
      </c>
      <c r="H120" s="72">
        <f>Tabelle2[[#This Row],[Bevölkerung]]/1000</f>
        <v>54500.09</v>
      </c>
      <c r="I120" s="72"/>
      <c r="J120" s="53"/>
      <c r="K120" s="53">
        <f>G120*EXP(5.043121+0.031911*LN(D120/G120)+0.058886*LN(F120)-0.043159*LN(E120))</f>
        <v>10170631129.425886</v>
      </c>
      <c r="L120" s="53">
        <f>K120-J120</f>
        <v>10170631129.425886</v>
      </c>
      <c r="M120" s="53"/>
      <c r="N120" s="53"/>
      <c r="O120" s="53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3"/>
      <c r="AA120" s="53"/>
      <c r="AB120" s="53"/>
      <c r="AC120" s="53"/>
      <c r="AD120" s="54"/>
      <c r="AE120" s="54"/>
      <c r="AF120" s="54"/>
      <c r="AG120" s="54"/>
      <c r="AH120" s="54"/>
      <c r="AI120" s="54"/>
      <c r="AJ120" s="53"/>
      <c r="AK120" s="53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3"/>
      <c r="BB120" s="53"/>
      <c r="BC120" s="54"/>
      <c r="BD120" s="54"/>
      <c r="BE120" s="74"/>
    </row>
    <row r="121" spans="1:57" hidden="1" x14ac:dyDescent="0.3">
      <c r="B121" s="4" t="s">
        <v>233</v>
      </c>
      <c r="C121" s="5" t="s">
        <v>234</v>
      </c>
      <c r="D121" s="72">
        <v>1.4214000000000001E-2</v>
      </c>
      <c r="E121" s="66">
        <v>0.5</v>
      </c>
      <c r="F121" s="53">
        <v>824290</v>
      </c>
      <c r="G121" s="72">
        <v>3030130</v>
      </c>
      <c r="H121" s="72">
        <f>Tabelle2[[#This Row],[Bevölkerung]]/1000</f>
        <v>3030.13</v>
      </c>
      <c r="I121" s="72"/>
      <c r="J121" s="53"/>
      <c r="K121" s="53">
        <f>G121*EXP(5.043121+0.031911*LN(D121/G121)+0.058886*LN(F121)-0.043159*LN(E121))</f>
        <v>585125122.7791661</v>
      </c>
      <c r="L121" s="53">
        <f>K121-J121</f>
        <v>585125122.7791661</v>
      </c>
      <c r="M121" s="53"/>
      <c r="N121" s="53"/>
      <c r="O121" s="53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3"/>
      <c r="AA121" s="53"/>
      <c r="AB121" s="53"/>
      <c r="AC121" s="53"/>
      <c r="AD121" s="54"/>
      <c r="AE121" s="54"/>
      <c r="AF121" s="54"/>
      <c r="AG121" s="54"/>
      <c r="AH121" s="54"/>
      <c r="AI121" s="54"/>
      <c r="AJ121" s="53"/>
      <c r="AK121" s="53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3"/>
      <c r="BB121" s="53"/>
      <c r="BC121" s="54"/>
      <c r="BD121" s="54"/>
      <c r="BE121" s="74"/>
    </row>
    <row r="122" spans="1:57" hidden="1" x14ac:dyDescent="0.3">
      <c r="B122" s="2" t="s">
        <v>235</v>
      </c>
      <c r="C122" s="3" t="s">
        <v>236</v>
      </c>
      <c r="D122" s="72">
        <v>1.6900000000000004E-7</v>
      </c>
      <c r="E122" s="66">
        <v>1</v>
      </c>
      <c r="F122" s="53">
        <v>20</v>
      </c>
      <c r="G122" s="72">
        <v>11950</v>
      </c>
      <c r="H122" s="72">
        <f>Tabelle2[[#This Row],[Bevölkerung]]/1000</f>
        <v>11.95</v>
      </c>
      <c r="I122" s="72"/>
      <c r="J122" s="53"/>
      <c r="K122" s="53">
        <f>G122*EXP(5.043121+0.031911*LN(D122/G122)+0.058886*LN(F122)-0.043159*LN(E122))</f>
        <v>995318.74866578635</v>
      </c>
      <c r="L122" s="53">
        <f>K122-J122</f>
        <v>995318.74866578635</v>
      </c>
      <c r="M122" s="53"/>
      <c r="N122" s="53"/>
      <c r="O122" s="53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3"/>
      <c r="AA122" s="53"/>
      <c r="AB122" s="53"/>
      <c r="AC122" s="53"/>
      <c r="AD122" s="54"/>
      <c r="AE122" s="54"/>
      <c r="AF122" s="54"/>
      <c r="AG122" s="54"/>
      <c r="AH122" s="54"/>
      <c r="AI122" s="54"/>
      <c r="AJ122" s="53"/>
      <c r="AK122" s="53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3"/>
      <c r="BB122" s="53"/>
      <c r="BC122" s="54"/>
      <c r="BD122" s="54"/>
      <c r="BE122" s="74"/>
    </row>
    <row r="123" spans="1:57" hidden="1" x14ac:dyDescent="0.3">
      <c r="B123" s="2" t="s">
        <v>237</v>
      </c>
      <c r="C123" s="3" t="s">
        <v>238</v>
      </c>
      <c r="D123" s="72">
        <v>4.6079999999999996E-2</v>
      </c>
      <c r="E123" s="66">
        <v>0.19700000000000001</v>
      </c>
      <c r="F123" s="53">
        <v>147180</v>
      </c>
      <c r="G123" s="72">
        <v>29651050</v>
      </c>
      <c r="H123" s="72">
        <f>Tabelle2[[#This Row],[Bevölkerung]]/1000</f>
        <v>29651.05</v>
      </c>
      <c r="I123" s="72"/>
      <c r="J123" s="53"/>
      <c r="K123" s="53">
        <f>G123*EXP(5.043121+0.031911*LN(D123/G123)+0.058886*LN(F123)-0.043159*LN(E123))</f>
        <v>5198940547.3710842</v>
      </c>
      <c r="L123" s="53">
        <f>K123-J123</f>
        <v>5198940547.3710842</v>
      </c>
      <c r="M123" s="53"/>
      <c r="N123" s="53"/>
      <c r="O123" s="53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3"/>
      <c r="AA123" s="53"/>
      <c r="AB123" s="53"/>
      <c r="AC123" s="53"/>
      <c r="AD123" s="54"/>
      <c r="AE123" s="54"/>
      <c r="AF123" s="54"/>
      <c r="AG123" s="54"/>
      <c r="AH123" s="54"/>
      <c r="AI123" s="54"/>
      <c r="AJ123" s="53"/>
      <c r="AK123" s="53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3"/>
      <c r="BB123" s="53"/>
      <c r="BC123" s="54"/>
      <c r="BD123" s="54"/>
      <c r="BE123" s="74"/>
    </row>
    <row r="124" spans="1:57" hidden="1" x14ac:dyDescent="0.3">
      <c r="B124" s="11" t="s">
        <v>239</v>
      </c>
      <c r="C124" s="12" t="s">
        <v>240</v>
      </c>
      <c r="D124" s="72">
        <v>0.248666</v>
      </c>
      <c r="E124" s="66">
        <v>0.86499999999999999</v>
      </c>
      <c r="F124" s="53">
        <v>267710</v>
      </c>
      <c r="G124" s="72">
        <v>5338500</v>
      </c>
      <c r="H124" s="72">
        <f>Tabelle2[[#This Row],[Bevölkerung]]/1000</f>
        <v>5338.5</v>
      </c>
      <c r="I124" s="72"/>
      <c r="J124" s="53"/>
      <c r="K124" s="53">
        <f>G124*EXP(5.043121+0.031911*LN(D124/G124)+0.058886*LN(F124)-0.043159*LN(E124))</f>
        <v>1013877505.520402</v>
      </c>
      <c r="L124" s="53">
        <f>K124-J124</f>
        <v>1013877505.520402</v>
      </c>
      <c r="M124" s="53"/>
      <c r="N124" s="53">
        <v>1804101</v>
      </c>
      <c r="O124" s="53"/>
      <c r="P124" s="54"/>
      <c r="Q124" s="54"/>
      <c r="R124" s="54"/>
      <c r="S124" s="54"/>
      <c r="T124" s="54"/>
      <c r="U124" s="54"/>
      <c r="V124" s="54"/>
      <c r="W124" s="54"/>
      <c r="X124" s="54">
        <v>2056578</v>
      </c>
      <c r="Y124" s="54"/>
      <c r="Z124" s="53"/>
      <c r="AA124" s="53"/>
      <c r="AB124" s="53"/>
      <c r="AC124" s="53"/>
      <c r="AD124" s="54"/>
      <c r="AE124" s="54"/>
      <c r="AF124" s="54"/>
      <c r="AG124" s="54"/>
      <c r="AH124" s="54"/>
      <c r="AI124" s="54"/>
      <c r="AJ124" s="53"/>
      <c r="AK124" s="53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3"/>
      <c r="BB124" s="53"/>
      <c r="BC124" s="54"/>
      <c r="BD124" s="54"/>
      <c r="BE124" s="74"/>
    </row>
    <row r="125" spans="1:57" hidden="1" x14ac:dyDescent="0.3">
      <c r="B125" s="2" t="s">
        <v>241</v>
      </c>
      <c r="C125" s="3" t="s">
        <v>242</v>
      </c>
      <c r="D125" s="72">
        <v>2.1155E-2</v>
      </c>
      <c r="E125" s="66">
        <v>0.58499999999999996</v>
      </c>
      <c r="F125" s="53">
        <v>130370</v>
      </c>
      <c r="G125" s="72">
        <v>6916140</v>
      </c>
      <c r="H125" s="72">
        <f>Tabelle2[[#This Row],[Bevölkerung]]/1000</f>
        <v>6916.14</v>
      </c>
      <c r="I125" s="72"/>
      <c r="J125" s="53"/>
      <c r="K125" s="53">
        <f>G125*EXP(5.043121+0.031911*LN(D125/G125)+0.058886*LN(F125)-0.043159*LN(E125))</f>
        <v>1173871157.6032131</v>
      </c>
      <c r="L125" s="53">
        <f>K125-J125</f>
        <v>1173871157.6032131</v>
      </c>
      <c r="M125" s="53"/>
      <c r="N125" s="53"/>
      <c r="O125" s="53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3"/>
      <c r="AA125" s="53"/>
      <c r="AB125" s="53"/>
      <c r="AC125" s="53"/>
      <c r="AD125" s="54"/>
      <c r="AE125" s="54"/>
      <c r="AF125" s="54"/>
      <c r="AG125" s="54"/>
      <c r="AH125" s="54"/>
      <c r="AI125" s="54"/>
      <c r="AJ125" s="53"/>
      <c r="AK125" s="53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3"/>
      <c r="BB125" s="53"/>
      <c r="BC125" s="54"/>
      <c r="BD125" s="54"/>
      <c r="BE125" s="74"/>
    </row>
    <row r="126" spans="1:57" x14ac:dyDescent="0.3">
      <c r="A126" t="s">
        <v>589</v>
      </c>
      <c r="B126" s="11" t="s">
        <v>243</v>
      </c>
      <c r="C126" s="12" t="s">
        <v>244</v>
      </c>
      <c r="D126" s="72">
        <v>1272.011</v>
      </c>
      <c r="E126" s="66">
        <v>0.91500000000000004</v>
      </c>
      <c r="F126" s="53">
        <v>41540</v>
      </c>
      <c r="G126" s="72">
        <v>17994240</v>
      </c>
      <c r="H126" s="72">
        <f>Tabelle2[[#This Row],[Bevölkerung]]/1000</f>
        <v>17994.240000000002</v>
      </c>
      <c r="I126" s="72">
        <v>2</v>
      </c>
      <c r="J126" s="53">
        <v>8218573</v>
      </c>
      <c r="K126" s="53">
        <f>G126*EXP(5.043121+0.031911*LN(D126/G126)+0.058886*LN(F126)-0.043159*LN(E126))</f>
        <v>3859313139.0428481</v>
      </c>
      <c r="L126" s="53">
        <f>K126-J126</f>
        <v>3851094566.0428481</v>
      </c>
      <c r="M126" s="53"/>
      <c r="N126" s="53"/>
      <c r="O126" s="53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3">
        <v>1199595</v>
      </c>
      <c r="AA126" s="53"/>
      <c r="AB126" s="53"/>
      <c r="AC126" s="53"/>
      <c r="AD126" s="54">
        <v>30000</v>
      </c>
      <c r="AE126" s="54">
        <v>40000000</v>
      </c>
      <c r="AF126" s="54"/>
      <c r="AG126" s="54"/>
      <c r="AH126" s="54"/>
      <c r="AI126" s="54"/>
      <c r="AJ126" s="53"/>
      <c r="AK126" s="53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3">
        <v>9506280</v>
      </c>
      <c r="BB126" s="53"/>
      <c r="BC126" s="54"/>
      <c r="BD126" s="54"/>
      <c r="BE126" s="74"/>
    </row>
    <row r="127" spans="1:57" hidden="1" x14ac:dyDescent="0.3">
      <c r="B127" s="2" t="s">
        <v>245</v>
      </c>
      <c r="C127" s="3" t="s">
        <v>246</v>
      </c>
      <c r="D127" s="72">
        <v>2.1873999999999998E-2</v>
      </c>
      <c r="E127" s="66">
        <v>0.16400000000000001</v>
      </c>
      <c r="F127" s="53">
        <v>1267000</v>
      </c>
      <c r="G127" s="72">
        <v>27032410</v>
      </c>
      <c r="H127" s="72">
        <f>Tabelle2[[#This Row],[Bevölkerung]]/1000</f>
        <v>27032.41</v>
      </c>
      <c r="I127" s="72"/>
      <c r="J127" s="53"/>
      <c r="K127" s="53">
        <f>G127*EXP(5.043121+0.031911*LN(D127/G127)+0.058886*LN(F127)-0.043159*LN(E127))</f>
        <v>5311358549.9788256</v>
      </c>
      <c r="L127" s="53">
        <f>K127-J127</f>
        <v>5311358549.9788256</v>
      </c>
      <c r="M127" s="53"/>
      <c r="N127" s="53"/>
      <c r="O127" s="53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3"/>
      <c r="AA127" s="53"/>
      <c r="AB127" s="53"/>
      <c r="AC127" s="53"/>
      <c r="AD127" s="54"/>
      <c r="AE127" s="54"/>
      <c r="AF127" s="54"/>
      <c r="AG127" s="54"/>
      <c r="AH127" s="54"/>
      <c r="AI127" s="54"/>
      <c r="AJ127" s="53"/>
      <c r="AK127" s="53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3"/>
      <c r="BB127" s="53"/>
      <c r="BC127" s="54"/>
      <c r="BD127" s="54"/>
      <c r="BE127" s="74"/>
    </row>
    <row r="128" spans="1:57" hidden="1" x14ac:dyDescent="0.3">
      <c r="B128" s="24" t="s">
        <v>247</v>
      </c>
      <c r="C128" s="25" t="s">
        <v>248</v>
      </c>
      <c r="D128" s="72">
        <v>0.18827099999999999</v>
      </c>
      <c r="E128" s="66">
        <v>0.503</v>
      </c>
      <c r="F128" s="53">
        <v>923770</v>
      </c>
      <c r="G128" s="72">
        <v>232679480</v>
      </c>
      <c r="H128" s="72">
        <f>Tabelle2[[#This Row],[Bevölkerung]]/1000</f>
        <v>232679.48</v>
      </c>
      <c r="I128" s="72"/>
      <c r="J128" s="53"/>
      <c r="K128" s="53">
        <f>G128*EXP(5.043121+0.031911*LN(D128/G128)+0.058886*LN(F128)-0.043159*LN(E128))</f>
        <v>42755493505.8582</v>
      </c>
      <c r="L128" s="53">
        <f>K128-J128</f>
        <v>42755493505.8582</v>
      </c>
      <c r="M128" s="53"/>
      <c r="N128" s="53"/>
      <c r="O128" s="53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3"/>
      <c r="AA128" s="53"/>
      <c r="AB128" s="53"/>
      <c r="AC128" s="53"/>
      <c r="AD128" s="54"/>
      <c r="AE128" s="54"/>
      <c r="AF128" s="54"/>
      <c r="AG128" s="54"/>
      <c r="AH128" s="54"/>
      <c r="AI128" s="54"/>
      <c r="AJ128" s="53"/>
      <c r="AK128" s="53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39"/>
      <c r="BB128" s="53"/>
      <c r="BC128" s="54"/>
      <c r="BD128" s="54"/>
      <c r="BE128" s="74"/>
    </row>
    <row r="129" spans="1:57" hidden="1" x14ac:dyDescent="0.3">
      <c r="B129" s="4" t="s">
        <v>249</v>
      </c>
      <c r="C129" s="5" t="s">
        <v>250</v>
      </c>
      <c r="D129" s="72" t="s">
        <v>593</v>
      </c>
      <c r="E129" s="66">
        <v>0.44800000000000001</v>
      </c>
      <c r="F129" s="53">
        <v>262</v>
      </c>
      <c r="G129" s="72">
        <v>1780</v>
      </c>
      <c r="H129" s="72">
        <f>Tabelle2[[#This Row],[Bevölkerung]]/1000</f>
        <v>1.78</v>
      </c>
      <c r="I129" s="72"/>
      <c r="J129" s="53"/>
      <c r="K129" s="53" t="e">
        <f>G129*EXP(5.043121+0.031911*LN(D129/G129)+0.058886*LN(F129)-0.043159*LN(E129))</f>
        <v>#VALUE!</v>
      </c>
      <c r="L129" s="53" t="e">
        <f>K129-J129</f>
        <v>#VALUE!</v>
      </c>
      <c r="M129" s="53"/>
      <c r="N129" s="53"/>
      <c r="O129" s="53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3"/>
      <c r="AA129" s="53"/>
      <c r="AB129" s="53"/>
      <c r="AC129" s="53"/>
      <c r="AD129" s="54"/>
      <c r="AE129" s="54"/>
      <c r="AF129" s="54"/>
      <c r="AG129" s="54"/>
      <c r="AH129" s="54"/>
      <c r="AI129" s="54"/>
      <c r="AJ129" s="53"/>
      <c r="AK129" s="53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3"/>
      <c r="BB129" s="53"/>
      <c r="BC129" s="54"/>
      <c r="BD129" s="54"/>
      <c r="BE129" s="74"/>
    </row>
    <row r="130" spans="1:57" x14ac:dyDescent="0.3">
      <c r="A130" t="s">
        <v>589</v>
      </c>
      <c r="B130" s="13" t="s">
        <v>251</v>
      </c>
      <c r="C130" s="14" t="s">
        <v>252</v>
      </c>
      <c r="D130" s="72">
        <v>504.27600000000001</v>
      </c>
      <c r="E130" s="66">
        <v>0.82199999999999995</v>
      </c>
      <c r="F130" s="53">
        <v>624500</v>
      </c>
      <c r="G130" s="72">
        <v>5572270</v>
      </c>
      <c r="H130" s="72">
        <f>Tabelle2[[#This Row],[Bevölkerung]]/1000</f>
        <v>5572.27</v>
      </c>
      <c r="I130" s="72">
        <v>2</v>
      </c>
      <c r="J130" s="53">
        <v>1604505</v>
      </c>
      <c r="K130" s="53">
        <f>G130*EXP(5.043121+0.031911*LN(D130/G130)+0.058886*LN(F130)-0.043159*LN(E130))</f>
        <v>1419560022.4849923</v>
      </c>
      <c r="L130" s="53">
        <f>K130-J130</f>
        <v>1417955517.4849923</v>
      </c>
      <c r="M130" s="53"/>
      <c r="N130" s="53"/>
      <c r="O130" s="53"/>
      <c r="P130" s="54">
        <v>1191500</v>
      </c>
      <c r="Q130" s="54"/>
      <c r="R130" s="54">
        <v>178441</v>
      </c>
      <c r="S130" s="54"/>
      <c r="T130" s="54">
        <v>183896</v>
      </c>
      <c r="U130" s="54"/>
      <c r="V130" s="54">
        <v>45087</v>
      </c>
      <c r="W130" s="54"/>
      <c r="X130" s="54"/>
      <c r="Y130" s="54"/>
      <c r="Z130" s="53">
        <v>2738537</v>
      </c>
      <c r="AA130" s="53"/>
      <c r="AB130" s="53"/>
      <c r="AC130" s="53"/>
      <c r="AD130" s="54">
        <v>38809</v>
      </c>
      <c r="AE130" s="54"/>
      <c r="AF130" s="54"/>
      <c r="AG130" s="54"/>
      <c r="AH130" s="54">
        <v>118367</v>
      </c>
      <c r="AI130" s="54"/>
      <c r="AJ130" s="53"/>
      <c r="AK130" s="53"/>
      <c r="AL130" s="54"/>
      <c r="AM130" s="54"/>
      <c r="AN130" s="54"/>
      <c r="AO130" s="54"/>
      <c r="AP130" s="54"/>
      <c r="AQ130" s="54">
        <v>5618</v>
      </c>
      <c r="AR130" s="54"/>
      <c r="AS130" s="54"/>
      <c r="AT130" s="54"/>
      <c r="AU130" s="54">
        <v>33510</v>
      </c>
      <c r="AV130" s="54"/>
      <c r="AW130" s="54"/>
      <c r="AX130" s="54"/>
      <c r="AY130" s="54"/>
      <c r="AZ130" s="54"/>
      <c r="BA130" s="53">
        <v>4343042</v>
      </c>
      <c r="BB130" s="53"/>
      <c r="BC130" s="54"/>
      <c r="BD130" s="54"/>
      <c r="BE130" s="74"/>
    </row>
    <row r="131" spans="1:57" x14ac:dyDescent="0.3">
      <c r="A131" t="s">
        <v>589</v>
      </c>
      <c r="B131" s="24" t="s">
        <v>253</v>
      </c>
      <c r="C131" s="25" t="s">
        <v>254</v>
      </c>
      <c r="D131" s="72">
        <v>104.351</v>
      </c>
      <c r="E131" s="66">
        <v>0.84499999999999997</v>
      </c>
      <c r="F131" s="53">
        <v>309500</v>
      </c>
      <c r="G131" s="72">
        <v>5281540</v>
      </c>
      <c r="H131" s="72">
        <f>Tabelle2[[#This Row],[Bevölkerung]]/1000</f>
        <v>5281.54</v>
      </c>
      <c r="I131" s="72">
        <v>6.5</v>
      </c>
      <c r="J131" s="53">
        <v>700439</v>
      </c>
      <c r="K131" s="53">
        <f>G131*EXP(5.043121+0.031911*LN(D131/G131)+0.058886*LN(F131)-0.043159*LN(E131))</f>
        <v>1228350374.3586411</v>
      </c>
      <c r="L131" s="53">
        <f>K131-J131</f>
        <v>1227649935.3586411</v>
      </c>
      <c r="M131" s="53"/>
      <c r="N131" s="53">
        <v>1104621</v>
      </c>
      <c r="O131" s="53"/>
      <c r="P131" s="54"/>
      <c r="Q131" s="54"/>
      <c r="R131" s="54"/>
      <c r="S131" s="54"/>
      <c r="T131" s="54"/>
      <c r="U131" s="54"/>
      <c r="V131" s="54"/>
      <c r="W131" s="54"/>
      <c r="X131" s="54">
        <v>1527247</v>
      </c>
      <c r="Y131" s="54"/>
      <c r="Z131" s="53"/>
      <c r="AA131" s="53"/>
      <c r="AB131" s="53">
        <v>115734</v>
      </c>
      <c r="AC131" s="53"/>
      <c r="AD131" s="54"/>
      <c r="AE131" s="54"/>
      <c r="AF131" s="54"/>
      <c r="AG131" s="54"/>
      <c r="AH131" s="54"/>
      <c r="AI131" s="54"/>
      <c r="AJ131" s="98"/>
      <c r="AK131" s="53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3">
        <v>870652</v>
      </c>
      <c r="BB131" s="53"/>
      <c r="BC131" s="54"/>
      <c r="BD131" s="54"/>
      <c r="BE131" s="74"/>
    </row>
    <row r="132" spans="1:57" x14ac:dyDescent="0.3">
      <c r="A132" t="s">
        <v>589</v>
      </c>
      <c r="B132" s="4" t="s">
        <v>255</v>
      </c>
      <c r="C132" s="5" t="s">
        <v>256</v>
      </c>
      <c r="D132" s="72">
        <v>534.30100000000004</v>
      </c>
      <c r="E132" s="66">
        <v>0.58299999999999996</v>
      </c>
      <c r="F132" s="53">
        <v>83879</v>
      </c>
      <c r="G132" s="72">
        <v>27204810</v>
      </c>
      <c r="H132" s="72">
        <f>Tabelle2[[#This Row],[Bevölkerung]]/1000</f>
        <v>27204.81</v>
      </c>
      <c r="I132" s="72">
        <v>2.2000000000000002</v>
      </c>
      <c r="J132" s="53">
        <v>2374777</v>
      </c>
      <c r="K132" s="53">
        <f>G132*EXP(5.043121+0.031911*LN(D132/G132)+0.058886*LN(F132)-0.043159*LN(E132))</f>
        <v>5952405023.8201027</v>
      </c>
      <c r="L132" s="53">
        <f>K132-J132</f>
        <v>5950030246.8201027</v>
      </c>
      <c r="M132" s="53">
        <v>517921000</v>
      </c>
      <c r="N132" s="53">
        <v>4015886</v>
      </c>
      <c r="O132" s="53"/>
      <c r="P132" s="54">
        <v>1530000</v>
      </c>
      <c r="Q132" s="54"/>
      <c r="R132" s="54">
        <v>293000</v>
      </c>
      <c r="S132" s="54"/>
      <c r="T132" s="54"/>
      <c r="U132" s="54"/>
      <c r="V132" s="54">
        <v>274000</v>
      </c>
      <c r="W132" s="54"/>
      <c r="X132" s="54">
        <v>4909410</v>
      </c>
      <c r="Y132" s="54"/>
      <c r="Z132" s="54">
        <v>276781</v>
      </c>
      <c r="AA132" s="54">
        <v>329227000</v>
      </c>
      <c r="AB132" s="54"/>
      <c r="AC132" s="54"/>
      <c r="AD132" s="54">
        <v>47279</v>
      </c>
      <c r="AE132" s="54"/>
      <c r="AF132" s="54">
        <v>43753</v>
      </c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>
        <v>44191</v>
      </c>
      <c r="AV132" s="54"/>
      <c r="AW132" s="54"/>
      <c r="AX132" s="54"/>
      <c r="AY132" s="54"/>
      <c r="AZ132" s="54"/>
      <c r="BA132" s="54"/>
      <c r="BB132" s="54"/>
      <c r="BC132" s="54"/>
      <c r="BD132" s="54"/>
      <c r="BE132" s="74"/>
    </row>
    <row r="133" spans="1:57" hidden="1" x14ac:dyDescent="0.3">
      <c r="B133" s="22" t="s">
        <v>257</v>
      </c>
      <c r="C133" s="23" t="s">
        <v>258</v>
      </c>
      <c r="D133" s="72">
        <v>0.37307799999999991</v>
      </c>
      <c r="E133" s="66">
        <v>0.36699999999999999</v>
      </c>
      <c r="F133" s="53">
        <v>796100</v>
      </c>
      <c r="G133" s="72">
        <v>251269160</v>
      </c>
      <c r="H133" s="72">
        <f>Tabelle2[[#This Row],[Bevölkerung]]/1000</f>
        <v>251269.16</v>
      </c>
      <c r="I133" s="72"/>
      <c r="J133" s="53"/>
      <c r="K133" s="53">
        <f>G133*EXP(5.043121+0.031911*LN(D133/G133)+0.058886*LN(F133)-0.043159*LN(E133))</f>
        <v>47303211120.962502</v>
      </c>
      <c r="L133" s="53">
        <f>K133-J133</f>
        <v>47303211120.962502</v>
      </c>
      <c r="M133" s="53"/>
      <c r="N133" s="53"/>
      <c r="O133" s="53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3"/>
      <c r="AA133" s="53"/>
      <c r="AB133" s="53"/>
      <c r="AC133" s="53"/>
      <c r="AD133" s="54"/>
      <c r="AE133" s="54"/>
      <c r="AF133" s="54"/>
      <c r="AG133" s="54"/>
      <c r="AH133" s="54"/>
      <c r="AI133" s="54"/>
      <c r="AJ133" s="53"/>
      <c r="AK133" s="53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3"/>
      <c r="BB133" s="53"/>
      <c r="BC133" s="54"/>
      <c r="BD133" s="54"/>
      <c r="BE133" s="74"/>
    </row>
    <row r="134" spans="1:57" hidden="1" x14ac:dyDescent="0.3">
      <c r="B134" s="2" t="s">
        <v>259</v>
      </c>
      <c r="C134" s="3" t="s">
        <v>260</v>
      </c>
      <c r="D134" s="72">
        <v>3.3299999999999998E-7</v>
      </c>
      <c r="E134" s="66">
        <v>0.79900000000000004</v>
      </c>
      <c r="F134" s="53">
        <v>460</v>
      </c>
      <c r="G134" s="72">
        <v>17700</v>
      </c>
      <c r="H134" s="72">
        <f>Tabelle2[[#This Row],[Bevölkerung]]/1000</f>
        <v>17.7</v>
      </c>
      <c r="I134" s="72"/>
      <c r="J134" s="53"/>
      <c r="K134" s="53">
        <f>G134*EXP(5.043121+0.031911*LN(D134/G134)+0.058886*LN(F134)-0.043159*LN(E134))</f>
        <v>1806823.2587970907</v>
      </c>
      <c r="L134" s="53">
        <f>K134-J134</f>
        <v>1806823.2587970907</v>
      </c>
      <c r="M134" s="53"/>
      <c r="N134" s="53"/>
      <c r="O134" s="53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3"/>
      <c r="AA134" s="53"/>
      <c r="AB134" s="53"/>
      <c r="AC134" s="53"/>
      <c r="AD134" s="54"/>
      <c r="AE134" s="54"/>
      <c r="AF134" s="54"/>
      <c r="AG134" s="54"/>
      <c r="AH134" s="54"/>
      <c r="AI134" s="54"/>
      <c r="AJ134" s="53"/>
      <c r="AK134" s="53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3"/>
      <c r="BB134" s="53"/>
      <c r="BC134" s="54"/>
      <c r="BD134" s="54"/>
      <c r="BE134" s="74"/>
    </row>
    <row r="135" spans="1:57" hidden="1" x14ac:dyDescent="0.3">
      <c r="B135" s="22" t="s">
        <v>261</v>
      </c>
      <c r="C135" s="23" t="s">
        <v>262</v>
      </c>
      <c r="D135" s="72">
        <v>9.1675000000000006E-2</v>
      </c>
      <c r="E135" s="66">
        <v>0.67700000000000005</v>
      </c>
      <c r="F135" s="53">
        <v>75320</v>
      </c>
      <c r="G135" s="72">
        <v>4515580</v>
      </c>
      <c r="H135" s="72">
        <f>Tabelle2[[#This Row],[Bevölkerung]]/1000</f>
        <v>4515.58</v>
      </c>
      <c r="I135" s="72"/>
      <c r="J135" s="53"/>
      <c r="K135" s="53">
        <f>G135*EXP(5.043121+0.031911*LN(D135/G135)+0.058886*LN(F135)-0.043159*LN(E135))</f>
        <v>783307621.51227665</v>
      </c>
      <c r="L135" s="53">
        <f>K135-J135</f>
        <v>783307621.51227665</v>
      </c>
      <c r="M135" s="53"/>
      <c r="N135" s="53"/>
      <c r="O135" s="53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3"/>
      <c r="AA135" s="53"/>
      <c r="AB135" s="53"/>
      <c r="AC135" s="53"/>
      <c r="AD135" s="54"/>
      <c r="AE135" s="54"/>
      <c r="AF135" s="54"/>
      <c r="AG135" s="54"/>
      <c r="AH135" s="54"/>
      <c r="AI135" s="54"/>
      <c r="AJ135" s="53"/>
      <c r="AK135" s="53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3"/>
      <c r="BB135" s="53"/>
      <c r="BC135" s="54"/>
      <c r="BD135" s="54"/>
      <c r="BE135" s="74"/>
    </row>
    <row r="136" spans="1:57" hidden="1" x14ac:dyDescent="0.3">
      <c r="B136" s="2" t="s">
        <v>263</v>
      </c>
      <c r="C136" s="3" t="s">
        <v>264</v>
      </c>
      <c r="D136" s="72">
        <v>3.2835000000000003E-2</v>
      </c>
      <c r="E136" s="66">
        <v>0.13200000000000001</v>
      </c>
      <c r="F136" s="53">
        <v>462840</v>
      </c>
      <c r="G136" s="72">
        <v>10576500</v>
      </c>
      <c r="H136" s="72">
        <f>Tabelle2[[#This Row],[Bevölkerung]]/1000</f>
        <v>10576.5</v>
      </c>
      <c r="I136" s="72"/>
      <c r="J136" s="53"/>
      <c r="K136" s="53">
        <f>G136*EXP(5.043121+0.031911*LN(D136/G136)+0.058886*LN(F136)-0.043159*LN(E136))</f>
        <v>2063537484.5966301</v>
      </c>
      <c r="L136" s="53">
        <f>K136-J136</f>
        <v>2063537484.5966301</v>
      </c>
      <c r="M136" s="53"/>
      <c r="N136" s="53"/>
      <c r="O136" s="53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3"/>
      <c r="AA136" s="53"/>
      <c r="AB136" s="53"/>
      <c r="AC136" s="53"/>
      <c r="AD136" s="54"/>
      <c r="AE136" s="54"/>
      <c r="AF136" s="54"/>
      <c r="AG136" s="54"/>
      <c r="AH136" s="54"/>
      <c r="AI136" s="54"/>
      <c r="AJ136" s="53"/>
      <c r="AK136" s="53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3"/>
      <c r="BB136" s="53"/>
      <c r="BC136" s="54"/>
      <c r="BD136" s="54"/>
      <c r="BE136" s="74"/>
    </row>
    <row r="137" spans="1:57" hidden="1" x14ac:dyDescent="0.3">
      <c r="B137" s="4" t="s">
        <v>265</v>
      </c>
      <c r="C137" s="5" t="s">
        <v>266</v>
      </c>
      <c r="D137" s="72">
        <v>4.5464999999999998E-2</v>
      </c>
      <c r="E137" s="66">
        <v>0.61599999999999999</v>
      </c>
      <c r="F137" s="53">
        <v>406752</v>
      </c>
      <c r="G137" s="72">
        <v>6929150</v>
      </c>
      <c r="H137" s="72">
        <f>Tabelle2[[#This Row],[Bevölkerung]]/1000</f>
        <v>6929.15</v>
      </c>
      <c r="I137" s="72"/>
      <c r="J137" s="53"/>
      <c r="K137" s="53">
        <f>G137*EXP(5.043121+0.031911*LN(D137/G137)+0.058886*LN(F137)-0.043159*LN(E137))</f>
        <v>1285713659.9243026</v>
      </c>
      <c r="L137" s="53">
        <f>K137-J137</f>
        <v>1285713659.9243026</v>
      </c>
      <c r="M137" s="53"/>
      <c r="N137" s="53"/>
      <c r="O137" s="53"/>
      <c r="P137" s="54"/>
      <c r="Q137" s="54"/>
      <c r="R137" s="54"/>
      <c r="S137" s="54"/>
      <c r="T137" s="54"/>
      <c r="U137" s="54"/>
      <c r="V137" s="54"/>
      <c r="W137" s="54"/>
      <c r="X137" s="54">
        <v>1749336</v>
      </c>
      <c r="Y137" s="54"/>
      <c r="Z137" s="53"/>
      <c r="AA137" s="53"/>
      <c r="AB137" s="53"/>
      <c r="AC137" s="53"/>
      <c r="AD137" s="54"/>
      <c r="AE137" s="54"/>
      <c r="AF137" s="54"/>
      <c r="AG137" s="54"/>
      <c r="AH137" s="54"/>
      <c r="AI137" s="54"/>
      <c r="AJ137" s="53"/>
      <c r="AK137" s="53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3"/>
      <c r="BB137" s="53"/>
      <c r="BC137" s="54"/>
      <c r="BD137" s="54"/>
      <c r="BE137" s="74"/>
    </row>
    <row r="138" spans="1:57" hidden="1" x14ac:dyDescent="0.3">
      <c r="B138" s="19" t="s">
        <v>267</v>
      </c>
      <c r="C138" s="20" t="s">
        <v>268</v>
      </c>
      <c r="D138" s="72">
        <v>0.30329299999999998</v>
      </c>
      <c r="E138" s="66">
        <v>0.77900000000000003</v>
      </c>
      <c r="F138" s="53">
        <v>1285216</v>
      </c>
      <c r="G138" s="72">
        <v>34217850</v>
      </c>
      <c r="H138" s="72">
        <f>Tabelle2[[#This Row],[Bevölkerung]]/1000</f>
        <v>34217.85</v>
      </c>
      <c r="I138" s="72"/>
      <c r="J138" s="53"/>
      <c r="K138" s="53">
        <f>G138*EXP(5.043121+0.031911*LN(D138/G138)+0.058886*LN(F138)-0.043159*LN(E138))</f>
        <v>6790579140.6002064</v>
      </c>
      <c r="L138" s="53">
        <f>K138-J138</f>
        <v>6790579140.6002064</v>
      </c>
      <c r="M138" s="53"/>
      <c r="N138" s="53">
        <v>9218299</v>
      </c>
      <c r="O138" s="53"/>
      <c r="P138" s="54"/>
      <c r="Q138" s="54"/>
      <c r="R138" s="54"/>
      <c r="S138" s="54"/>
      <c r="T138" s="54"/>
      <c r="U138" s="54"/>
      <c r="V138" s="54"/>
      <c r="W138" s="54"/>
      <c r="X138" s="54">
        <v>10102849</v>
      </c>
      <c r="Y138" s="54"/>
      <c r="Z138" s="53"/>
      <c r="AA138" s="53"/>
      <c r="AB138" s="53"/>
      <c r="AC138" s="53"/>
      <c r="AD138" s="54"/>
      <c r="AE138" s="54"/>
      <c r="AF138" s="54"/>
      <c r="AG138" s="54"/>
      <c r="AH138" s="54"/>
      <c r="AI138" s="54"/>
      <c r="AJ138" s="53"/>
      <c r="AK138" s="53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3"/>
      <c r="BB138" s="53"/>
      <c r="BC138" s="54"/>
      <c r="BD138" s="54"/>
      <c r="BE138" s="74"/>
    </row>
    <row r="139" spans="1:57" hidden="1" x14ac:dyDescent="0.3">
      <c r="B139" s="17" t="s">
        <v>269</v>
      </c>
      <c r="C139" s="18" t="s">
        <v>270</v>
      </c>
      <c r="D139" s="72">
        <v>0.49749499999999997</v>
      </c>
      <c r="E139" s="66">
        <v>0.46899999999999997</v>
      </c>
      <c r="F139" s="53">
        <v>300000</v>
      </c>
      <c r="G139" s="72">
        <v>115843670</v>
      </c>
      <c r="H139" s="72">
        <f>Tabelle2[[#This Row],[Bevölkerung]]/1000</f>
        <v>115843.67</v>
      </c>
      <c r="I139" s="72"/>
      <c r="J139" s="53"/>
      <c r="K139" s="53">
        <f>G139*EXP(5.043121+0.031911*LN(D139/G139)+0.058886*LN(F139)-0.043159*LN(E139))</f>
        <v>21075968402.01186</v>
      </c>
      <c r="L139" s="53">
        <f>K139-J139</f>
        <v>21075968402.01186</v>
      </c>
      <c r="M139" s="53"/>
      <c r="N139" s="53"/>
      <c r="O139" s="53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3"/>
      <c r="AA139" s="53"/>
      <c r="AB139" s="53"/>
      <c r="AC139" s="53"/>
      <c r="AD139" s="54"/>
      <c r="AE139" s="54"/>
      <c r="AF139" s="54"/>
      <c r="AG139" s="54"/>
      <c r="AH139" s="54"/>
      <c r="AI139" s="54"/>
      <c r="AJ139" s="53"/>
      <c r="AK139" s="53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3"/>
      <c r="BB139" s="53"/>
      <c r="BC139" s="54"/>
      <c r="BD139" s="54"/>
      <c r="BE139" s="74"/>
    </row>
    <row r="140" spans="1:57" hidden="1" x14ac:dyDescent="0.3">
      <c r="B140" s="15" t="s">
        <v>271</v>
      </c>
      <c r="C140" s="16" t="s">
        <v>272</v>
      </c>
      <c r="D140" s="72">
        <v>0.97995999999999994</v>
      </c>
      <c r="E140" s="66">
        <v>0.60099999999999998</v>
      </c>
      <c r="F140" s="53">
        <v>313930</v>
      </c>
      <c r="G140" s="72">
        <v>36554710</v>
      </c>
      <c r="H140" s="72">
        <f>Tabelle2[[#This Row],[Bevölkerung]]/1000</f>
        <v>36554.71</v>
      </c>
      <c r="I140" s="72"/>
      <c r="J140" s="53"/>
      <c r="K140" s="53">
        <f>G140*EXP(5.043121+0.031911*LN(D140/G140)+0.058886*LN(F140)-0.043159*LN(E140))</f>
        <v>6994414785.6364174</v>
      </c>
      <c r="L140" s="53">
        <f>K140-J140</f>
        <v>6994414785.6364174</v>
      </c>
      <c r="M140" s="53"/>
      <c r="N140" s="53"/>
      <c r="O140" s="53"/>
      <c r="P140" s="54"/>
      <c r="Q140" s="54"/>
      <c r="R140" s="54"/>
      <c r="S140" s="54"/>
      <c r="T140" s="54"/>
      <c r="U140" s="54"/>
      <c r="V140" s="54"/>
      <c r="W140" s="54"/>
      <c r="X140" s="54">
        <v>15700000</v>
      </c>
      <c r="Y140" s="54">
        <v>11907000000</v>
      </c>
      <c r="Z140" s="53"/>
      <c r="AA140" s="53"/>
      <c r="AB140" s="53"/>
      <c r="AC140" s="53"/>
      <c r="AD140" s="54"/>
      <c r="AE140" s="54"/>
      <c r="AF140" s="54"/>
      <c r="AG140" s="54"/>
      <c r="AH140" s="54"/>
      <c r="AI140" s="54"/>
      <c r="AJ140" s="53"/>
      <c r="AK140" s="53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3"/>
      <c r="BB140" s="53"/>
      <c r="BC140" s="54"/>
      <c r="BD140" s="54"/>
      <c r="BE140" s="74"/>
    </row>
    <row r="141" spans="1:57" x14ac:dyDescent="0.3">
      <c r="A141" t="s">
        <v>590</v>
      </c>
      <c r="B141" s="13" t="s">
        <v>273</v>
      </c>
      <c r="C141" s="14" t="s">
        <v>274</v>
      </c>
      <c r="D141" s="72">
        <v>0.32144</v>
      </c>
      <c r="E141" s="66">
        <v>0.65200000000000002</v>
      </c>
      <c r="F141" s="53">
        <v>92230</v>
      </c>
      <c r="G141" s="72">
        <v>10701640</v>
      </c>
      <c r="H141" s="72">
        <f>Tabelle2[[#This Row],[Bevölkerung]]/1000</f>
        <v>10701.64</v>
      </c>
      <c r="I141" s="72">
        <v>2.4</v>
      </c>
      <c r="J141" s="53">
        <v>3573416</v>
      </c>
      <c r="K141" s="53">
        <f>G141*EXP(5.043121+0.031911*LN(D141/G141)+0.058886*LN(F141)-0.043159*LN(E141))</f>
        <v>1905384324.2617245</v>
      </c>
      <c r="L141" s="53">
        <f>K141-J141</f>
        <v>1901810908.2617245</v>
      </c>
      <c r="M141" s="53"/>
      <c r="N141" s="53"/>
      <c r="O141" s="53"/>
      <c r="P141" s="54"/>
      <c r="Q141" s="54"/>
      <c r="R141" s="54"/>
      <c r="S141" s="54"/>
      <c r="T141" s="54"/>
      <c r="U141" s="54"/>
      <c r="V141" s="54"/>
      <c r="W141" s="54"/>
      <c r="X141" s="54">
        <v>5981482</v>
      </c>
      <c r="Y141" s="54"/>
      <c r="Z141" s="53"/>
      <c r="AA141" s="53"/>
      <c r="AB141" s="53"/>
      <c r="AC141" s="53"/>
      <c r="AD141" s="54"/>
      <c r="AE141" s="54"/>
      <c r="AF141" s="54"/>
      <c r="AG141" s="54"/>
      <c r="AH141" s="54"/>
      <c r="AI141" s="54"/>
      <c r="AJ141" s="53"/>
      <c r="AK141" s="53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3"/>
      <c r="BB141" s="53"/>
      <c r="BC141" s="54"/>
      <c r="BD141" s="54"/>
      <c r="BE141" s="74"/>
    </row>
    <row r="142" spans="1:57" hidden="1" x14ac:dyDescent="0.3">
      <c r="B142" s="4" t="s">
        <v>275</v>
      </c>
      <c r="C142" s="5" t="s">
        <v>276</v>
      </c>
      <c r="D142" s="72">
        <v>1.4771000000000001E-2</v>
      </c>
      <c r="E142" s="66">
        <v>0.17199999999999999</v>
      </c>
      <c r="F142" s="53">
        <v>26338</v>
      </c>
      <c r="G142" s="72">
        <v>14256570</v>
      </c>
      <c r="H142" s="72">
        <f>Tabelle2[[#This Row],[Bevölkerung]]/1000</f>
        <v>14256.57</v>
      </c>
      <c r="I142" s="72"/>
      <c r="J142" s="53"/>
      <c r="K142" s="53">
        <f>G142*EXP(5.043121+0.031911*LN(D142/G142)+0.058886*LN(F142)-0.043159*LN(E142))</f>
        <v>2242906676.8858094</v>
      </c>
      <c r="L142" s="53">
        <f>K142-J142</f>
        <v>2242906676.8858094</v>
      </c>
      <c r="M142" s="53"/>
      <c r="N142" s="53"/>
      <c r="O142" s="53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3"/>
      <c r="AA142" s="53"/>
      <c r="AB142" s="53"/>
      <c r="AC142" s="53"/>
      <c r="AD142" s="54"/>
      <c r="AE142" s="54"/>
      <c r="AF142" s="54"/>
      <c r="AG142" s="54"/>
      <c r="AH142" s="54"/>
      <c r="AI142" s="54"/>
      <c r="AJ142" s="53"/>
      <c r="AK142" s="53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3"/>
      <c r="BB142" s="53"/>
      <c r="BC142" s="54"/>
      <c r="BD142" s="54"/>
      <c r="BE142" s="74"/>
    </row>
    <row r="143" spans="1:57" x14ac:dyDescent="0.3">
      <c r="A143" t="s">
        <v>589</v>
      </c>
      <c r="B143" s="13" t="s">
        <v>277</v>
      </c>
      <c r="C143" s="14" t="s">
        <v>278</v>
      </c>
      <c r="D143" s="72">
        <v>403.39500000000004</v>
      </c>
      <c r="E143" s="66">
        <v>0.54</v>
      </c>
      <c r="F143" s="53">
        <v>238400</v>
      </c>
      <c r="G143" s="72">
        <v>19069340</v>
      </c>
      <c r="H143" s="72">
        <f>Tabelle2[[#This Row],[Bevölkerung]]/1000</f>
        <v>19069.34</v>
      </c>
      <c r="I143" s="72">
        <v>2.5</v>
      </c>
      <c r="J143" s="53">
        <v>4790000</v>
      </c>
      <c r="K143" s="53">
        <f>G143*EXP(5.043121+0.031911*LN(D143/G143)+0.058886*LN(F143)-0.043159*LN(E143))</f>
        <v>4462329469.810689</v>
      </c>
      <c r="L143" s="53">
        <f>K143-J143</f>
        <v>4457539469.810689</v>
      </c>
      <c r="M143" s="53"/>
      <c r="N143" s="53">
        <v>7396059</v>
      </c>
      <c r="O143" s="53"/>
      <c r="P143" s="54"/>
      <c r="Q143" s="54"/>
      <c r="R143" s="54"/>
      <c r="S143" s="54"/>
      <c r="T143" s="54"/>
      <c r="U143" s="54"/>
      <c r="V143" s="54"/>
      <c r="W143" s="54"/>
      <c r="X143" s="54">
        <v>9908552</v>
      </c>
      <c r="Y143" s="54"/>
      <c r="Z143" s="53"/>
      <c r="AA143" s="53"/>
      <c r="AB143" s="53"/>
      <c r="AC143" s="53"/>
      <c r="AD143" s="54"/>
      <c r="AE143" s="54"/>
      <c r="AF143" s="54"/>
      <c r="AG143" s="54"/>
      <c r="AH143" s="54"/>
      <c r="AI143" s="54"/>
      <c r="AJ143" s="53"/>
      <c r="AK143" s="53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3"/>
      <c r="BB143" s="53"/>
      <c r="BC143" s="54"/>
      <c r="BD143" s="54"/>
      <c r="BE143" s="74"/>
    </row>
    <row r="144" spans="1:57" hidden="1" x14ac:dyDescent="0.3">
      <c r="B144" s="2" t="s">
        <v>279</v>
      </c>
      <c r="C144" s="3" t="s">
        <v>280</v>
      </c>
      <c r="D144" s="72">
        <v>2.0763959999999999</v>
      </c>
      <c r="E144" s="66">
        <v>0.74399999999999999</v>
      </c>
      <c r="F144" s="53">
        <v>17125190</v>
      </c>
      <c r="G144" s="72">
        <v>143533850</v>
      </c>
      <c r="H144" s="72">
        <f>Tabelle2[[#This Row],[Bevölkerung]]/1000</f>
        <v>143533.85</v>
      </c>
      <c r="I144" s="72"/>
      <c r="J144" s="53"/>
      <c r="K144" s="53">
        <f>G144*EXP(5.043121+0.031911*LN(D144/G144)+0.058886*LN(F144)-0.043159*LN(E144))</f>
        <v>33766473733.970623</v>
      </c>
      <c r="L144" s="53">
        <f>K144-J144</f>
        <v>33766473733.970623</v>
      </c>
      <c r="M144" s="53"/>
      <c r="N144" s="53"/>
      <c r="O144" s="53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3"/>
      <c r="AA144" s="53"/>
      <c r="AB144" s="53"/>
      <c r="AC144" s="53"/>
      <c r="AD144" s="54"/>
      <c r="AE144" s="54"/>
      <c r="AF144" s="54"/>
      <c r="AG144" s="54"/>
      <c r="AH144" s="54"/>
      <c r="AI144" s="54"/>
      <c r="AJ144" s="53"/>
      <c r="AK144" s="53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3"/>
      <c r="BB144" s="53"/>
      <c r="BC144" s="54"/>
      <c r="BD144" s="54"/>
      <c r="BE144" s="74"/>
    </row>
    <row r="145" spans="1:57" hidden="1" x14ac:dyDescent="0.3">
      <c r="B145" s="2" t="s">
        <v>281</v>
      </c>
      <c r="C145" s="3" t="s">
        <v>282</v>
      </c>
      <c r="D145" s="72">
        <v>1.8979999999999999E-3</v>
      </c>
      <c r="E145" s="66">
        <v>0.23699999999999999</v>
      </c>
      <c r="F145" s="53">
        <v>28900</v>
      </c>
      <c r="G145" s="72">
        <v>819200</v>
      </c>
      <c r="H145" s="72">
        <f>Tabelle2[[#This Row],[Bevölkerung]]/1000</f>
        <v>819.2</v>
      </c>
      <c r="I145" s="72"/>
      <c r="J145" s="53"/>
      <c r="K145" s="53">
        <f>G145*EXP(5.043121+0.031911*LN(D145/G145)+0.058886*LN(F145)-0.043159*LN(E145))</f>
        <v>131130813.6049547</v>
      </c>
      <c r="L145" s="53">
        <f>K145-J145</f>
        <v>131130813.6049547</v>
      </c>
      <c r="M145" s="53"/>
      <c r="N145" s="53"/>
      <c r="O145" s="53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3"/>
      <c r="AA145" s="53"/>
      <c r="AB145" s="53"/>
      <c r="AC145" s="53"/>
      <c r="AD145" s="54"/>
      <c r="AE145" s="54"/>
      <c r="AF145" s="54"/>
      <c r="AG145" s="54"/>
      <c r="AH145" s="54"/>
      <c r="AI145" s="54"/>
      <c r="AJ145" s="53"/>
      <c r="AK145" s="53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3"/>
      <c r="BB145" s="53"/>
      <c r="BC145" s="54"/>
      <c r="BD145" s="54"/>
      <c r="BE145" s="74"/>
    </row>
    <row r="146" spans="1:57" hidden="1" x14ac:dyDescent="0.3">
      <c r="B146" s="22" t="s">
        <v>283</v>
      </c>
      <c r="C146" s="23" t="s">
        <v>284</v>
      </c>
      <c r="D146" s="72">
        <v>2.8910000000000002E-2</v>
      </c>
      <c r="E146" s="66">
        <v>0.435</v>
      </c>
      <c r="F146" s="53">
        <v>752610</v>
      </c>
      <c r="G146" s="72">
        <v>21314960</v>
      </c>
      <c r="H146" s="72">
        <f>Tabelle2[[#This Row],[Bevölkerung]]/1000</f>
        <v>21314.959999999999</v>
      </c>
      <c r="I146" s="72"/>
      <c r="J146" s="53"/>
      <c r="K146" s="53">
        <f>G146*EXP(5.043121+0.031911*LN(D146/G146)+0.058886*LN(F146)-0.043159*LN(E146))</f>
        <v>3958759695.2080779</v>
      </c>
      <c r="L146" s="53">
        <f>K146-J146</f>
        <v>3958759695.2080779</v>
      </c>
      <c r="M146" s="53"/>
      <c r="N146" s="53"/>
      <c r="O146" s="53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3"/>
      <c r="AA146" s="53"/>
      <c r="AB146" s="53"/>
      <c r="AC146" s="53"/>
      <c r="AD146" s="54"/>
      <c r="AE146" s="54"/>
      <c r="AF146" s="54"/>
      <c r="AG146" s="54"/>
      <c r="AH146" s="54"/>
      <c r="AI146" s="54"/>
      <c r="AJ146" s="53"/>
      <c r="AK146" s="53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3"/>
      <c r="BB146" s="53"/>
      <c r="BC146" s="54"/>
      <c r="BD146" s="54"/>
      <c r="BE146" s="74"/>
    </row>
    <row r="147" spans="1:57" hidden="1" x14ac:dyDescent="0.3">
      <c r="B147" s="2" t="s">
        <v>285</v>
      </c>
      <c r="C147" s="3" t="s">
        <v>286</v>
      </c>
      <c r="D147" s="72">
        <v>1.16E-3</v>
      </c>
      <c r="E147" s="66">
        <v>0.182</v>
      </c>
      <c r="F147" s="53">
        <v>2840</v>
      </c>
      <c r="G147" s="72">
        <v>218020</v>
      </c>
      <c r="H147" s="72">
        <f>Tabelle2[[#This Row],[Bevölkerung]]/1000</f>
        <v>218.02</v>
      </c>
      <c r="I147" s="72"/>
      <c r="J147" s="53"/>
      <c r="K147" s="53">
        <f>G147*EXP(5.043121+0.031911*LN(D147/G147)+0.058886*LN(F147)-0.043159*LN(E147))</f>
        <v>31619121.70751423</v>
      </c>
      <c r="L147" s="53">
        <f>K147-J147</f>
        <v>31619121.70751423</v>
      </c>
      <c r="M147" s="53"/>
      <c r="N147" s="53"/>
      <c r="O147" s="53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3"/>
      <c r="AA147" s="53"/>
      <c r="AB147" s="53"/>
      <c r="AC147" s="53"/>
      <c r="AD147" s="54"/>
      <c r="AE147" s="54"/>
      <c r="AF147" s="54"/>
      <c r="AG147" s="54"/>
      <c r="AH147" s="54"/>
      <c r="AI147" s="54"/>
      <c r="AJ147" s="53"/>
      <c r="AK147" s="53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3"/>
      <c r="BB147" s="53"/>
      <c r="BC147" s="54"/>
      <c r="BD147" s="54"/>
      <c r="BE147" s="74"/>
    </row>
    <row r="148" spans="1:57" hidden="1" x14ac:dyDescent="0.3">
      <c r="B148" s="2" t="s">
        <v>287</v>
      </c>
      <c r="C148" s="3" t="s">
        <v>288</v>
      </c>
      <c r="D148" s="72">
        <v>2.0470000000000002E-3</v>
      </c>
      <c r="E148" s="66">
        <v>0.97199999999999998</v>
      </c>
      <c r="F148" s="53">
        <v>60</v>
      </c>
      <c r="G148" s="72">
        <v>33980</v>
      </c>
      <c r="H148" s="72">
        <f>Tabelle2[[#This Row],[Bevölkerung]]/1000</f>
        <v>33.979999999999997</v>
      </c>
      <c r="I148" s="72"/>
      <c r="J148" s="53"/>
      <c r="K148" s="53">
        <f>G148*EXP(5.043121+0.031911*LN(D148/G148)+0.058886*LN(F148)-0.043159*LN(E148))</f>
        <v>3946960.0896677021</v>
      </c>
      <c r="L148" s="53">
        <f>K148-J148</f>
        <v>3946960.0896677021</v>
      </c>
      <c r="M148" s="53"/>
      <c r="N148" s="53"/>
      <c r="O148" s="53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3"/>
      <c r="AA148" s="53"/>
      <c r="AB148" s="53"/>
      <c r="AC148" s="53"/>
      <c r="AD148" s="54"/>
      <c r="AE148" s="54"/>
      <c r="AF148" s="54"/>
      <c r="AG148" s="54"/>
      <c r="AH148" s="54"/>
      <c r="AI148" s="54"/>
      <c r="AJ148" s="53"/>
      <c r="AK148" s="53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3"/>
      <c r="BB148" s="53"/>
      <c r="BC148" s="54"/>
      <c r="BD148" s="54"/>
      <c r="BE148" s="74"/>
    </row>
    <row r="149" spans="1:57" hidden="1" x14ac:dyDescent="0.3">
      <c r="B149" s="2" t="s">
        <v>289</v>
      </c>
      <c r="C149" s="3" t="s">
        <v>290</v>
      </c>
      <c r="D149" s="72">
        <v>8.6400000000000001E-7</v>
      </c>
      <c r="E149" s="66">
        <v>0.72799999999999998</v>
      </c>
      <c r="F149" s="53">
        <v>960</v>
      </c>
      <c r="G149" s="72">
        <v>235540</v>
      </c>
      <c r="H149" s="72">
        <f>Tabelle2[[#This Row],[Bevölkerung]]/1000</f>
        <v>235.54</v>
      </c>
      <c r="I149" s="72"/>
      <c r="J149" s="53"/>
      <c r="K149" s="53">
        <f>G149*EXP(5.043121+0.031911*LN(D149/G149)+0.058886*LN(F149)-0.043159*LN(E149))</f>
        <v>23928127.962677121</v>
      </c>
      <c r="L149" s="53">
        <f>K149-J149</f>
        <v>23928127.962677121</v>
      </c>
      <c r="M149" s="53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3"/>
      <c r="AA149" s="53"/>
      <c r="AB149" s="53"/>
      <c r="AC149" s="53"/>
      <c r="AD149" s="54"/>
      <c r="AE149" s="54"/>
      <c r="AF149" s="54"/>
      <c r="AG149" s="54"/>
      <c r="AH149" s="54"/>
      <c r="AI149" s="54"/>
      <c r="AJ149" s="53"/>
      <c r="AK149" s="53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3"/>
      <c r="BB149" s="53"/>
      <c r="BC149" s="54"/>
      <c r="BD149" s="54"/>
      <c r="BE149" s="74"/>
    </row>
    <row r="150" spans="1:57" hidden="1" x14ac:dyDescent="0.3">
      <c r="B150" s="17" t="s">
        <v>291</v>
      </c>
      <c r="C150" s="18" t="s">
        <v>292</v>
      </c>
      <c r="D150" s="72">
        <v>1.0837490000000001</v>
      </c>
      <c r="E150" s="66">
        <v>0.83799999999999997</v>
      </c>
      <c r="F150" s="53">
        <v>2149690</v>
      </c>
      <c r="G150" s="72">
        <v>35300280</v>
      </c>
      <c r="H150" s="72">
        <f>Tabelle2[[#This Row],[Bevölkerung]]/1000</f>
        <v>35300.28</v>
      </c>
      <c r="I150" s="72"/>
      <c r="J150" s="53"/>
      <c r="K150" s="53">
        <f>G150*EXP(5.043121+0.031911*LN(D150/G150)+0.058886*LN(F150)-0.043159*LN(E150))</f>
        <v>7489213792.8827286</v>
      </c>
      <c r="L150" s="53">
        <f>K150-J150</f>
        <v>7489213792.8827286</v>
      </c>
      <c r="M150" s="53"/>
      <c r="N150" s="53"/>
      <c r="O150" s="53"/>
      <c r="P150" s="54"/>
      <c r="Q150" s="54"/>
      <c r="R150" s="54"/>
      <c r="S150" s="54"/>
      <c r="T150" s="54"/>
      <c r="U150" s="54"/>
      <c r="V150" s="54"/>
      <c r="W150" s="54"/>
      <c r="X150" s="54">
        <v>8174674</v>
      </c>
      <c r="Y150" s="54"/>
      <c r="Z150" s="53"/>
      <c r="AA150" s="53"/>
      <c r="AB150" s="53"/>
      <c r="AC150" s="53"/>
      <c r="AD150" s="54"/>
      <c r="AE150" s="54"/>
      <c r="AF150" s="54"/>
      <c r="AG150" s="54"/>
      <c r="AH150" s="54"/>
      <c r="AI150" s="54"/>
      <c r="AJ150" s="53"/>
      <c r="AK150" s="53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3"/>
      <c r="BB150" s="53"/>
      <c r="BC150" s="54"/>
      <c r="BD150" s="54"/>
      <c r="BE150" s="74"/>
    </row>
    <row r="151" spans="1:57" x14ac:dyDescent="0.3">
      <c r="A151" t="s">
        <v>589</v>
      </c>
      <c r="B151" s="9" t="s">
        <v>293</v>
      </c>
      <c r="C151" s="10" t="s">
        <v>294</v>
      </c>
      <c r="D151" s="72">
        <v>620.29700000000003</v>
      </c>
      <c r="E151" s="66">
        <v>0.874</v>
      </c>
      <c r="F151" s="53">
        <v>528660</v>
      </c>
      <c r="G151" s="72">
        <v>10569710</v>
      </c>
      <c r="H151" s="72">
        <f>Tabelle2[[#This Row],[Bevölkerung]]/1000</f>
        <v>10569.71</v>
      </c>
      <c r="I151" s="72">
        <v>2.2000000000000002</v>
      </c>
      <c r="J151" s="53">
        <v>2540000</v>
      </c>
      <c r="K151" s="53">
        <f>G151*EXP(5.043121+0.031911*LN(D151/G151)+0.058886*LN(F151)-0.043159*LN(E151))</f>
        <v>2622839659.8223162</v>
      </c>
      <c r="L151" s="53">
        <f>K151-J151</f>
        <v>2620299659.8223162</v>
      </c>
      <c r="M151" s="53"/>
      <c r="N151" s="53"/>
      <c r="O151" s="53"/>
      <c r="P151" s="54"/>
      <c r="Q151" s="54"/>
      <c r="R151" s="54"/>
      <c r="S151" s="54"/>
      <c r="T151" s="54"/>
      <c r="U151" s="54"/>
      <c r="V151" s="54">
        <v>2756647</v>
      </c>
      <c r="W151" s="54"/>
      <c r="X151" s="54">
        <v>5260876</v>
      </c>
      <c r="Y151" s="54"/>
      <c r="Z151" s="53"/>
      <c r="AA151" s="53"/>
      <c r="AB151" s="53"/>
      <c r="AC151" s="53"/>
      <c r="AD151" s="54"/>
      <c r="AE151" s="54"/>
      <c r="AF151" s="54"/>
      <c r="AG151" s="54"/>
      <c r="AH151" s="54"/>
      <c r="AI151" s="54"/>
      <c r="AJ151" s="53"/>
      <c r="AK151" s="53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3"/>
      <c r="BB151" s="53"/>
      <c r="BC151" s="54"/>
      <c r="BD151" s="54"/>
      <c r="BE151" s="74"/>
    </row>
    <row r="152" spans="1:57" x14ac:dyDescent="0.3">
      <c r="A152" t="s">
        <v>589</v>
      </c>
      <c r="B152" s="13" t="s">
        <v>295</v>
      </c>
      <c r="C152" s="14" t="s">
        <v>296</v>
      </c>
      <c r="D152" s="72">
        <v>947.125</v>
      </c>
      <c r="E152" s="66">
        <v>0.73799999999999999</v>
      </c>
      <c r="F152" s="53">
        <v>41291</v>
      </c>
      <c r="G152" s="72">
        <v>9034100</v>
      </c>
      <c r="H152" s="72">
        <f>Tabelle2[[#This Row],[Bevölkerung]]/1000</f>
        <v>9034.1</v>
      </c>
      <c r="I152" s="72">
        <v>2.1800000000000002</v>
      </c>
      <c r="J152" s="53">
        <v>1790000</v>
      </c>
      <c r="K152" s="53">
        <f>G152*EXP(5.043121+0.031911*LN(D152/G152)+0.058886*LN(F152)-0.043159*LN(E152))</f>
        <v>1979699268.1857519</v>
      </c>
      <c r="L152" s="53">
        <f>K152-J152</f>
        <v>1977909268.1857519</v>
      </c>
      <c r="M152" s="53"/>
      <c r="N152" s="53"/>
      <c r="O152" s="53"/>
      <c r="P152" s="54">
        <v>1145600</v>
      </c>
      <c r="Q152" s="54"/>
      <c r="R152" s="54">
        <v>227330</v>
      </c>
      <c r="S152" s="54"/>
      <c r="T152" s="54"/>
      <c r="U152" s="54"/>
      <c r="V152" s="54">
        <v>417070</v>
      </c>
      <c r="W152" s="54"/>
      <c r="X152" s="54">
        <v>4790000</v>
      </c>
      <c r="Y152" s="54"/>
      <c r="Z152" s="53"/>
      <c r="AA152" s="53"/>
      <c r="AB152" s="53"/>
      <c r="AC152" s="53"/>
      <c r="AD152" s="54"/>
      <c r="AE152" s="54"/>
      <c r="AF152" s="54"/>
      <c r="AG152" s="54"/>
      <c r="AH152" s="54"/>
      <c r="AI152" s="54"/>
      <c r="AJ152" s="53"/>
      <c r="AK152" s="53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3"/>
      <c r="BB152" s="53"/>
      <c r="BC152" s="54"/>
      <c r="BD152" s="54"/>
      <c r="BE152" s="74"/>
    </row>
    <row r="153" spans="1:57" hidden="1" x14ac:dyDescent="0.3">
      <c r="B153" s="24" t="s">
        <v>297</v>
      </c>
      <c r="C153" s="25" t="s">
        <v>298</v>
      </c>
      <c r="D153" s="72">
        <v>3.4728000000000002E-2</v>
      </c>
      <c r="E153" s="66">
        <v>0.47199999999999998</v>
      </c>
      <c r="F153" s="53">
        <v>196710</v>
      </c>
      <c r="G153" s="72">
        <v>18501980</v>
      </c>
      <c r="H153" s="72">
        <f>Tabelle2[[#This Row],[Bevölkerung]]/1000</f>
        <v>18501.98</v>
      </c>
      <c r="I153" s="72"/>
      <c r="J153" s="53"/>
      <c r="K153" s="53">
        <f>G153*EXP(5.043121+0.031911*LN(D153/G153)+0.058886*LN(F153)-0.043159*LN(E153))</f>
        <v>3197053191.5688686</v>
      </c>
      <c r="L153" s="53">
        <f>K153-J153</f>
        <v>3197053191.5688686</v>
      </c>
      <c r="M153" s="53"/>
      <c r="N153" s="53"/>
      <c r="O153" s="53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3"/>
      <c r="AA153" s="53"/>
      <c r="AB153" s="53"/>
      <c r="AC153" s="53"/>
      <c r="AD153" s="54"/>
      <c r="AE153" s="54"/>
      <c r="AF153" s="54"/>
      <c r="AG153" s="54"/>
      <c r="AH153" s="54"/>
      <c r="AI153" s="54"/>
      <c r="AJ153" s="53"/>
      <c r="AK153" s="53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3"/>
      <c r="BB153" s="53"/>
      <c r="BC153" s="54"/>
      <c r="BD153" s="54"/>
      <c r="BE153" s="74"/>
    </row>
    <row r="154" spans="1:57" hidden="1" x14ac:dyDescent="0.3">
      <c r="B154" s="19" t="s">
        <v>299</v>
      </c>
      <c r="C154" s="20" t="s">
        <v>300</v>
      </c>
      <c r="D154" s="72">
        <v>9.2549000000000006E-2</v>
      </c>
      <c r="E154" s="66">
        <v>0.56100000000000005</v>
      </c>
      <c r="F154" s="53">
        <v>84990</v>
      </c>
      <c r="G154" s="72">
        <v>6587200</v>
      </c>
      <c r="H154" s="72">
        <f>Tabelle2[[#This Row],[Bevölkerung]]/1000</f>
        <v>6587.2</v>
      </c>
      <c r="I154" s="72"/>
      <c r="J154" s="53"/>
      <c r="K154" s="53">
        <f>G154*EXP(5.043121+0.031911*LN(D154/G154)+0.058886*LN(F154)-0.043159*LN(E154))</f>
        <v>1146647854.7406681</v>
      </c>
      <c r="L154" s="53">
        <f>K154-J154</f>
        <v>1146647854.7406681</v>
      </c>
      <c r="M154" s="53"/>
      <c r="N154" s="53">
        <v>2625711</v>
      </c>
      <c r="O154" s="53"/>
      <c r="P154" s="54"/>
      <c r="Q154" s="54"/>
      <c r="R154" s="54"/>
      <c r="S154" s="54"/>
      <c r="T154" s="54"/>
      <c r="U154" s="54"/>
      <c r="V154" s="54"/>
      <c r="W154" s="54"/>
      <c r="X154" s="54">
        <v>3613352</v>
      </c>
      <c r="Y154" s="54">
        <v>269747120</v>
      </c>
      <c r="Z154" s="53"/>
      <c r="AA154" s="53"/>
      <c r="AB154" s="53"/>
      <c r="AC154" s="53"/>
      <c r="AD154" s="54"/>
      <c r="AE154" s="54"/>
      <c r="AF154" s="54"/>
      <c r="AG154" s="54"/>
      <c r="AH154" s="54"/>
      <c r="AI154" s="54"/>
      <c r="AJ154" s="53"/>
      <c r="AK154" s="53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3"/>
      <c r="BB154" s="53"/>
      <c r="BC154" s="54"/>
      <c r="BD154" s="54"/>
      <c r="BE154" s="74"/>
    </row>
    <row r="155" spans="1:57" hidden="1" x14ac:dyDescent="0.3">
      <c r="B155" s="2" t="s">
        <v>301</v>
      </c>
      <c r="C155" s="3" t="s">
        <v>302</v>
      </c>
      <c r="D155" s="72">
        <v>2.1979999999999999E-3</v>
      </c>
      <c r="E155" s="66">
        <v>0.56699999999999995</v>
      </c>
      <c r="F155" s="53">
        <v>460</v>
      </c>
      <c r="G155" s="72">
        <v>121350</v>
      </c>
      <c r="H155" s="72">
        <f>Tabelle2[[#This Row],[Bevölkerung]]/1000</f>
        <v>121.35</v>
      </c>
      <c r="I155" s="72"/>
      <c r="J155" s="53"/>
      <c r="K155" s="53">
        <f>G155*EXP(5.043121+0.031911*LN(D155/G155)+0.058886*LN(F155)-0.043159*LN(E155))</f>
        <v>15653747.386802979</v>
      </c>
      <c r="L155" s="53">
        <f>K155-J155</f>
        <v>15653747.386802979</v>
      </c>
      <c r="M155" s="53"/>
      <c r="N155" s="53"/>
      <c r="O155" s="53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3"/>
      <c r="AA155" s="53"/>
      <c r="AB155" s="53"/>
      <c r="AC155" s="53"/>
      <c r="AD155" s="54"/>
      <c r="AE155" s="54"/>
      <c r="AF155" s="54"/>
      <c r="AG155" s="54"/>
      <c r="AH155" s="54"/>
      <c r="AI155" s="54"/>
      <c r="AJ155" s="53"/>
      <c r="AK155" s="53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3"/>
      <c r="BB155" s="53"/>
      <c r="BC155" s="54"/>
      <c r="BD155" s="54"/>
      <c r="BE155" s="74"/>
    </row>
    <row r="156" spans="1:57" hidden="1" x14ac:dyDescent="0.3">
      <c r="B156" s="4" t="s">
        <v>303</v>
      </c>
      <c r="C156" s="5" t="s">
        <v>304</v>
      </c>
      <c r="D156" s="72">
        <v>8.3859999999999994E-3</v>
      </c>
      <c r="E156" s="66">
        <v>0.42099999999999999</v>
      </c>
      <c r="F156" s="53">
        <v>72300</v>
      </c>
      <c r="G156" s="72">
        <v>8642020</v>
      </c>
      <c r="H156" s="72">
        <f>Tabelle2[[#This Row],[Bevölkerung]]/1000</f>
        <v>8642.02</v>
      </c>
      <c r="I156" s="72"/>
      <c r="J156" s="53"/>
      <c r="K156" s="53">
        <f>G156*EXP(5.043121+0.031911*LN(D156/G156)+0.058886*LN(F156)-0.043159*LN(E156))</f>
        <v>1385319492.1638749</v>
      </c>
      <c r="L156" s="53">
        <f>K156-J156</f>
        <v>1385319492.1638749</v>
      </c>
      <c r="M156" s="53"/>
      <c r="N156" s="53"/>
      <c r="O156" s="53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3"/>
      <c r="AA156" s="53"/>
      <c r="AB156" s="53"/>
      <c r="AC156" s="53"/>
      <c r="AD156" s="54"/>
      <c r="AE156" s="54"/>
      <c r="AF156" s="54"/>
      <c r="AG156" s="54"/>
      <c r="AH156" s="54"/>
      <c r="AI156" s="54"/>
      <c r="AJ156" s="53"/>
      <c r="AK156" s="53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3"/>
      <c r="BB156" s="53"/>
      <c r="BC156" s="54"/>
      <c r="BD156" s="54"/>
      <c r="BE156" s="74"/>
    </row>
    <row r="157" spans="1:57" hidden="1" x14ac:dyDescent="0.3">
      <c r="B157" s="2" t="s">
        <v>305</v>
      </c>
      <c r="C157" s="3" t="s">
        <v>306</v>
      </c>
      <c r="D157" s="72">
        <v>3.8171999999999998E-2</v>
      </c>
      <c r="E157" s="66">
        <v>0.32200000000000001</v>
      </c>
      <c r="F157" s="53">
        <v>390760</v>
      </c>
      <c r="G157" s="72">
        <v>16634369.999999998</v>
      </c>
      <c r="H157" s="72">
        <f>Tabelle2[[#This Row],[Bevölkerung]]/1000</f>
        <v>16634.37</v>
      </c>
      <c r="I157" s="72"/>
      <c r="J157" s="53"/>
      <c r="K157" s="53">
        <f>G157*EXP(5.043121+0.031911*LN(D157/G157)+0.058886*LN(F157)-0.043159*LN(E157))</f>
        <v>3062274894.849669</v>
      </c>
      <c r="L157" s="53">
        <f>K157-J157</f>
        <v>3062274894.849669</v>
      </c>
      <c r="M157" s="53"/>
      <c r="N157" s="53"/>
      <c r="O157" s="53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3"/>
      <c r="AA157" s="53"/>
      <c r="AB157" s="53"/>
      <c r="AC157" s="53"/>
      <c r="AD157" s="54"/>
      <c r="AE157" s="54"/>
      <c r="AF157" s="54"/>
      <c r="AG157" s="54"/>
      <c r="AH157" s="54"/>
      <c r="AI157" s="54"/>
      <c r="AJ157" s="53"/>
      <c r="AK157" s="53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3"/>
      <c r="BB157" s="53"/>
      <c r="BC157" s="54"/>
      <c r="BD157" s="54"/>
      <c r="BE157" s="74"/>
    </row>
    <row r="158" spans="1:57" hidden="1" x14ac:dyDescent="0.3">
      <c r="B158" s="9" t="s">
        <v>307</v>
      </c>
      <c r="C158" s="10" t="s">
        <v>308</v>
      </c>
      <c r="D158" s="72">
        <v>0.564774</v>
      </c>
      <c r="E158" s="66">
        <v>1</v>
      </c>
      <c r="F158" s="53">
        <v>728</v>
      </c>
      <c r="G158" s="72">
        <v>6036860</v>
      </c>
      <c r="H158" s="72">
        <f>Tabelle2[[#This Row],[Bevölkerung]]/1000</f>
        <v>6036.86</v>
      </c>
      <c r="I158" s="72"/>
      <c r="J158" s="53"/>
      <c r="K158" s="53">
        <f>G158*EXP(5.043121+0.031911*LN(D158/G158)+0.058886*LN(F158)-0.043159*LN(E158))</f>
        <v>822715737.39812052</v>
      </c>
      <c r="L158" s="53">
        <f>K158-J158</f>
        <v>822715737.39812052</v>
      </c>
      <c r="M158" s="53"/>
      <c r="N158" s="53"/>
      <c r="O158" s="53"/>
      <c r="P158" s="54"/>
      <c r="Q158" s="54"/>
      <c r="R158" s="54"/>
      <c r="S158" s="54"/>
      <c r="T158" s="54"/>
      <c r="U158" s="54"/>
      <c r="V158" s="54"/>
      <c r="W158" s="54"/>
      <c r="X158" s="54">
        <v>1596629</v>
      </c>
      <c r="Y158" s="54"/>
      <c r="Z158" s="53"/>
      <c r="AA158" s="53"/>
      <c r="AB158" s="53"/>
      <c r="AC158" s="53"/>
      <c r="AF158" s="54"/>
      <c r="AG158" s="54"/>
      <c r="AH158" s="54"/>
      <c r="AI158" s="54">
        <v>53500000</v>
      </c>
      <c r="AJ158" s="53"/>
      <c r="AK158" s="53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3"/>
      <c r="BB158" s="53"/>
      <c r="BC158" s="54"/>
      <c r="BD158" s="54"/>
      <c r="BE158" s="74"/>
    </row>
    <row r="159" spans="1:57" x14ac:dyDescent="0.3">
      <c r="A159" t="s">
        <v>590</v>
      </c>
      <c r="B159" s="15" t="s">
        <v>309</v>
      </c>
      <c r="C159" s="16" t="s">
        <v>310</v>
      </c>
      <c r="D159" s="72">
        <v>0.147031</v>
      </c>
      <c r="E159" s="66">
        <v>0.53700000000000003</v>
      </c>
      <c r="F159" s="53">
        <v>49030</v>
      </c>
      <c r="G159" s="72">
        <v>5422070</v>
      </c>
      <c r="H159" s="72">
        <f>Tabelle2[[#This Row],[Bevölkerung]]/1000</f>
        <v>5422.07</v>
      </c>
      <c r="I159" s="72">
        <v>3.1</v>
      </c>
      <c r="J159" s="53">
        <v>1234592</v>
      </c>
      <c r="K159" s="53">
        <f>G159*EXP(5.043121+0.031911*LN(D159/G159)+0.058886*LN(F159)-0.043159*LN(E159))</f>
        <v>934885800.2509923</v>
      </c>
      <c r="L159" s="53">
        <f>K159-J159</f>
        <v>933651208.2509923</v>
      </c>
      <c r="M159" s="53"/>
      <c r="N159" s="53"/>
      <c r="O159" s="53"/>
      <c r="P159" s="54"/>
      <c r="Q159" s="54"/>
      <c r="R159" s="54"/>
      <c r="S159" s="54"/>
      <c r="T159" s="54"/>
      <c r="U159" s="54"/>
      <c r="V159" s="54"/>
      <c r="W159" s="54"/>
      <c r="X159" s="54">
        <v>2235586</v>
      </c>
      <c r="Y159" s="54"/>
      <c r="Z159" s="53"/>
      <c r="AA159" s="53"/>
      <c r="AB159" s="53"/>
      <c r="AC159" s="53"/>
      <c r="AD159" s="54"/>
      <c r="AE159" s="54"/>
      <c r="AF159" s="54"/>
      <c r="AG159" s="54"/>
      <c r="AH159" s="54"/>
      <c r="AI159" s="54"/>
      <c r="AJ159" s="53"/>
      <c r="AK159" s="53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3"/>
      <c r="BB159" s="53"/>
      <c r="BC159" s="54"/>
      <c r="BD159" s="54"/>
      <c r="BE159" s="74"/>
    </row>
    <row r="160" spans="1:57" x14ac:dyDescent="0.3">
      <c r="A160" t="s">
        <v>589</v>
      </c>
      <c r="B160" s="17" t="s">
        <v>311</v>
      </c>
      <c r="C160" s="18" t="s">
        <v>312</v>
      </c>
      <c r="D160" s="72">
        <v>75.224000000000004</v>
      </c>
      <c r="E160" s="66">
        <v>0.54500000000000004</v>
      </c>
      <c r="F160" s="53">
        <v>20480</v>
      </c>
      <c r="G160" s="72">
        <v>2126320</v>
      </c>
      <c r="H160" s="72">
        <f>Tabelle2[[#This Row],[Bevölkerung]]/1000</f>
        <v>2126.3200000000002</v>
      </c>
      <c r="I160" s="72">
        <v>2.4</v>
      </c>
      <c r="J160" s="53">
        <v>590000</v>
      </c>
      <c r="K160" s="53">
        <f>G160*EXP(5.043121+0.031911*LN(D160/G160)+0.058886*LN(F160)-0.043159*LN(E160))</f>
        <v>437559923.50692976</v>
      </c>
      <c r="L160" s="53">
        <f>K160-J160</f>
        <v>436969923.50692976</v>
      </c>
      <c r="M160" s="53"/>
      <c r="N160" s="53">
        <v>698700</v>
      </c>
      <c r="O160" s="53"/>
      <c r="P160" s="54"/>
      <c r="Q160" s="54"/>
      <c r="R160" s="54"/>
      <c r="S160" s="54"/>
      <c r="T160" s="54"/>
      <c r="U160" s="54"/>
      <c r="V160" s="54"/>
      <c r="W160" s="54"/>
      <c r="X160" s="54">
        <v>864300</v>
      </c>
      <c r="Y160" s="54"/>
      <c r="Z160" s="53"/>
      <c r="AA160" s="53"/>
      <c r="AB160" s="53"/>
      <c r="AC160" s="53"/>
      <c r="AD160" s="54"/>
      <c r="AE160" s="54"/>
      <c r="AF160" s="54"/>
      <c r="AG160" s="54"/>
      <c r="AH160" s="54"/>
      <c r="AI160" s="54"/>
      <c r="AJ160" s="53"/>
      <c r="AK160" s="53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3"/>
      <c r="BB160" s="53"/>
      <c r="BC160" s="54"/>
      <c r="BD160" s="54"/>
      <c r="BE160" s="74"/>
    </row>
    <row r="161" spans="1:57" hidden="1" x14ac:dyDescent="0.3">
      <c r="B161" s="2" t="s">
        <v>313</v>
      </c>
      <c r="C161" s="3" t="s">
        <v>314</v>
      </c>
      <c r="D161" s="72">
        <v>1.2994E-2</v>
      </c>
      <c r="E161" s="66">
        <v>0.45</v>
      </c>
      <c r="F161" s="53">
        <v>637660</v>
      </c>
      <c r="G161" s="72">
        <v>19009150</v>
      </c>
      <c r="H161" s="72">
        <f>Tabelle2[[#This Row],[Bevölkerung]]/1000</f>
        <v>19009.150000000001</v>
      </c>
      <c r="I161" s="72"/>
      <c r="J161" s="53"/>
      <c r="K161" s="53">
        <f>G161*EXP(5.043121+0.031911*LN(D161/G161)+0.058886*LN(F161)-0.043159*LN(E161))</f>
        <v>3415600187.0064535</v>
      </c>
      <c r="L161" s="53">
        <f>K161-J161</f>
        <v>3415600187.0064535</v>
      </c>
      <c r="M161" s="53"/>
      <c r="N161" s="53"/>
      <c r="O161" s="53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3"/>
      <c r="AA161" s="53"/>
      <c r="AB161" s="53"/>
      <c r="AC161" s="53"/>
      <c r="AD161" s="54"/>
      <c r="AE161" s="54"/>
      <c r="AF161" s="54"/>
      <c r="AG161" s="54"/>
      <c r="AH161" s="54"/>
      <c r="AI161" s="54"/>
      <c r="AJ161" s="53"/>
      <c r="AK161" s="53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3"/>
      <c r="BB161" s="53"/>
      <c r="BC161" s="54"/>
      <c r="BD161" s="54"/>
      <c r="BE161" s="74"/>
    </row>
    <row r="162" spans="1:57" x14ac:dyDescent="0.3">
      <c r="A162" t="s">
        <v>589</v>
      </c>
      <c r="B162" s="13" t="s">
        <v>315</v>
      </c>
      <c r="C162" s="14" t="s">
        <v>316</v>
      </c>
      <c r="D162" s="72">
        <v>1799.511</v>
      </c>
      <c r="E162" s="66">
        <v>0.80300000000000005</v>
      </c>
      <c r="F162" s="53">
        <v>505976</v>
      </c>
      <c r="G162" s="72">
        <v>48807140</v>
      </c>
      <c r="H162" s="72">
        <f>Tabelle2[[#This Row],[Bevölkerung]]/1000</f>
        <v>48807.14</v>
      </c>
      <c r="I162" s="72">
        <v>2.5</v>
      </c>
      <c r="J162" s="53">
        <v>8820000</v>
      </c>
      <c r="K162" s="53">
        <f>G162*EXP(5.043121+0.031911*LN(D162/G162)+0.058886*LN(F162)-0.043159*LN(E162))</f>
        <v>11945842941.231077</v>
      </c>
      <c r="L162" s="53">
        <f>K162-J162</f>
        <v>11937022941.231077</v>
      </c>
      <c r="M162" s="53"/>
      <c r="N162" s="53"/>
      <c r="O162" s="53"/>
      <c r="P162" s="54"/>
      <c r="Q162" s="54"/>
      <c r="R162" s="54"/>
      <c r="S162" s="54"/>
      <c r="T162" s="54"/>
      <c r="U162" s="54"/>
      <c r="V162" s="54"/>
      <c r="W162" s="54"/>
      <c r="X162" s="54">
        <v>18539223</v>
      </c>
      <c r="Y162" s="54"/>
      <c r="Z162" s="53"/>
      <c r="AA162" s="53"/>
      <c r="AB162" s="53"/>
      <c r="AC162" s="53"/>
      <c r="AD162" s="54"/>
      <c r="AE162" s="54"/>
      <c r="AF162" s="54"/>
      <c r="AG162" s="54"/>
      <c r="AH162" s="54"/>
      <c r="AI162" s="54"/>
      <c r="AJ162" s="53"/>
      <c r="AK162" s="53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3"/>
      <c r="BB162" s="53"/>
      <c r="BC162" s="54"/>
      <c r="BD162" s="54"/>
      <c r="BE162" s="74"/>
    </row>
    <row r="163" spans="1:57" hidden="1" x14ac:dyDescent="0.3">
      <c r="B163" s="24" t="s">
        <v>317</v>
      </c>
      <c r="C163" s="25" t="s">
        <v>318</v>
      </c>
      <c r="D163" s="72" t="s">
        <v>593</v>
      </c>
      <c r="E163" s="66">
        <v>0.185</v>
      </c>
      <c r="F163" s="53">
        <v>65610</v>
      </c>
      <c r="G163" s="72">
        <v>21916000</v>
      </c>
      <c r="H163" s="72">
        <f>Tabelle2[[#This Row],[Bevölkerung]]/1000</f>
        <v>21916</v>
      </c>
      <c r="I163" s="72"/>
      <c r="J163" s="53"/>
      <c r="K163" s="53" t="e">
        <f>G163*EXP(5.043121+0.031911*LN(D163/G163)+0.058886*LN(F163)-0.043159*LN(E163))</f>
        <v>#VALUE!</v>
      </c>
      <c r="L163" s="53" t="e">
        <f>K163-J163</f>
        <v>#VALUE!</v>
      </c>
      <c r="M163" s="53"/>
      <c r="N163" s="53"/>
      <c r="O163" s="53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3"/>
      <c r="AA163" s="53"/>
      <c r="AB163" s="53"/>
      <c r="AC163" s="53"/>
      <c r="AD163" s="54"/>
      <c r="AE163" s="54"/>
      <c r="AF163" s="54"/>
      <c r="AG163" s="54"/>
      <c r="AH163" s="54"/>
      <c r="AI163" s="54"/>
      <c r="AJ163" s="53"/>
      <c r="AK163" s="53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3"/>
      <c r="BB163" s="53"/>
      <c r="BC163" s="54"/>
      <c r="BD163" s="54"/>
      <c r="BE163" s="74"/>
    </row>
    <row r="164" spans="1:57" hidden="1" x14ac:dyDescent="0.3">
      <c r="B164" s="2" t="s">
        <v>319</v>
      </c>
      <c r="C164" s="3" t="s">
        <v>320</v>
      </c>
      <c r="D164" s="72">
        <v>1.129E-3</v>
      </c>
      <c r="E164" s="66">
        <v>0.308</v>
      </c>
      <c r="F164" s="53">
        <v>260</v>
      </c>
      <c r="G164" s="72">
        <v>46840</v>
      </c>
      <c r="H164" s="72">
        <f>Tabelle2[[#This Row],[Bevölkerung]]/1000</f>
        <v>46.84</v>
      </c>
      <c r="I164" s="72"/>
      <c r="J164" s="53"/>
      <c r="K164" s="53">
        <f>G164*EXP(5.043121+0.031911*LN(D164/G164)+0.058886*LN(F164)-0.043159*LN(E164))</f>
        <v>6053446.791157281</v>
      </c>
      <c r="L164" s="53">
        <f>K164-J164</f>
        <v>6053446.791157281</v>
      </c>
      <c r="M164" s="53"/>
      <c r="N164" s="53"/>
      <c r="O164" s="53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3"/>
      <c r="AA164" s="53"/>
      <c r="AB164" s="53"/>
      <c r="AC164" s="53"/>
      <c r="AD164" s="54"/>
      <c r="AE164" s="54"/>
      <c r="AF164" s="54"/>
      <c r="AG164" s="54"/>
      <c r="AH164" s="54"/>
      <c r="AI164" s="54"/>
      <c r="AJ164" s="53"/>
      <c r="AK164" s="53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3"/>
      <c r="BB164" s="53"/>
      <c r="BC164" s="54"/>
      <c r="BD164" s="54"/>
      <c r="BE164" s="74"/>
    </row>
    <row r="165" spans="1:57" hidden="1" x14ac:dyDescent="0.3">
      <c r="B165" s="2" t="s">
        <v>321</v>
      </c>
      <c r="C165" s="3" t="s">
        <v>322</v>
      </c>
      <c r="D165" s="72">
        <v>2.6319999999999998E-3</v>
      </c>
      <c r="E165" s="66">
        <v>0.187</v>
      </c>
      <c r="F165" s="53">
        <v>620</v>
      </c>
      <c r="G165" s="72">
        <v>179740</v>
      </c>
      <c r="H165" s="72">
        <f>Tabelle2[[#This Row],[Bevölkerung]]/1000</f>
        <v>179.74</v>
      </c>
      <c r="I165" s="72"/>
      <c r="J165" s="53"/>
      <c r="K165" s="53">
        <f>G165*EXP(5.043121+0.031911*LN(D165/G165)+0.058886*LN(F165)-0.043159*LN(E165))</f>
        <v>24586771.15679786</v>
      </c>
      <c r="L165" s="53">
        <f>K165-J165</f>
        <v>24586771.15679786</v>
      </c>
      <c r="M165" s="53"/>
      <c r="N165" s="53"/>
      <c r="O165" s="53"/>
      <c r="P165" s="54">
        <v>50889</v>
      </c>
      <c r="Q165" s="54"/>
      <c r="R165" s="54"/>
      <c r="S165" s="54"/>
      <c r="T165" s="54"/>
      <c r="U165" s="54"/>
      <c r="V165" s="54"/>
      <c r="W165" s="54"/>
      <c r="X165" s="54">
        <v>65951</v>
      </c>
      <c r="Y165" s="54"/>
      <c r="Z165" s="53"/>
      <c r="AA165" s="53"/>
      <c r="AB165" s="53"/>
      <c r="AC165" s="53"/>
      <c r="AD165" s="54"/>
      <c r="AE165" s="54"/>
      <c r="AF165" s="54"/>
      <c r="AG165" s="54"/>
      <c r="AH165" s="54"/>
      <c r="AI165" s="54"/>
      <c r="AJ165" s="53"/>
      <c r="AK165" s="53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3"/>
      <c r="BB165" s="53"/>
      <c r="BC165" s="54"/>
      <c r="BD165" s="54"/>
      <c r="BE165" s="74"/>
    </row>
    <row r="166" spans="1:57" hidden="1" x14ac:dyDescent="0.3">
      <c r="B166" s="2" t="s">
        <v>323</v>
      </c>
      <c r="C166" s="3" t="s">
        <v>324</v>
      </c>
      <c r="D166" s="72">
        <v>1.242E-3</v>
      </c>
      <c r="E166" s="66">
        <v>0.52200000000000002</v>
      </c>
      <c r="F166" s="53">
        <v>390</v>
      </c>
      <c r="G166" s="72">
        <v>100620</v>
      </c>
      <c r="H166" s="72">
        <f>Tabelle2[[#This Row],[Bevölkerung]]/1000</f>
        <v>100.62</v>
      </c>
      <c r="I166" s="72"/>
      <c r="J166" s="53"/>
      <c r="K166" s="53">
        <f>G166*EXP(5.043121+0.031911*LN(D166/G166)+0.058886*LN(F166)-0.043159*LN(E166))</f>
        <v>12743134.858655639</v>
      </c>
      <c r="L166" s="53">
        <f>K166-J166</f>
        <v>12743134.858655639</v>
      </c>
      <c r="M166" s="53"/>
      <c r="N166" s="53"/>
      <c r="O166" s="53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3"/>
      <c r="AA166" s="53"/>
      <c r="AB166" s="53"/>
      <c r="AC166" s="53"/>
      <c r="AD166" s="54"/>
      <c r="AE166" s="54"/>
      <c r="AF166" s="54"/>
      <c r="AG166" s="54"/>
      <c r="AH166" s="54"/>
      <c r="AI166" s="54"/>
      <c r="AJ166" s="53"/>
      <c r="AK166" s="53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3"/>
      <c r="BB166" s="53"/>
      <c r="BC166" s="54"/>
      <c r="BD166" s="54"/>
      <c r="BE166" s="74"/>
    </row>
    <row r="167" spans="1:57" hidden="1" x14ac:dyDescent="0.3">
      <c r="B167" s="13" t="s">
        <v>325</v>
      </c>
      <c r="C167" s="14" t="s">
        <v>326</v>
      </c>
      <c r="D167" s="72">
        <v>0.41033800000000004</v>
      </c>
      <c r="E167" s="66">
        <v>0.66400000000000003</v>
      </c>
      <c r="F167" s="53">
        <v>1219090</v>
      </c>
      <c r="G167" s="72">
        <v>64007190</v>
      </c>
      <c r="H167" s="72">
        <f>Tabelle2[[#This Row],[Bevölkerung]]/1000</f>
        <v>64007.19</v>
      </c>
      <c r="I167" s="72"/>
      <c r="J167" s="53"/>
      <c r="K167" s="53">
        <f>G167*EXP(5.043121+0.031911*LN(D167/G167)+0.058886*LN(F167)-0.043159*LN(E167))</f>
        <v>12619325235.957958</v>
      </c>
      <c r="L167" s="53">
        <f>K167-J167</f>
        <v>12619325235.957958</v>
      </c>
      <c r="M167" s="53"/>
      <c r="N167" s="53"/>
      <c r="O167" s="53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3"/>
      <c r="AA167" s="53"/>
      <c r="AB167" s="53"/>
      <c r="AC167" s="53"/>
      <c r="AD167" s="54"/>
      <c r="AE167" s="54"/>
      <c r="AF167" s="54"/>
      <c r="AG167" s="54"/>
      <c r="AH167" s="54"/>
      <c r="AI167" s="54"/>
      <c r="AJ167" s="53"/>
      <c r="AK167" s="53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3"/>
      <c r="BB167" s="53"/>
      <c r="BC167" s="54"/>
      <c r="BD167" s="54"/>
      <c r="BE167" s="74"/>
    </row>
    <row r="168" spans="1:57" hidden="1" x14ac:dyDescent="0.3">
      <c r="B168" s="2" t="s">
        <v>327</v>
      </c>
      <c r="C168" s="3" t="s">
        <v>328</v>
      </c>
      <c r="D168" s="72">
        <v>3.1505999999999999E-2</v>
      </c>
      <c r="E168" s="66">
        <v>0.34599999999999997</v>
      </c>
      <c r="F168" s="53">
        <v>1878000</v>
      </c>
      <c r="G168" s="72">
        <v>50448960</v>
      </c>
      <c r="H168" s="72">
        <f>Tabelle2[[#This Row],[Bevölkerung]]/1000</f>
        <v>50448.959999999999</v>
      </c>
      <c r="I168" s="72"/>
      <c r="J168" s="53"/>
      <c r="K168" s="53">
        <f>G168*EXP(5.043121+0.031911*LN(D168/G168)+0.058886*LN(F168)-0.043159*LN(E168))</f>
        <v>9742136338.7451534</v>
      </c>
      <c r="L168" s="53">
        <f>K168-J168</f>
        <v>9742136338.7451534</v>
      </c>
      <c r="M168" s="53"/>
      <c r="N168" s="53"/>
      <c r="O168" s="53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3"/>
      <c r="AA168" s="53"/>
      <c r="AB168" s="53"/>
      <c r="AC168" s="53"/>
      <c r="AD168" s="54"/>
      <c r="AE168" s="54"/>
      <c r="AF168" s="54"/>
      <c r="AG168" s="54"/>
      <c r="AH168" s="54"/>
      <c r="AI168" s="54"/>
      <c r="AJ168" s="53"/>
      <c r="AK168" s="53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3"/>
      <c r="BB168" s="53"/>
      <c r="BC168" s="54"/>
      <c r="BD168" s="54"/>
      <c r="BE168" s="74"/>
    </row>
    <row r="169" spans="1:57" hidden="1" x14ac:dyDescent="0.3">
      <c r="B169" s="2" t="s">
        <v>329</v>
      </c>
      <c r="C169" s="3" t="s">
        <v>330</v>
      </c>
      <c r="D169" s="72">
        <v>4.5060000000000005E-3</v>
      </c>
      <c r="E169" s="66">
        <v>0.66100000000000003</v>
      </c>
      <c r="F169" s="53">
        <v>163820</v>
      </c>
      <c r="G169" s="72">
        <v>634430</v>
      </c>
      <c r="H169" s="72">
        <f>Tabelle2[[#This Row],[Bevölkerung]]/1000</f>
        <v>634.42999999999995</v>
      </c>
      <c r="I169" s="72"/>
      <c r="J169" s="53"/>
      <c r="K169" s="53">
        <f>G169*EXP(5.043121+0.031911*LN(D169/G169)+0.058886*LN(F169)-0.043159*LN(E169))</f>
        <v>111523587.82905108</v>
      </c>
      <c r="L169" s="53">
        <f>K169-J169</f>
        <v>111523587.82905108</v>
      </c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3"/>
      <c r="AA169" s="53"/>
      <c r="AB169" s="53"/>
      <c r="AC169" s="53"/>
      <c r="AD169" s="54"/>
      <c r="AE169" s="54"/>
      <c r="AF169" s="54"/>
      <c r="AG169" s="54"/>
      <c r="AH169" s="54"/>
      <c r="AI169" s="54"/>
      <c r="AJ169" s="53"/>
      <c r="AK169" s="53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3"/>
      <c r="BB169" s="53"/>
      <c r="BC169" s="54"/>
      <c r="BD169" s="54"/>
      <c r="BE169" s="74"/>
    </row>
    <row r="170" spans="1:57" hidden="1" x14ac:dyDescent="0.3">
      <c r="B170" s="2" t="s">
        <v>331</v>
      </c>
      <c r="C170" s="3" t="s">
        <v>332</v>
      </c>
      <c r="D170" s="72">
        <v>5.483E-3</v>
      </c>
      <c r="E170" s="66">
        <v>0.23799999999999999</v>
      </c>
      <c r="F170" s="53">
        <v>17360</v>
      </c>
      <c r="G170" s="72">
        <v>1242820</v>
      </c>
      <c r="H170" s="72">
        <f>Tabelle2[[#This Row],[Bevölkerung]]/1000</f>
        <v>1242.82</v>
      </c>
      <c r="I170" s="72"/>
      <c r="J170" s="53"/>
      <c r="K170" s="53">
        <f>G170*EXP(5.043121+0.031911*LN(D170/G170)+0.058886*LN(F170)-0.043159*LN(E170))</f>
        <v>197031401.00931549</v>
      </c>
      <c r="L170" s="53">
        <f>K170-J170</f>
        <v>197031401.00931549</v>
      </c>
      <c r="M170" s="53"/>
      <c r="N170" s="53"/>
      <c r="O170" s="53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3"/>
      <c r="AA170" s="53"/>
      <c r="AB170" s="53"/>
      <c r="AC170" s="53"/>
      <c r="AD170" s="54"/>
      <c r="AE170" s="54"/>
      <c r="AF170" s="54"/>
      <c r="AG170" s="54"/>
      <c r="AH170" s="54"/>
      <c r="AI170" s="54"/>
      <c r="AJ170" s="53"/>
      <c r="AK170" s="53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3"/>
      <c r="BB170" s="53"/>
      <c r="BC170" s="54"/>
      <c r="BD170" s="54"/>
      <c r="BE170" s="74"/>
    </row>
    <row r="171" spans="1:57" hidden="1" x14ac:dyDescent="0.3">
      <c r="B171" s="2" t="s">
        <v>333</v>
      </c>
      <c r="C171" s="3" t="s">
        <v>334</v>
      </c>
      <c r="D171" s="72" t="s">
        <v>593</v>
      </c>
      <c r="E171" s="66">
        <v>0.54200000000000004</v>
      </c>
      <c r="F171" s="53">
        <v>185180</v>
      </c>
      <c r="G171" s="72">
        <v>24672760</v>
      </c>
      <c r="H171" s="72">
        <f>Tabelle2[[#This Row],[Bevölkerung]]/1000</f>
        <v>24672.76</v>
      </c>
      <c r="I171" s="72"/>
      <c r="J171" s="53"/>
      <c r="K171" s="53" t="e">
        <f>G171*EXP(5.043121+0.031911*LN(D171/G171)+0.058886*LN(F171)-0.043159*LN(E171))</f>
        <v>#VALUE!</v>
      </c>
      <c r="L171" s="53" t="e">
        <f>K171-J171</f>
        <v>#VALUE!</v>
      </c>
      <c r="M171" s="53"/>
      <c r="N171" s="53"/>
      <c r="O171" s="53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3"/>
      <c r="AA171" s="53"/>
      <c r="AB171" s="53"/>
      <c r="AC171" s="53"/>
      <c r="AD171" s="54"/>
      <c r="AE171" s="54"/>
      <c r="AF171" s="54"/>
      <c r="AG171" s="54"/>
      <c r="AH171" s="54"/>
      <c r="AI171" s="54"/>
      <c r="AJ171" s="53"/>
      <c r="AK171" s="53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3"/>
      <c r="BB171" s="53"/>
      <c r="BC171" s="54"/>
      <c r="BD171" s="54"/>
      <c r="BE171" s="74"/>
    </row>
    <row r="172" spans="1:57" hidden="1" x14ac:dyDescent="0.3">
      <c r="B172" s="4" t="s">
        <v>335</v>
      </c>
      <c r="C172" s="5" t="s">
        <v>336</v>
      </c>
      <c r="D172" s="72">
        <v>1.4835999999999998E-2</v>
      </c>
      <c r="E172" s="66">
        <v>0.27100000000000002</v>
      </c>
      <c r="F172" s="53">
        <v>141379</v>
      </c>
      <c r="G172" s="72">
        <v>10590930</v>
      </c>
      <c r="H172" s="72">
        <f>Tabelle2[[#This Row],[Bevölkerung]]/1000</f>
        <v>10590.93</v>
      </c>
      <c r="I172" s="72"/>
      <c r="J172" s="53"/>
      <c r="K172" s="53">
        <f>G172*EXP(5.043121+0.031911*LN(D172/G172)+0.058886*LN(F172)-0.043159*LN(E172))</f>
        <v>1821226590.829145</v>
      </c>
      <c r="L172" s="53">
        <f>K172-J172</f>
        <v>1821226590.829145</v>
      </c>
      <c r="M172" s="53"/>
      <c r="N172" s="53"/>
      <c r="O172" s="53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3"/>
      <c r="AA172" s="53"/>
      <c r="AB172" s="53"/>
      <c r="AC172" s="53"/>
      <c r="AD172" s="54"/>
      <c r="AE172" s="54"/>
      <c r="AF172" s="54"/>
      <c r="AG172" s="54"/>
      <c r="AH172" s="54"/>
      <c r="AI172" s="54"/>
      <c r="AJ172" s="53"/>
      <c r="AK172" s="53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3"/>
      <c r="BB172" s="53"/>
      <c r="BC172" s="54"/>
      <c r="BD172" s="54"/>
      <c r="BE172" s="74"/>
    </row>
    <row r="173" spans="1:57" x14ac:dyDescent="0.3">
      <c r="A173" t="s">
        <v>589</v>
      </c>
      <c r="B173" s="22" t="s">
        <v>337</v>
      </c>
      <c r="C173" s="23" t="s">
        <v>338</v>
      </c>
      <c r="D173" s="72">
        <v>85.977000000000004</v>
      </c>
      <c r="E173" s="66">
        <v>0.33800000000000002</v>
      </c>
      <c r="F173" s="53">
        <v>947300</v>
      </c>
      <c r="G173" s="72">
        <v>68560160</v>
      </c>
      <c r="H173" s="72">
        <f>Tabelle2[[#This Row],[Bevölkerung]]/1000</f>
        <v>68560.160000000003</v>
      </c>
      <c r="I173" s="72">
        <v>4.59</v>
      </c>
      <c r="J173" s="53">
        <v>13112235</v>
      </c>
      <c r="K173" s="53">
        <f>G173*EXP(5.043121+0.031911*LN(D173/G173)+0.058886*LN(F173)-0.043159*LN(E173))</f>
        <v>16225779087.49058</v>
      </c>
      <c r="L173" s="53">
        <f>K173-J173</f>
        <v>16212666852.49058</v>
      </c>
      <c r="M173" s="53"/>
      <c r="N173" s="53"/>
      <c r="O173" s="53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3">
        <v>743044</v>
      </c>
      <c r="AA173" s="53"/>
      <c r="AB173" s="53"/>
      <c r="AC173" s="53"/>
      <c r="AD173" s="54"/>
      <c r="AE173" s="54"/>
      <c r="AF173" s="54"/>
      <c r="AG173" s="54"/>
      <c r="AH173" s="54"/>
      <c r="AI173" s="54"/>
      <c r="AJ173" s="53"/>
      <c r="AK173" s="53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3">
        <v>14348372</v>
      </c>
      <c r="BB173" s="53"/>
      <c r="BC173" s="54"/>
      <c r="BD173" s="54"/>
      <c r="BE173" s="74"/>
    </row>
    <row r="174" spans="1:57" hidden="1" x14ac:dyDescent="0.3">
      <c r="B174" s="13" t="s">
        <v>339</v>
      </c>
      <c r="C174" s="14" t="s">
        <v>340</v>
      </c>
      <c r="D174" s="72">
        <v>0.54622400000000004</v>
      </c>
      <c r="E174" s="66">
        <v>0.499</v>
      </c>
      <c r="F174" s="53">
        <v>513115</v>
      </c>
      <c r="G174" s="72">
        <v>71668010</v>
      </c>
      <c r="H174" s="72">
        <f>Tabelle2[[#This Row],[Bevölkerung]]/1000</f>
        <v>71668.009999999995</v>
      </c>
      <c r="I174" s="72"/>
      <c r="J174" s="53"/>
      <c r="K174" s="53">
        <f>G174*EXP(5.043121+0.031911*LN(D174/G174)+0.058886*LN(F174)-0.043159*LN(E174))</f>
        <v>13669552625.424128</v>
      </c>
      <c r="L174" s="53">
        <f>K174-J174</f>
        <v>13669552625.424128</v>
      </c>
      <c r="M174" s="53"/>
      <c r="N174" s="53"/>
      <c r="O174" s="53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3"/>
      <c r="AA174" s="53"/>
      <c r="AB174" s="53"/>
      <c r="AC174" s="53"/>
      <c r="AD174" s="54"/>
      <c r="AE174" s="54"/>
      <c r="AF174" s="54"/>
      <c r="AG174" s="54"/>
      <c r="AH174" s="54"/>
      <c r="AI174" s="54"/>
      <c r="AJ174" s="53"/>
      <c r="AK174" s="53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3"/>
      <c r="BB174" s="53"/>
      <c r="BC174" s="54"/>
      <c r="BD174" s="54"/>
      <c r="BE174" s="74"/>
    </row>
    <row r="175" spans="1:57" hidden="1" x14ac:dyDescent="0.3">
      <c r="B175" s="2" t="s">
        <v>341</v>
      </c>
      <c r="C175" s="3" t="s">
        <v>342</v>
      </c>
      <c r="D175" s="72">
        <v>2.1150000000000001E-3</v>
      </c>
      <c r="E175" s="66">
        <v>0.30599999999999999</v>
      </c>
      <c r="F175" s="53">
        <v>14870</v>
      </c>
      <c r="G175" s="72">
        <v>1400640</v>
      </c>
      <c r="H175" s="72">
        <f>Tabelle2[[#This Row],[Bevölkerung]]/1000</f>
        <v>1400.64</v>
      </c>
      <c r="I175" s="72"/>
      <c r="J175" s="53"/>
      <c r="K175" s="53">
        <f>G175*EXP(5.043121+0.031911*LN(D175/G175)+0.058886*LN(F175)-0.043159*LN(E175))</f>
        <v>210341590.24201593</v>
      </c>
      <c r="L175" s="53">
        <f>K175-J175</f>
        <v>210341590.24201593</v>
      </c>
      <c r="M175" s="53"/>
      <c r="N175" s="53"/>
      <c r="O175" s="53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3"/>
      <c r="AA175" s="53"/>
      <c r="AB175" s="53"/>
      <c r="AC175" s="53"/>
      <c r="AD175" s="54"/>
      <c r="AE175" s="54"/>
      <c r="AF175" s="54"/>
      <c r="AG175" s="54"/>
      <c r="AH175" s="54"/>
      <c r="AI175" s="54"/>
      <c r="AJ175" s="53"/>
      <c r="AK175" s="53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3"/>
      <c r="BB175" s="53"/>
      <c r="BC175" s="54"/>
      <c r="BD175" s="54"/>
      <c r="BE175" s="74"/>
    </row>
    <row r="176" spans="1:57" hidden="1" x14ac:dyDescent="0.3">
      <c r="B176" s="2" t="s">
        <v>343</v>
      </c>
      <c r="C176" s="3" t="s">
        <v>344</v>
      </c>
      <c r="D176" s="72">
        <v>1.0023000000000001E-2</v>
      </c>
      <c r="E176" s="66">
        <v>0.41699999999999998</v>
      </c>
      <c r="F176" s="53">
        <v>56790</v>
      </c>
      <c r="G176" s="72">
        <v>9515240</v>
      </c>
      <c r="H176" s="72">
        <f>Tabelle2[[#This Row],[Bevölkerung]]/1000</f>
        <v>9515.24</v>
      </c>
      <c r="I176" s="72"/>
      <c r="J176" s="53"/>
      <c r="K176" s="53">
        <f>G176*EXP(5.043121+0.031911*LN(D176/G176)+0.058886*LN(F176)-0.043159*LN(E176))</f>
        <v>1508326828.927892</v>
      </c>
      <c r="L176" s="53">
        <f>K176-J176</f>
        <v>1508326828.927892</v>
      </c>
      <c r="M176" s="53"/>
      <c r="N176" s="53"/>
      <c r="O176" s="53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3"/>
      <c r="AA176" s="53"/>
      <c r="AB176" s="53"/>
      <c r="AC176" s="53"/>
      <c r="AD176" s="54"/>
      <c r="AE176" s="54"/>
      <c r="AF176" s="54"/>
      <c r="AG176" s="54"/>
      <c r="AH176" s="54"/>
      <c r="AI176" s="54"/>
      <c r="AJ176" s="53"/>
      <c r="AK176" s="53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3"/>
      <c r="BB176" s="53"/>
      <c r="BC176" s="54"/>
      <c r="BD176" s="54"/>
      <c r="BE176" s="74"/>
    </row>
    <row r="177" spans="1:57" hidden="1" x14ac:dyDescent="0.3">
      <c r="B177" s="4" t="s">
        <v>345</v>
      </c>
      <c r="C177" s="5" t="s">
        <v>346</v>
      </c>
      <c r="D177" s="72">
        <v>5.679999999999999E-7</v>
      </c>
      <c r="E177" s="66">
        <v>0.23100000000000001</v>
      </c>
      <c r="F177" s="53">
        <v>750</v>
      </c>
      <c r="G177" s="72">
        <v>104170</v>
      </c>
      <c r="H177" s="72">
        <f>Tabelle2[[#This Row],[Bevölkerung]]/1000</f>
        <v>104.17</v>
      </c>
      <c r="I177" s="72"/>
      <c r="J177" s="53"/>
      <c r="K177" s="53">
        <f>G177*EXP(5.043121+0.031911*LN(D177/G177)+0.058886*LN(F177)-0.043159*LN(E177))</f>
        <v>11098974.094474271</v>
      </c>
      <c r="L177" s="53">
        <f>K177-J177</f>
        <v>11098974.094474271</v>
      </c>
      <c r="M177" s="53"/>
      <c r="N177" s="53"/>
      <c r="O177" s="53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3"/>
      <c r="AA177" s="53"/>
      <c r="AB177" s="53"/>
      <c r="AC177" s="53"/>
      <c r="AD177" s="54"/>
      <c r="AE177" s="54"/>
      <c r="AF177" s="54"/>
      <c r="AG177" s="54"/>
      <c r="AH177" s="54"/>
      <c r="AI177" s="54"/>
      <c r="AJ177" s="53"/>
      <c r="AK177" s="53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3"/>
      <c r="BB177" s="53"/>
      <c r="BC177" s="54"/>
      <c r="BD177" s="54"/>
      <c r="BE177" s="74"/>
    </row>
    <row r="178" spans="1:57" hidden="1" x14ac:dyDescent="0.3">
      <c r="B178" s="4" t="s">
        <v>347</v>
      </c>
      <c r="C178" s="5" t="s">
        <v>348</v>
      </c>
      <c r="D178" s="72">
        <v>2.6466999999999997E-2</v>
      </c>
      <c r="E178" s="66">
        <v>0.53200000000000003</v>
      </c>
      <c r="F178" s="53">
        <v>5130</v>
      </c>
      <c r="G178" s="72">
        <v>1368330</v>
      </c>
      <c r="H178" s="72">
        <f>Tabelle2[[#This Row],[Bevölkerung]]/1000</f>
        <v>1368.33</v>
      </c>
      <c r="I178" s="72"/>
      <c r="J178" s="53"/>
      <c r="K178" s="53">
        <f>G178*EXP(5.043121+0.031911*LN(D178/G178)+0.058886*LN(F178)-0.043159*LN(E178))</f>
        <v>204431947.40896717</v>
      </c>
      <c r="L178" s="53">
        <f>K178-J178</f>
        <v>204431947.40896717</v>
      </c>
      <c r="M178" s="53"/>
      <c r="N178" s="53"/>
      <c r="O178" s="53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3"/>
      <c r="AA178" s="53"/>
      <c r="AB178" s="53"/>
      <c r="AC178" s="53"/>
      <c r="AD178" s="54"/>
      <c r="AE178" s="54"/>
      <c r="AF178" s="54"/>
      <c r="AG178" s="54"/>
      <c r="AH178" s="54"/>
      <c r="AI178" s="54"/>
      <c r="AJ178" s="53"/>
      <c r="AK178" s="53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3"/>
      <c r="BB178" s="53"/>
      <c r="BC178" s="54"/>
      <c r="BD178" s="54"/>
      <c r="BE178" s="74"/>
    </row>
    <row r="179" spans="1:57" hidden="1" x14ac:dyDescent="0.3">
      <c r="B179" s="4" t="s">
        <v>349</v>
      </c>
      <c r="C179" s="5" t="s">
        <v>350</v>
      </c>
      <c r="D179" s="72">
        <v>1.8792E-2</v>
      </c>
      <c r="E179" s="66">
        <v>0.23100000000000001</v>
      </c>
      <c r="F179" s="53">
        <v>1284000</v>
      </c>
      <c r="G179" s="72">
        <v>20299120</v>
      </c>
      <c r="H179" s="72">
        <f>Tabelle2[[#This Row],[Bevölkerung]]/1000</f>
        <v>20299.12</v>
      </c>
      <c r="I179" s="72"/>
      <c r="J179" s="53"/>
      <c r="K179" s="53">
        <f>G179*EXP(5.043121+0.031911*LN(D179/G179)+0.058886*LN(F179)-0.043159*LN(E179))</f>
        <v>3949876443.3295035</v>
      </c>
      <c r="L179" s="53">
        <f>K179-J179</f>
        <v>3949876443.3295035</v>
      </c>
      <c r="M179" s="53"/>
      <c r="N179" s="53"/>
      <c r="O179" s="53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3"/>
      <c r="AA179" s="53"/>
      <c r="AB179" s="53"/>
      <c r="AC179" s="53"/>
      <c r="AD179" s="54"/>
      <c r="AE179" s="54"/>
      <c r="AF179" s="54"/>
      <c r="AG179" s="54"/>
      <c r="AH179" s="54"/>
      <c r="AI179" s="54"/>
      <c r="AJ179" s="53"/>
      <c r="AK179" s="53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3"/>
      <c r="BB179" s="53"/>
      <c r="BC179" s="54"/>
      <c r="BD179" s="54"/>
      <c r="BE179" s="74"/>
    </row>
    <row r="180" spans="1:57" hidden="1" x14ac:dyDescent="0.3">
      <c r="B180" s="13" t="s">
        <v>351</v>
      </c>
      <c r="C180" s="14" t="s">
        <v>352</v>
      </c>
      <c r="D180" s="72">
        <v>0.36024399999999995</v>
      </c>
      <c r="E180" s="66">
        <v>0.73799999999999999</v>
      </c>
      <c r="F180" s="53">
        <v>78871</v>
      </c>
      <c r="G180" s="72">
        <v>10882160</v>
      </c>
      <c r="H180" s="72">
        <f>Tabelle2[[#This Row],[Bevölkerung]]/1000</f>
        <v>10882.16</v>
      </c>
      <c r="I180" s="72"/>
      <c r="J180" s="53"/>
      <c r="K180" s="53">
        <f>G180*EXP(5.043121+0.031911*LN(D180/G180)+0.058886*LN(F180)-0.043159*LN(E180))</f>
        <v>1915451247.0686381</v>
      </c>
      <c r="L180" s="53">
        <f>K180-J180</f>
        <v>1915451247.0686381</v>
      </c>
      <c r="M180" s="53"/>
      <c r="N180" s="53">
        <v>4480139</v>
      </c>
      <c r="O180" s="53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3"/>
      <c r="AA180" s="53"/>
      <c r="AB180" s="53"/>
      <c r="AC180" s="53"/>
      <c r="AD180" s="54"/>
      <c r="AE180" s="54"/>
      <c r="AF180" s="54"/>
      <c r="AG180" s="54"/>
      <c r="AH180" s="54"/>
      <c r="AI180" s="54"/>
      <c r="AJ180" s="53"/>
      <c r="AK180" s="53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3"/>
      <c r="BB180" s="53"/>
      <c r="BC180" s="54"/>
      <c r="BD180" s="54"/>
      <c r="BE180" s="74"/>
    </row>
    <row r="181" spans="1:57" hidden="1" x14ac:dyDescent="0.3">
      <c r="B181" s="24" t="s">
        <v>353</v>
      </c>
      <c r="C181" s="25" t="s">
        <v>354</v>
      </c>
      <c r="D181" s="72">
        <v>5.6291000000000001E-2</v>
      </c>
      <c r="E181" s="66">
        <v>0.68899999999999995</v>
      </c>
      <c r="F181" s="53">
        <v>163610</v>
      </c>
      <c r="G181" s="72">
        <v>12277110</v>
      </c>
      <c r="H181" s="72">
        <f>Tabelle2[[#This Row],[Bevölkerung]]/1000</f>
        <v>12277.11</v>
      </c>
      <c r="I181" s="72"/>
      <c r="J181" s="53"/>
      <c r="K181" s="53">
        <f>G181*EXP(5.043121+0.031911*LN(D181/G181)+0.058886*LN(F181)-0.043159*LN(E181))</f>
        <v>2124240000.9216428</v>
      </c>
      <c r="L181" s="53">
        <f>K181-J181</f>
        <v>2124240000.9216428</v>
      </c>
      <c r="M181" s="53"/>
      <c r="N181" s="53"/>
      <c r="O181" s="53"/>
      <c r="P181" s="54"/>
      <c r="Q181" s="54"/>
      <c r="R181" s="54"/>
      <c r="S181" s="54"/>
      <c r="T181" s="54"/>
      <c r="U181" s="54"/>
      <c r="V181" s="54"/>
      <c r="W181" s="54"/>
      <c r="X181" s="54">
        <v>3289903</v>
      </c>
      <c r="Y181" s="54"/>
      <c r="Z181" s="53"/>
      <c r="AA181" s="53"/>
      <c r="AB181" s="53"/>
      <c r="AC181" s="53"/>
      <c r="AD181" s="54"/>
      <c r="AE181" s="54"/>
      <c r="AF181" s="54"/>
      <c r="AG181" s="54"/>
      <c r="AH181" s="54"/>
      <c r="AI181" s="54"/>
      <c r="AJ181" s="53"/>
      <c r="AK181" s="53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3"/>
      <c r="BB181" s="53"/>
      <c r="BC181" s="54"/>
      <c r="BD181" s="54"/>
      <c r="BE181" s="74"/>
    </row>
    <row r="182" spans="1:57" hidden="1" x14ac:dyDescent="0.3">
      <c r="B182" s="17" t="s">
        <v>355</v>
      </c>
      <c r="C182" s="18" t="s">
        <v>356</v>
      </c>
      <c r="D182" s="72">
        <v>1.437406</v>
      </c>
      <c r="E182" s="66">
        <v>0.751</v>
      </c>
      <c r="F182" s="53">
        <v>785350</v>
      </c>
      <c r="G182" s="72">
        <v>85518660</v>
      </c>
      <c r="H182" s="72">
        <f>Tabelle2[[#This Row],[Bevölkerung]]/1000</f>
        <v>85518.66</v>
      </c>
      <c r="I182" s="72"/>
      <c r="J182" s="53"/>
      <c r="K182" s="53">
        <f>G182*EXP(5.043121+0.031911*LN(D182/G182)+0.058886*LN(F182)-0.043159*LN(E182))</f>
        <v>16852835531.053341</v>
      </c>
      <c r="L182" s="53">
        <f>K182-J182</f>
        <v>16852835531.053341</v>
      </c>
      <c r="M182" s="53"/>
      <c r="N182" s="53"/>
      <c r="O182" s="53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3"/>
      <c r="AA182" s="53"/>
      <c r="AB182" s="53"/>
      <c r="AC182" s="53"/>
      <c r="AD182" s="54"/>
      <c r="AE182" s="54"/>
      <c r="AF182" s="54"/>
      <c r="AG182" s="54"/>
      <c r="AH182" s="54"/>
      <c r="AI182" s="54"/>
      <c r="AJ182" s="53"/>
      <c r="AK182" s="53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3"/>
      <c r="BB182" s="53"/>
      <c r="BC182" s="54"/>
      <c r="BD182" s="54"/>
      <c r="BE182" s="74"/>
    </row>
    <row r="183" spans="1:57" hidden="1" x14ac:dyDescent="0.3">
      <c r="B183" s="2" t="s">
        <v>357</v>
      </c>
      <c r="C183" s="3" t="s">
        <v>358</v>
      </c>
      <c r="D183" s="72">
        <v>8.9054000000000008E-2</v>
      </c>
      <c r="E183" s="66">
        <v>0.51600000000000001</v>
      </c>
      <c r="F183" s="53">
        <v>491209</v>
      </c>
      <c r="G183" s="72">
        <v>7494500</v>
      </c>
      <c r="H183" s="72">
        <f>Tabelle2[[#This Row],[Bevölkerung]]/1000</f>
        <v>7494.5</v>
      </c>
      <c r="I183" s="72"/>
      <c r="J183" s="53"/>
      <c r="K183" s="53">
        <f>G183*EXP(5.043121+0.031911*LN(D183/G183)+0.058886*LN(F183)-0.043159*LN(E183))</f>
        <v>1444050639.1066024</v>
      </c>
      <c r="L183" s="53">
        <f>K183-J183</f>
        <v>1444050639.1066024</v>
      </c>
      <c r="M183" s="53"/>
      <c r="N183" s="53"/>
      <c r="O183" s="53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3"/>
      <c r="AA183" s="53"/>
      <c r="AB183" s="53"/>
      <c r="AC183" s="53"/>
      <c r="AD183" s="54"/>
      <c r="AE183" s="54"/>
      <c r="AF183" s="54"/>
      <c r="AG183" s="54"/>
      <c r="AH183" s="54"/>
      <c r="AI183" s="54"/>
      <c r="AJ183" s="53"/>
      <c r="AK183" s="53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3"/>
      <c r="BB183" s="53"/>
      <c r="BC183" s="54"/>
      <c r="BD183" s="54"/>
      <c r="BE183" s="74"/>
    </row>
    <row r="184" spans="1:57" hidden="1" x14ac:dyDescent="0.3">
      <c r="B184" s="2" t="s">
        <v>359</v>
      </c>
      <c r="C184" s="3" t="s">
        <v>360</v>
      </c>
      <c r="D184" s="72">
        <v>6.5000000000000013E-8</v>
      </c>
      <c r="E184" s="66">
        <v>0.624</v>
      </c>
      <c r="F184" s="53">
        <v>30</v>
      </c>
      <c r="G184" s="72">
        <v>46530</v>
      </c>
      <c r="H184" s="72">
        <f>Tabelle2[[#This Row],[Bevölkerung]]/1000</f>
        <v>46.53</v>
      </c>
      <c r="I184" s="72"/>
      <c r="J184" s="53"/>
      <c r="K184" s="53">
        <f>G184*EXP(5.043121+0.031911*LN(D184/G184)+0.058886*LN(F184)-0.043159*LN(E184))</f>
        <v>3762312.9167529028</v>
      </c>
      <c r="L184" s="53">
        <f>K184-J184</f>
        <v>3762312.9167529028</v>
      </c>
      <c r="M184" s="53"/>
      <c r="N184" s="53"/>
      <c r="O184" s="53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3"/>
      <c r="AA184" s="53"/>
      <c r="AB184" s="53"/>
      <c r="AC184" s="53"/>
      <c r="AD184" s="54"/>
      <c r="AE184" s="54"/>
      <c r="AF184" s="54"/>
      <c r="AG184" s="54"/>
      <c r="AH184" s="54"/>
      <c r="AI184" s="54"/>
      <c r="AJ184" s="53"/>
      <c r="AK184" s="53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3"/>
      <c r="BB184" s="53"/>
      <c r="BC184" s="54"/>
      <c r="BD184" s="54"/>
      <c r="BE184" s="74"/>
    </row>
    <row r="185" spans="1:57" hidden="1" x14ac:dyDescent="0.3">
      <c r="B185" s="22" t="s">
        <v>361</v>
      </c>
      <c r="C185" s="23" t="s">
        <v>362</v>
      </c>
      <c r="D185" s="72">
        <v>6.4277000000000001E-2</v>
      </c>
      <c r="E185" s="66">
        <v>0.23799999999999999</v>
      </c>
      <c r="F185" s="53">
        <v>241550</v>
      </c>
      <c r="G185" s="72">
        <v>50015090</v>
      </c>
      <c r="H185" s="72">
        <f>Tabelle2[[#This Row],[Bevölkerung]]/1000</f>
        <v>50015.09</v>
      </c>
      <c r="I185" s="72"/>
      <c r="J185" s="53"/>
      <c r="K185" s="53">
        <f>G185*EXP(5.043121+0.031911*LN(D185/G185)+0.058886*LN(F185)-0.043159*LN(E185))</f>
        <v>8901610611.1114807</v>
      </c>
      <c r="L185" s="53">
        <f>K185-J185</f>
        <v>8901610611.1114807</v>
      </c>
      <c r="M185" s="53"/>
      <c r="N185" s="53"/>
      <c r="O185" s="53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3"/>
      <c r="AA185" s="53"/>
      <c r="AB185" s="53"/>
      <c r="AC185" s="53"/>
      <c r="AD185" s="54"/>
      <c r="AE185" s="54"/>
      <c r="AF185" s="54"/>
      <c r="AG185" s="54"/>
      <c r="AH185" s="54"/>
      <c r="AI185" s="54"/>
      <c r="AJ185" s="53"/>
      <c r="AK185" s="53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3"/>
      <c r="BB185" s="53"/>
      <c r="BC185" s="54"/>
      <c r="BD185" s="54"/>
      <c r="BE185" s="74"/>
    </row>
    <row r="186" spans="1:57" hidden="1" x14ac:dyDescent="0.3">
      <c r="B186" s="4" t="s">
        <v>363</v>
      </c>
      <c r="C186" s="5" t="s">
        <v>364</v>
      </c>
      <c r="D186" s="72">
        <v>0.20574200000000001</v>
      </c>
      <c r="E186" s="66">
        <v>0.69399999999999995</v>
      </c>
      <c r="F186" s="53">
        <v>603550</v>
      </c>
      <c r="G186" s="72">
        <v>37860220</v>
      </c>
      <c r="H186" s="72">
        <f>Tabelle2[[#This Row],[Bevölkerung]]/1000</f>
        <v>37860.22</v>
      </c>
      <c r="I186" s="72"/>
      <c r="J186" s="53"/>
      <c r="K186" s="53">
        <f>G186*EXP(5.043121+0.031911*LN(D186/G186)+0.058886*LN(F186)-0.043159*LN(E186))</f>
        <v>7110377347.7928944</v>
      </c>
      <c r="L186" s="53">
        <f>K186-J186</f>
        <v>7110377347.7928944</v>
      </c>
      <c r="M186" s="53"/>
      <c r="N186" s="53"/>
      <c r="O186" s="53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3"/>
      <c r="AA186" s="53"/>
      <c r="AB186" s="53"/>
      <c r="AC186" s="53"/>
      <c r="AD186" s="54"/>
      <c r="AE186" s="54"/>
      <c r="AF186" s="54"/>
      <c r="AG186" s="54"/>
      <c r="AH186" s="54"/>
      <c r="AI186" s="54"/>
      <c r="AJ186" s="53"/>
      <c r="AK186" s="53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3"/>
      <c r="BB186" s="53"/>
      <c r="BC186" s="54"/>
      <c r="BD186" s="54"/>
      <c r="BE186" s="74"/>
    </row>
    <row r="187" spans="1:57" x14ac:dyDescent="0.3">
      <c r="A187" t="s">
        <v>589</v>
      </c>
      <c r="B187" s="13" t="s">
        <v>365</v>
      </c>
      <c r="C187" s="14" t="s">
        <v>366</v>
      </c>
      <c r="D187" s="72">
        <v>23.707000000000001</v>
      </c>
      <c r="E187" s="66">
        <v>0.71399999999999997</v>
      </c>
      <c r="F187" s="53">
        <v>93030</v>
      </c>
      <c r="G187" s="72">
        <v>9562310</v>
      </c>
      <c r="H187" s="72">
        <f>Tabelle2[[#This Row],[Bevölkerung]]/1000</f>
        <v>9562.31</v>
      </c>
      <c r="I187" s="72">
        <v>2.2999999999999998</v>
      </c>
      <c r="J187" s="53">
        <v>2790000</v>
      </c>
      <c r="K187" s="53">
        <f>G187*EXP(5.043121+0.031911*LN(D187/G187)+0.058886*LN(F187)-0.043159*LN(E187))</f>
        <v>1953331537.2890599</v>
      </c>
      <c r="L187" s="53">
        <f>K187-J187</f>
        <v>1950541537.2890599</v>
      </c>
      <c r="M187" s="53"/>
      <c r="N187" s="53"/>
      <c r="O187" s="53"/>
      <c r="P187" s="54"/>
      <c r="Q187" s="54"/>
      <c r="R187" s="54"/>
      <c r="S187" s="54"/>
      <c r="T187" s="54"/>
      <c r="U187" s="54"/>
      <c r="V187" s="54"/>
      <c r="W187" s="54"/>
      <c r="X187" s="54">
        <v>4603906</v>
      </c>
      <c r="Y187" s="54"/>
      <c r="Z187" s="53"/>
      <c r="AA187" s="53"/>
      <c r="AB187" s="53"/>
      <c r="AC187" s="53"/>
      <c r="AD187" s="54"/>
      <c r="AE187" s="54"/>
      <c r="AF187" s="54"/>
      <c r="AG187" s="54"/>
      <c r="AH187" s="54"/>
      <c r="AI187" s="54"/>
      <c r="AJ187" s="53"/>
      <c r="AK187" s="53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3"/>
      <c r="BB187" s="53"/>
      <c r="BC187" s="54"/>
      <c r="BD187" s="54"/>
      <c r="BE187" s="74"/>
    </row>
    <row r="188" spans="1:57" hidden="1" x14ac:dyDescent="0.3">
      <c r="B188" s="24" t="s">
        <v>367</v>
      </c>
      <c r="C188" s="23" t="s">
        <v>368</v>
      </c>
      <c r="D188" s="72">
        <v>7.973100000000001E-2</v>
      </c>
      <c r="E188" s="66">
        <v>0.95299999999999996</v>
      </c>
      <c r="F188" s="53">
        <v>176220</v>
      </c>
      <c r="G188" s="72">
        <v>3386590</v>
      </c>
      <c r="H188" s="72">
        <f>Tabelle2[[#This Row],[Bevölkerung]]/1000</f>
        <v>3386.59</v>
      </c>
      <c r="I188" s="72"/>
      <c r="J188" s="53"/>
      <c r="K188" s="53">
        <f>G188*EXP(5.043121+0.031911*LN(D188/G188)+0.058886*LN(F188)-0.043159*LN(E188))</f>
        <v>611451972.3884908</v>
      </c>
      <c r="L188" s="53">
        <f>K188-J188</f>
        <v>611451972.3884908</v>
      </c>
      <c r="M188" s="53"/>
      <c r="N188" s="53"/>
      <c r="O188" s="53"/>
      <c r="P188" s="54"/>
      <c r="Q188" s="54"/>
      <c r="R188" s="54"/>
      <c r="S188" s="54"/>
      <c r="T188" s="54"/>
      <c r="U188" s="54"/>
      <c r="V188" s="54"/>
      <c r="W188" s="54"/>
      <c r="X188" s="54">
        <v>1659048</v>
      </c>
      <c r="Y188" s="54"/>
      <c r="Z188" s="53"/>
      <c r="AA188" s="53"/>
      <c r="AB188" s="53"/>
      <c r="AC188" s="53"/>
      <c r="AD188" s="54"/>
      <c r="AE188" s="54"/>
      <c r="AF188" s="54"/>
      <c r="AG188" s="54"/>
      <c r="AH188" s="54"/>
      <c r="AI188" s="54"/>
      <c r="AJ188" s="53"/>
      <c r="AK188" s="53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3"/>
      <c r="BB188" s="53"/>
      <c r="BC188" s="54"/>
      <c r="BD188" s="54"/>
      <c r="BE188" s="74"/>
    </row>
    <row r="189" spans="1:57" hidden="1" x14ac:dyDescent="0.3">
      <c r="B189" s="4" t="s">
        <v>369</v>
      </c>
      <c r="C189" s="5" t="s">
        <v>370</v>
      </c>
      <c r="D189" s="72">
        <v>0.13248399999999999</v>
      </c>
      <c r="E189" s="66">
        <v>0.505</v>
      </c>
      <c r="F189" s="53">
        <v>448920</v>
      </c>
      <c r="G189" s="72">
        <v>36361860</v>
      </c>
      <c r="H189" s="72">
        <f>Tabelle2[[#This Row],[Bevölkerung]]/1000</f>
        <v>36361.86</v>
      </c>
      <c r="I189" s="72"/>
      <c r="J189" s="53"/>
      <c r="K189" s="53">
        <f>G189*EXP(5.043121+0.031911*LN(D189/G189)+0.058886*LN(F189)-0.043159*LN(E189))</f>
        <v>6717451825.8460608</v>
      </c>
      <c r="L189" s="53">
        <f>K189-J189</f>
        <v>6717451825.8460608</v>
      </c>
      <c r="M189" s="53"/>
      <c r="N189" s="53"/>
      <c r="O189" s="53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3"/>
      <c r="AA189" s="53"/>
      <c r="AB189" s="53"/>
      <c r="AC189" s="53"/>
      <c r="AD189" s="54"/>
      <c r="AE189" s="54"/>
      <c r="AF189" s="54"/>
      <c r="AG189" s="54"/>
      <c r="AH189" s="54"/>
      <c r="AI189" s="54"/>
      <c r="AJ189" s="53"/>
      <c r="AK189" s="53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3"/>
      <c r="BB189" s="53"/>
      <c r="BC189" s="54"/>
      <c r="BD189" s="54"/>
      <c r="BE189" s="74"/>
    </row>
    <row r="190" spans="1:57" hidden="1" x14ac:dyDescent="0.3">
      <c r="B190" s="2" t="s">
        <v>371</v>
      </c>
      <c r="C190" s="3" t="s">
        <v>372</v>
      </c>
      <c r="D190" s="72">
        <v>1.2669999999999999E-3</v>
      </c>
      <c r="E190" s="66">
        <v>0.253</v>
      </c>
      <c r="F190" s="53">
        <v>12190</v>
      </c>
      <c r="G190" s="72">
        <v>327780</v>
      </c>
      <c r="H190" s="72">
        <f>Tabelle2[[#This Row],[Bevölkerung]]/1000</f>
        <v>327.78</v>
      </c>
      <c r="I190" s="72"/>
      <c r="J190" s="53"/>
      <c r="K190" s="53">
        <f>G190*EXP(5.043121+0.031911*LN(D190/G190)+0.058886*LN(F190)-0.043159*LN(E190))</f>
        <v>50546392.030888788</v>
      </c>
      <c r="L190" s="53">
        <f>K190-J190</f>
        <v>50546392.030888788</v>
      </c>
      <c r="M190" s="53"/>
      <c r="N190" s="53"/>
      <c r="O190" s="53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3"/>
      <c r="AA190" s="53"/>
      <c r="AB190" s="53"/>
      <c r="AC190" s="53"/>
      <c r="AD190" s="54"/>
      <c r="AE190" s="54"/>
      <c r="AF190" s="54"/>
      <c r="AG190" s="54"/>
      <c r="AH190" s="54"/>
      <c r="AI190" s="54"/>
      <c r="AJ190" s="53"/>
      <c r="AK190" s="53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3"/>
      <c r="BB190" s="53"/>
      <c r="BC190" s="54"/>
      <c r="BD190" s="54"/>
      <c r="BE190" s="74"/>
    </row>
    <row r="191" spans="1:57" hidden="1" x14ac:dyDescent="0.3">
      <c r="B191" s="2" t="s">
        <v>373</v>
      </c>
      <c r="C191" s="3" t="s">
        <v>374</v>
      </c>
      <c r="D191" s="72" t="s">
        <v>593</v>
      </c>
      <c r="E191" s="66"/>
      <c r="F191" s="67" t="s">
        <v>593</v>
      </c>
      <c r="G191" s="72" t="s">
        <v>593</v>
      </c>
      <c r="H191" s="72" t="e">
        <f>Tabelle2[[#This Row],[Bevölkerung]]/1000</f>
        <v>#VALUE!</v>
      </c>
      <c r="I191" s="72"/>
      <c r="J191" s="53"/>
      <c r="K191" s="53" t="e">
        <f>G191*EXP(5.043121+0.031911*LN(D191/G191)+0.058886*LN(F191)-0.043159*LN(E191))</f>
        <v>#VALUE!</v>
      </c>
      <c r="L191" s="53" t="e">
        <f>K191-J191</f>
        <v>#VALUE!</v>
      </c>
      <c r="M191" s="53"/>
      <c r="N191" s="53"/>
      <c r="O191" s="53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3"/>
      <c r="AA191" s="53"/>
      <c r="AB191" s="53"/>
      <c r="AC191" s="53"/>
      <c r="AD191" s="54"/>
      <c r="AE191" s="54"/>
      <c r="AF191" s="54"/>
      <c r="AG191" s="54"/>
      <c r="AH191" s="54"/>
      <c r="AI191" s="54"/>
      <c r="AJ191" s="53"/>
      <c r="AK191" s="53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3"/>
      <c r="BB191" s="53"/>
      <c r="BC191" s="54"/>
      <c r="BD191" s="54"/>
      <c r="BE191" s="74"/>
    </row>
    <row r="192" spans="1:57" hidden="1" x14ac:dyDescent="0.3">
      <c r="B192" s="2" t="s">
        <v>375</v>
      </c>
      <c r="C192" s="3" t="s">
        <v>376</v>
      </c>
      <c r="D192" s="72">
        <v>0.108511</v>
      </c>
      <c r="E192" s="66">
        <v>0.88200000000000001</v>
      </c>
      <c r="F192" s="53">
        <v>912050</v>
      </c>
      <c r="G192" s="72">
        <v>28405540</v>
      </c>
      <c r="H192" s="72">
        <f>Tabelle2[[#This Row],[Bevölkerung]]/1000</f>
        <v>28405.54</v>
      </c>
      <c r="I192" s="72"/>
      <c r="J192" s="53"/>
      <c r="K192" s="53">
        <f>G192*EXP(5.043121+0.031911*LN(D192/G192)+0.058886*LN(F192)-0.043159*LN(E192))</f>
        <v>5349255103.6508617</v>
      </c>
      <c r="L192" s="53">
        <f>K192-J192</f>
        <v>5349255103.6508617</v>
      </c>
      <c r="M192" s="53"/>
      <c r="N192" s="53"/>
      <c r="O192" s="53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3"/>
      <c r="AA192" s="53"/>
      <c r="AB192" s="53"/>
      <c r="AC192" s="53"/>
      <c r="AD192" s="54"/>
      <c r="AE192" s="54"/>
      <c r="AF192" s="54"/>
      <c r="AG192" s="54"/>
      <c r="AH192" s="54"/>
      <c r="AI192" s="54"/>
      <c r="AJ192" s="53"/>
      <c r="AK192" s="53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3"/>
      <c r="BB192" s="53"/>
      <c r="BC192" s="54"/>
      <c r="BD192" s="54"/>
      <c r="BE192" s="74"/>
    </row>
    <row r="193" spans="1:58" hidden="1" x14ac:dyDescent="0.3">
      <c r="B193" s="17" t="s">
        <v>377</v>
      </c>
      <c r="C193" s="18" t="s">
        <v>378</v>
      </c>
      <c r="D193" s="72">
        <v>0.54859799999999992</v>
      </c>
      <c r="E193" s="66">
        <v>0.86499999999999999</v>
      </c>
      <c r="F193" s="53">
        <v>98648</v>
      </c>
      <c r="G193" s="72">
        <v>10876980</v>
      </c>
      <c r="H193" s="72">
        <f>Tabelle2[[#This Row],[Bevölkerung]]/1000</f>
        <v>10876.98</v>
      </c>
      <c r="I193" s="72"/>
      <c r="J193" s="53"/>
      <c r="K193" s="53">
        <f>G193*EXP(5.043121+0.031911*LN(D193/G193)+0.058886*LN(F193)-0.043159*LN(E193))</f>
        <v>1952744757.3192134</v>
      </c>
      <c r="L193" s="53">
        <f>K193-J193</f>
        <v>1952744757.3192134</v>
      </c>
      <c r="M193" s="53"/>
      <c r="N193" s="53"/>
      <c r="O193" s="53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3"/>
      <c r="AA193" s="53"/>
      <c r="AB193" s="53"/>
      <c r="AC193" s="53"/>
      <c r="AD193" s="54"/>
      <c r="AE193" s="54"/>
      <c r="AF193" s="54"/>
      <c r="AG193" s="54"/>
      <c r="AH193" s="54"/>
      <c r="AI193" s="54"/>
      <c r="AJ193" s="53"/>
      <c r="AK193" s="53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3"/>
      <c r="BB193" s="53"/>
      <c r="BC193" s="54"/>
      <c r="BD193" s="54"/>
      <c r="BE193" s="74"/>
    </row>
    <row r="194" spans="1:58" hidden="1" x14ac:dyDescent="0.3">
      <c r="B194" s="9" t="s">
        <v>379</v>
      </c>
      <c r="C194" s="10" t="s">
        <v>380</v>
      </c>
      <c r="D194" s="72">
        <v>30.507217000000004</v>
      </c>
      <c r="E194" s="66">
        <v>0.82299999999999995</v>
      </c>
      <c r="F194" s="53">
        <v>9831510</v>
      </c>
      <c r="G194" s="72">
        <v>340110990</v>
      </c>
      <c r="H194" s="72">
        <f>Tabelle2[[#This Row],[Bevölkerung]]/1000</f>
        <v>340110.99</v>
      </c>
      <c r="I194" s="72"/>
      <c r="J194" s="53"/>
      <c r="K194" s="53">
        <f>G194*EXP(5.043121+0.031911*LN(D194/G194)+0.058886*LN(F194)-0.043159*LN(E194))</f>
        <v>81725051797.554977</v>
      </c>
      <c r="L194" s="53">
        <f>K194-J194</f>
        <v>81725051797.554977</v>
      </c>
      <c r="M194" s="53"/>
      <c r="N194" s="53"/>
      <c r="O194" s="53"/>
      <c r="P194" s="54"/>
      <c r="Q194" s="54"/>
      <c r="R194" s="54"/>
      <c r="S194" s="54"/>
      <c r="T194" s="54"/>
      <c r="U194" s="54"/>
      <c r="V194" s="54"/>
      <c r="W194" s="54"/>
      <c r="X194" s="54">
        <v>147947000</v>
      </c>
      <c r="Y194" s="54"/>
      <c r="Z194" s="53"/>
      <c r="AA194" s="53"/>
      <c r="AB194" s="53">
        <v>5900000</v>
      </c>
      <c r="AC194" s="53">
        <v>8955853056</v>
      </c>
      <c r="AD194" s="54">
        <v>944000</v>
      </c>
      <c r="AE194" s="54">
        <v>16388000</v>
      </c>
      <c r="AF194" s="54"/>
      <c r="AG194" s="54"/>
      <c r="AH194" s="54"/>
      <c r="AI194" s="54"/>
      <c r="AJ194" s="53"/>
      <c r="AK194" s="53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3"/>
      <c r="BB194" s="53"/>
      <c r="BC194" s="54"/>
      <c r="BD194" s="54"/>
      <c r="BE194" s="74"/>
    </row>
    <row r="195" spans="1:58" hidden="1" x14ac:dyDescent="0.3">
      <c r="B195" s="9" t="s">
        <v>381</v>
      </c>
      <c r="C195" s="10" t="s">
        <v>382</v>
      </c>
      <c r="D195" s="72">
        <v>3.8391799999999998</v>
      </c>
      <c r="E195" s="66">
        <v>0.83399999999999996</v>
      </c>
      <c r="F195" s="53">
        <v>243610</v>
      </c>
      <c r="G195" s="72">
        <v>69226000</v>
      </c>
      <c r="H195" s="72">
        <f>Tabelle2[[#This Row],[Bevölkerung]]/1000</f>
        <v>69226</v>
      </c>
      <c r="I195" s="72"/>
      <c r="J195" s="53"/>
      <c r="K195" s="53">
        <f>G195*EXP(5.043121+0.031911*LN(D195/G195)+0.058886*LN(F195)-0.043159*LN(E195))</f>
        <v>13168156670.196381</v>
      </c>
      <c r="L195" s="53">
        <f>K195-J195</f>
        <v>13168156670.196381</v>
      </c>
      <c r="M195" s="53"/>
      <c r="N195" s="53"/>
      <c r="O195" s="53"/>
      <c r="P195" s="54"/>
      <c r="Q195" s="54"/>
      <c r="R195" s="54"/>
      <c r="S195" s="54"/>
      <c r="T195" s="54"/>
      <c r="U195" s="54"/>
      <c r="V195" s="54"/>
      <c r="W195" s="54"/>
      <c r="X195" s="54">
        <v>29319000</v>
      </c>
      <c r="Y195" s="54"/>
      <c r="Z195" s="53"/>
      <c r="AA195" s="53"/>
      <c r="AB195" s="53"/>
      <c r="AC195" s="53"/>
      <c r="AD195" s="54"/>
      <c r="AE195" s="54"/>
      <c r="AF195" s="54"/>
      <c r="AG195" s="54"/>
      <c r="AH195" s="54"/>
      <c r="AI195" s="54"/>
      <c r="AJ195" s="53"/>
      <c r="AK195" s="53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3"/>
      <c r="BB195" s="53"/>
      <c r="BC195" s="54"/>
      <c r="BD195" s="54"/>
      <c r="BE195" s="74"/>
    </row>
    <row r="196" spans="1:58" hidden="1" x14ac:dyDescent="0.3">
      <c r="B196" s="21" t="s">
        <v>383</v>
      </c>
      <c r="C196" s="18" t="s">
        <v>384</v>
      </c>
      <c r="D196" s="72">
        <v>0.49097000000000002</v>
      </c>
      <c r="E196" s="66">
        <v>0.35899999999999999</v>
      </c>
      <c r="F196" s="53">
        <v>331338</v>
      </c>
      <c r="G196" s="72">
        <v>100987690</v>
      </c>
      <c r="H196" s="72">
        <f>Tabelle2[[#This Row],[Bevölkerung]]/1000</f>
        <v>100987.69</v>
      </c>
      <c r="I196" s="72"/>
      <c r="J196" s="53"/>
      <c r="K196" s="53">
        <f>G196*EXP(5.043121+0.031911*LN(D196/G196)+0.058886*LN(F196)-0.043159*LN(E196))</f>
        <v>18769533380.171707</v>
      </c>
      <c r="L196" s="53">
        <f>K196-J196</f>
        <v>18769533380.171707</v>
      </c>
      <c r="M196" s="53"/>
      <c r="N196" s="53"/>
      <c r="O196" s="53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3"/>
      <c r="AA196" s="53"/>
      <c r="AB196" s="53"/>
      <c r="AC196" s="53"/>
      <c r="AD196" s="54"/>
      <c r="AE196" s="54"/>
      <c r="AF196" s="54"/>
      <c r="AG196" s="54"/>
      <c r="AH196" s="54"/>
      <c r="AI196" s="54"/>
      <c r="AJ196" s="53"/>
      <c r="AK196" s="53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3"/>
      <c r="BB196" s="53"/>
      <c r="BC196" s="54"/>
      <c r="BD196" s="54"/>
      <c r="BE196" s="74"/>
    </row>
    <row r="197" spans="1:58" hidden="1" x14ac:dyDescent="0.3">
      <c r="B197" s="2" t="s">
        <v>385</v>
      </c>
      <c r="C197" s="3" t="s">
        <v>386</v>
      </c>
      <c r="D197" s="72">
        <v>7.1561000000000013E-2</v>
      </c>
      <c r="E197" s="66">
        <v>0.78600000000000003</v>
      </c>
      <c r="F197" s="53">
        <v>207629</v>
      </c>
      <c r="G197" s="72">
        <v>9133710</v>
      </c>
      <c r="H197" s="72">
        <f>Tabelle2[[#This Row],[Bevölkerung]]/1000</f>
        <v>9133.7099999999991</v>
      </c>
      <c r="I197" s="72"/>
      <c r="J197" s="53"/>
      <c r="K197" s="53">
        <f>G197*EXP(5.043121+0.031911*LN(D197/G197)+0.058886*LN(F197)-0.043159*LN(E197))</f>
        <v>1621080141.9252269</v>
      </c>
      <c r="L197" s="53">
        <f>K197-J197</f>
        <v>1621080141.9252269</v>
      </c>
      <c r="M197" s="53"/>
      <c r="N197" s="53"/>
      <c r="O197" s="53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3"/>
      <c r="AA197" s="53"/>
      <c r="AB197" s="53"/>
      <c r="AC197" s="53"/>
      <c r="AD197" s="54"/>
      <c r="AE197" s="54"/>
      <c r="AF197" s="54"/>
      <c r="AG197" s="54"/>
      <c r="AH197" s="54"/>
      <c r="AI197" s="54"/>
      <c r="AJ197" s="53"/>
      <c r="AK197" s="53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3"/>
      <c r="BB197" s="53"/>
      <c r="BC197" s="54"/>
      <c r="BD197" s="54"/>
      <c r="BE197" s="74"/>
    </row>
    <row r="198" spans="1:58" hidden="1" x14ac:dyDescent="0.3">
      <c r="B198" s="6" t="s">
        <v>387</v>
      </c>
      <c r="C198" s="3" t="s">
        <v>388</v>
      </c>
      <c r="D198" s="72">
        <v>2.9319999999999997E-3</v>
      </c>
      <c r="E198" s="66">
        <v>0.41399999999999998</v>
      </c>
      <c r="F198" s="53">
        <v>622980</v>
      </c>
      <c r="G198" s="72">
        <v>5220690</v>
      </c>
      <c r="H198" s="72">
        <f>Tabelle2[[#This Row],[Bevölkerung]]/1000</f>
        <v>5220.6899999999996</v>
      </c>
      <c r="I198" s="72"/>
      <c r="J198" s="53"/>
      <c r="K198" s="53">
        <f>G198*EXP(5.043121+0.031911*LN(D198/G198)+0.058886*LN(F198)-0.043159*LN(E198))</f>
        <v>934277879.40851927</v>
      </c>
      <c r="L198" s="53">
        <f>K198-J198</f>
        <v>934277879.40851927</v>
      </c>
      <c r="M198" s="53"/>
      <c r="N198" s="53"/>
      <c r="O198" s="53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3"/>
      <c r="AA198" s="53"/>
      <c r="AB198" s="53"/>
      <c r="AC198" s="53"/>
      <c r="AD198" s="54"/>
      <c r="AE198" s="54"/>
      <c r="AF198" s="54"/>
      <c r="AG198" s="54"/>
      <c r="AH198" s="54"/>
      <c r="AI198" s="54"/>
      <c r="AJ198" s="53"/>
      <c r="AK198" s="53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3"/>
      <c r="BB198" s="53"/>
      <c r="BC198" s="54"/>
      <c r="BD198" s="54"/>
      <c r="BE198" s="74"/>
    </row>
    <row r="199" spans="1:58" x14ac:dyDescent="0.3">
      <c r="A199" t="s">
        <v>589</v>
      </c>
      <c r="B199" s="6" t="s">
        <v>389</v>
      </c>
      <c r="C199" s="5" t="s">
        <v>390</v>
      </c>
      <c r="D199" s="72">
        <v>38.736000000000004</v>
      </c>
      <c r="E199" s="66">
        <v>0.66800000000000004</v>
      </c>
      <c r="F199" s="53">
        <v>9250</v>
      </c>
      <c r="G199" s="72">
        <v>1358280</v>
      </c>
      <c r="H199" s="72">
        <f>Tabelle2[[#This Row],[Bevölkerung]]/1000</f>
        <v>1358.28</v>
      </c>
      <c r="I199" s="72">
        <v>2.5</v>
      </c>
      <c r="J199" s="53">
        <v>316780</v>
      </c>
      <c r="K199" s="53">
        <f>G199*EXP(5.043121+0.031911*LN(D199/G199)+0.058886*LN(F199)-0.043159*LN(E199))</f>
        <v>262585131.59688917</v>
      </c>
      <c r="L199" s="53">
        <f>K199-J199</f>
        <v>262268351.59688917</v>
      </c>
      <c r="M199" s="53"/>
      <c r="N199" s="53"/>
      <c r="O199" s="53"/>
      <c r="P199" s="54"/>
      <c r="Q199" s="54"/>
      <c r="R199" s="54"/>
      <c r="S199" s="54"/>
      <c r="T199" s="54"/>
      <c r="U199" s="54"/>
      <c r="V199" s="54"/>
      <c r="W199" s="54"/>
      <c r="X199" s="54">
        <v>492555</v>
      </c>
      <c r="Y199" s="54"/>
      <c r="Z199" s="53"/>
      <c r="AA199" s="53"/>
      <c r="AB199" s="53"/>
      <c r="AC199" s="53"/>
      <c r="AD199" s="54"/>
      <c r="AE199" s="54"/>
      <c r="AF199" s="54"/>
      <c r="AG199" s="54"/>
      <c r="AH199" s="54"/>
      <c r="AI199" s="54"/>
      <c r="AJ199" s="53"/>
      <c r="AK199" s="53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3"/>
      <c r="BB199" s="53"/>
      <c r="BC199" s="54"/>
      <c r="BD199" s="54"/>
      <c r="BE199" s="74"/>
    </row>
    <row r="200" spans="1:58" hidden="1" x14ac:dyDescent="0.3">
      <c r="B200" s="1" t="s">
        <v>401</v>
      </c>
      <c r="C200" s="1"/>
      <c r="D200" s="66"/>
      <c r="E200" s="66"/>
      <c r="F200" s="39"/>
      <c r="G200" s="68"/>
      <c r="H200" s="68">
        <f>Tabelle2[[#This Row],[Bevölkerung]]/1000</f>
        <v>0</v>
      </c>
      <c r="I200" s="68"/>
      <c r="J200" s="39"/>
      <c r="K200" s="53" t="e">
        <f t="shared" ref="K194:K200" si="2">G200*EXP(5.043121+0.031911*LN(D200/G200)+0.058886*LN(F200)-0.043159*LN(E200))</f>
        <v>#DIV/0!</v>
      </c>
      <c r="L200" s="53" t="e">
        <f t="shared" ref="L194:L200" si="3">K200-J200</f>
        <v>#DIV/0!</v>
      </c>
      <c r="M200" s="39"/>
      <c r="N200" s="39"/>
      <c r="O200" s="3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39"/>
      <c r="AA200" s="39"/>
      <c r="AB200" s="39"/>
      <c r="AC200" s="39"/>
      <c r="AD200" s="1"/>
      <c r="AE200" s="1"/>
      <c r="AF200" s="1"/>
      <c r="AG200" s="1"/>
      <c r="AH200" s="1"/>
      <c r="AI200" s="1"/>
      <c r="AJ200" s="39"/>
      <c r="AK200" s="39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39"/>
      <c r="BB200" s="39"/>
      <c r="BC200" s="1"/>
      <c r="BD200" s="1"/>
      <c r="BE200" s="75"/>
      <c r="BF200" t="s">
        <v>401</v>
      </c>
    </row>
    <row r="201" spans="1:58" x14ac:dyDescent="0.3">
      <c r="D201" s="87"/>
      <c r="E201" s="87"/>
      <c r="F201" s="88"/>
      <c r="G201" s="89"/>
      <c r="H201" s="89"/>
      <c r="I201" s="89"/>
      <c r="J201" s="88"/>
      <c r="K201" s="88"/>
      <c r="L201" s="88" t="e">
        <f>SUBTOTAL(109,Tabelle2[Differenz])</f>
        <v>#VALUE!</v>
      </c>
      <c r="M201" s="88"/>
      <c r="N201" s="88"/>
      <c r="O201" s="88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88"/>
      <c r="AA201" s="88"/>
      <c r="AB201" s="88"/>
      <c r="AC201" s="88"/>
      <c r="AD201" s="90"/>
      <c r="AE201" s="90"/>
      <c r="AF201" s="90"/>
      <c r="AG201" s="90"/>
      <c r="AH201" s="90"/>
      <c r="AI201" s="90"/>
      <c r="AJ201" s="88"/>
      <c r="AK201" s="88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88"/>
      <c r="BB201" s="88"/>
      <c r="BC201" s="90"/>
      <c r="BD201" s="90"/>
      <c r="BE201" s="91"/>
    </row>
    <row r="202" spans="1:58" x14ac:dyDescent="0.3">
      <c r="D202" s="72">
        <v>1000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AZ200"/>
  <sheetViews>
    <sheetView zoomScale="85" zoomScaleNormal="85" workbookViewId="0">
      <pane ySplit="2" topLeftCell="A143" activePane="bottomLeft" state="frozen"/>
      <selection activeCell="E1" sqref="E1"/>
      <selection pane="bottomLeft" activeCell="G173" sqref="G173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6" width="17.59765625" style="40" customWidth="1"/>
    <col min="7" max="7" width="25.59765625" customWidth="1"/>
    <col min="8" max="9" width="19.5" customWidth="1"/>
    <col min="10" max="10" width="22.5" customWidth="1"/>
    <col min="11" max="11" width="19.296875" customWidth="1"/>
    <col min="12" max="12" width="21.296875" customWidth="1"/>
    <col min="13" max="13" width="18.59765625" customWidth="1"/>
    <col min="14" max="14" width="17" customWidth="1"/>
    <col min="15" max="15" width="13.8984375" customWidth="1"/>
    <col min="16" max="16" width="23.3984375" customWidth="1"/>
    <col min="17" max="19" width="19.69921875" customWidth="1"/>
    <col min="20" max="20" width="25.09765625" customWidth="1"/>
    <col min="21" max="21" width="21.69921875" customWidth="1"/>
    <col min="22" max="22" width="25.59765625" customWidth="1"/>
    <col min="23" max="23" width="22.09765625" customWidth="1"/>
    <col min="24" max="24" width="20.8984375" customWidth="1"/>
    <col min="25" max="25" width="17.8984375" customWidth="1"/>
    <col min="26" max="26" width="23.8984375" customWidth="1"/>
    <col min="27" max="27" width="19.09765625" customWidth="1"/>
    <col min="28" max="28" width="24.19921875" customWidth="1"/>
    <col min="29" max="29" width="18.8984375" customWidth="1"/>
    <col min="30" max="30" width="21.8984375" customWidth="1"/>
    <col min="31" max="31" width="20.59765625" customWidth="1"/>
    <col min="32" max="32" width="34" customWidth="1"/>
    <col min="33" max="34" width="28.19921875" customWidth="1"/>
    <col min="35" max="35" width="24.3984375" customWidth="1"/>
    <col min="36" max="36" width="19.19921875" customWidth="1"/>
    <col min="37" max="37" width="16.796875" customWidth="1"/>
    <col min="39" max="39" width="29.8984375" customWidth="1"/>
    <col min="40" max="40" width="27.19921875" customWidth="1"/>
    <col min="41" max="41" width="20.3984375" customWidth="1"/>
    <col min="42" max="42" width="19.5" customWidth="1"/>
    <col min="43" max="43" width="27.09765625" customWidth="1"/>
    <col min="44" max="44" width="25.296875" customWidth="1"/>
    <col min="45" max="45" width="14.5" customWidth="1"/>
    <col min="47" max="47" width="26.296875" customWidth="1"/>
    <col min="48" max="48" width="22.8984375" customWidth="1"/>
    <col min="50" max="50" width="16.5" customWidth="1"/>
  </cols>
  <sheetData>
    <row r="1" spans="1:52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92" t="s">
        <v>408</v>
      </c>
      <c r="K1" s="93"/>
      <c r="L1" s="93"/>
      <c r="M1" s="93"/>
      <c r="N1" s="93"/>
      <c r="O1" s="93"/>
      <c r="P1" s="93"/>
      <c r="Q1" s="94"/>
      <c r="R1" s="37"/>
      <c r="S1" s="37"/>
      <c r="T1" s="42" t="s">
        <v>442</v>
      </c>
      <c r="U1" s="42" t="s">
        <v>443</v>
      </c>
      <c r="V1" s="42"/>
      <c r="W1" s="41"/>
      <c r="X1" s="92" t="s">
        <v>409</v>
      </c>
      <c r="Y1" s="93"/>
      <c r="Z1" s="93"/>
      <c r="AA1" s="93"/>
      <c r="AB1" s="93"/>
      <c r="AC1" s="94"/>
      <c r="AD1" s="38"/>
      <c r="AE1" s="38"/>
      <c r="AF1" s="92" t="s">
        <v>410</v>
      </c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4"/>
      <c r="AU1" s="42" t="s">
        <v>463</v>
      </c>
      <c r="AV1" s="42" t="s">
        <v>403</v>
      </c>
      <c r="AW1" s="35" t="s">
        <v>391</v>
      </c>
      <c r="AX1" s="35" t="s">
        <v>440</v>
      </c>
      <c r="AY1" s="35" t="s">
        <v>392</v>
      </c>
      <c r="AZ1" s="32" t="s">
        <v>401</v>
      </c>
    </row>
    <row r="2" spans="1:52" x14ac:dyDescent="0.3">
      <c r="A2" s="44"/>
      <c r="B2" s="44"/>
      <c r="C2" s="45" t="s">
        <v>591</v>
      </c>
      <c r="D2" s="45" t="s">
        <v>585</v>
      </c>
      <c r="E2" s="45" t="s">
        <v>586</v>
      </c>
      <c r="F2" s="45" t="s">
        <v>587</v>
      </c>
      <c r="G2" s="45" t="s">
        <v>444</v>
      </c>
      <c r="H2" s="45" t="s">
        <v>445</v>
      </c>
      <c r="I2" s="47" t="s">
        <v>470</v>
      </c>
      <c r="J2" s="46" t="s">
        <v>412</v>
      </c>
      <c r="K2" s="46" t="s">
        <v>413</v>
      </c>
      <c r="L2" s="46" t="s">
        <v>414</v>
      </c>
      <c r="M2" s="46" t="s">
        <v>415</v>
      </c>
      <c r="N2" s="46" t="s">
        <v>416</v>
      </c>
      <c r="O2" s="46" t="s">
        <v>417</v>
      </c>
      <c r="P2" s="46" t="s">
        <v>418</v>
      </c>
      <c r="Q2" s="46" t="s">
        <v>419</v>
      </c>
      <c r="R2" s="46" t="s">
        <v>458</v>
      </c>
      <c r="S2" s="46" t="s">
        <v>459</v>
      </c>
      <c r="T2" s="47"/>
      <c r="U2" s="47"/>
      <c r="V2" s="45" t="s">
        <v>405</v>
      </c>
      <c r="W2" s="45" t="s">
        <v>404</v>
      </c>
      <c r="X2" s="46" t="s">
        <v>420</v>
      </c>
      <c r="Y2" s="46" t="s">
        <v>421</v>
      </c>
      <c r="Z2" s="46" t="s">
        <v>422</v>
      </c>
      <c r="AA2" s="46" t="s">
        <v>423</v>
      </c>
      <c r="AB2" s="46" t="s">
        <v>424</v>
      </c>
      <c r="AC2" s="46" t="s">
        <v>425</v>
      </c>
      <c r="AD2" s="45" t="s">
        <v>407</v>
      </c>
      <c r="AE2" s="45" t="s">
        <v>406</v>
      </c>
      <c r="AF2" s="46" t="s">
        <v>427</v>
      </c>
      <c r="AG2" s="46" t="s">
        <v>426</v>
      </c>
      <c r="AH2" s="46" t="s">
        <v>556</v>
      </c>
      <c r="AI2" s="46" t="s">
        <v>428</v>
      </c>
      <c r="AJ2" s="46" t="s">
        <v>429</v>
      </c>
      <c r="AK2" s="46" t="s">
        <v>430</v>
      </c>
      <c r="AL2" s="46" t="s">
        <v>431</v>
      </c>
      <c r="AM2" s="46" t="s">
        <v>432</v>
      </c>
      <c r="AN2" s="46" t="s">
        <v>433</v>
      </c>
      <c r="AO2" s="46" t="s">
        <v>434</v>
      </c>
      <c r="AP2" s="46" t="s">
        <v>435</v>
      </c>
      <c r="AQ2" s="46" t="s">
        <v>436</v>
      </c>
      <c r="AR2" s="46" t="s">
        <v>437</v>
      </c>
      <c r="AS2" s="46" t="s">
        <v>438</v>
      </c>
      <c r="AT2" s="46" t="s">
        <v>439</v>
      </c>
      <c r="AU2" s="47"/>
      <c r="AV2" s="47"/>
      <c r="AW2" s="46"/>
      <c r="AX2" s="46"/>
      <c r="AY2" s="46"/>
    </row>
    <row r="3" spans="1:52" x14ac:dyDescent="0.3">
      <c r="A3" s="2"/>
      <c r="B3" s="48" t="s">
        <v>441</v>
      </c>
      <c r="C3" s="53"/>
      <c r="D3" s="53" t="s">
        <v>787</v>
      </c>
      <c r="E3" s="53" t="s">
        <v>450</v>
      </c>
      <c r="F3" s="53" t="s">
        <v>789</v>
      </c>
      <c r="G3" s="39" t="s">
        <v>450</v>
      </c>
      <c r="H3" s="39"/>
      <c r="I3" s="39"/>
      <c r="J3" s="1"/>
      <c r="K3" s="1"/>
      <c r="L3" s="1"/>
      <c r="M3" s="1"/>
      <c r="N3" s="1"/>
      <c r="O3" s="1"/>
      <c r="P3" s="1"/>
      <c r="Q3" s="1"/>
      <c r="R3" s="1"/>
      <c r="S3" s="1"/>
      <c r="T3" s="39"/>
      <c r="U3" s="39"/>
      <c r="V3" s="39"/>
      <c r="W3" s="39"/>
      <c r="X3" s="1"/>
      <c r="Y3" s="1"/>
      <c r="Z3" s="1"/>
      <c r="AA3" s="1"/>
      <c r="AB3" s="1"/>
      <c r="AC3" s="1"/>
      <c r="AD3" s="39"/>
      <c r="AE3" s="39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9"/>
      <c r="AV3" s="39"/>
      <c r="AW3" s="1"/>
      <c r="AX3" s="1"/>
      <c r="AY3" s="1"/>
    </row>
    <row r="4" spans="1:52" x14ac:dyDescent="0.3">
      <c r="A4" s="2"/>
      <c r="B4" s="48" t="s">
        <v>544</v>
      </c>
      <c r="C4" s="53" t="s">
        <v>785</v>
      </c>
      <c r="D4" s="53" t="s">
        <v>450</v>
      </c>
      <c r="E4" s="53"/>
      <c r="F4" s="53" t="s">
        <v>790</v>
      </c>
      <c r="G4" s="57" t="s">
        <v>545</v>
      </c>
      <c r="H4" s="39" t="s">
        <v>450</v>
      </c>
      <c r="I4" s="39"/>
      <c r="J4" s="1"/>
      <c r="K4" s="1"/>
      <c r="L4" s="1"/>
      <c r="M4" s="1"/>
      <c r="N4" s="1"/>
      <c r="O4" s="1"/>
      <c r="P4" s="1"/>
      <c r="Q4" s="1"/>
      <c r="R4" s="1"/>
      <c r="S4" s="1"/>
      <c r="T4" s="39"/>
      <c r="U4" s="39"/>
      <c r="V4" s="39"/>
      <c r="W4" s="39"/>
      <c r="X4" s="1"/>
      <c r="Y4" s="1"/>
      <c r="Z4" s="1"/>
      <c r="AA4" s="1"/>
      <c r="AB4" s="1"/>
      <c r="AC4" s="1"/>
      <c r="AD4" s="39"/>
      <c r="AE4" s="3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39"/>
      <c r="AV4" s="39"/>
      <c r="AW4" s="1"/>
      <c r="AX4" s="1"/>
      <c r="AY4" s="1"/>
    </row>
    <row r="5" spans="1:52" x14ac:dyDescent="0.3">
      <c r="A5" s="2" t="s">
        <v>1</v>
      </c>
      <c r="B5" s="3" t="s">
        <v>2</v>
      </c>
      <c r="D5" s="53"/>
      <c r="E5" s="53"/>
      <c r="F5" s="53" t="s">
        <v>791</v>
      </c>
      <c r="G5" s="39" t="s">
        <v>450</v>
      </c>
      <c r="H5" s="39"/>
      <c r="I5" s="39"/>
      <c r="J5" s="1"/>
      <c r="K5" s="1"/>
      <c r="L5" s="1"/>
      <c r="M5" s="1"/>
      <c r="N5" s="1"/>
      <c r="O5" s="1"/>
      <c r="P5" s="1"/>
      <c r="Q5" s="1"/>
      <c r="R5" s="1"/>
      <c r="S5" s="1"/>
      <c r="T5" s="39"/>
      <c r="U5" s="39"/>
      <c r="V5" s="39"/>
      <c r="W5" s="39"/>
      <c r="X5" s="1"/>
      <c r="Y5" s="1"/>
      <c r="Z5" s="1"/>
      <c r="AA5" s="1"/>
      <c r="AB5" s="1"/>
      <c r="AC5" s="1"/>
      <c r="AD5" s="39"/>
      <c r="AE5" s="39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39"/>
      <c r="AV5" s="39"/>
      <c r="AW5" s="1"/>
      <c r="AX5" s="1"/>
      <c r="AY5" s="1"/>
    </row>
    <row r="6" spans="1:52" x14ac:dyDescent="0.3">
      <c r="A6" s="24" t="s">
        <v>3</v>
      </c>
      <c r="B6" s="23" t="s">
        <v>4</v>
      </c>
      <c r="C6" s="53" t="s">
        <v>592</v>
      </c>
      <c r="D6" s="53" t="s">
        <v>450</v>
      </c>
      <c r="E6" s="53"/>
      <c r="F6" s="53" t="s">
        <v>792</v>
      </c>
      <c r="G6" s="39" t="s">
        <v>450</v>
      </c>
      <c r="H6" s="39"/>
      <c r="I6" s="39"/>
      <c r="J6" s="1"/>
      <c r="K6" s="1"/>
      <c r="L6" s="1"/>
      <c r="M6" s="1"/>
      <c r="N6" s="1"/>
      <c r="O6" s="1"/>
      <c r="P6" s="1"/>
      <c r="Q6" s="1"/>
      <c r="R6" s="1"/>
      <c r="S6" s="1"/>
      <c r="T6" s="39"/>
      <c r="U6" s="39"/>
      <c r="V6" s="39"/>
      <c r="W6" s="39"/>
      <c r="X6" s="1"/>
      <c r="Y6" s="1"/>
      <c r="Z6" s="1"/>
      <c r="AA6" s="1"/>
      <c r="AB6" s="1"/>
      <c r="AC6" s="1"/>
      <c r="AD6" s="39"/>
      <c r="AE6" s="39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39"/>
      <c r="AV6" s="39"/>
      <c r="AW6" s="1"/>
      <c r="AX6" s="1"/>
      <c r="AY6" s="1"/>
    </row>
    <row r="7" spans="1:52" x14ac:dyDescent="0.3">
      <c r="A7" s="4" t="s">
        <v>5</v>
      </c>
      <c r="B7" s="5" t="s">
        <v>6</v>
      </c>
      <c r="C7" s="53" t="s">
        <v>594</v>
      </c>
      <c r="D7" s="53" t="s">
        <v>450</v>
      </c>
      <c r="E7" s="53"/>
      <c r="F7" s="53" t="s">
        <v>793</v>
      </c>
      <c r="G7" s="39" t="s">
        <v>450</v>
      </c>
      <c r="H7" s="39"/>
      <c r="I7" s="57" t="s">
        <v>527</v>
      </c>
      <c r="J7" s="1" t="s">
        <v>450</v>
      </c>
      <c r="K7" s="1"/>
      <c r="L7" s="1"/>
      <c r="M7" s="1"/>
      <c r="N7" s="1"/>
      <c r="O7" s="1"/>
      <c r="P7" s="1" t="s">
        <v>528</v>
      </c>
      <c r="Q7" s="1" t="s">
        <v>450</v>
      </c>
      <c r="R7" s="61" t="s">
        <v>528</v>
      </c>
      <c r="S7" s="1" t="s">
        <v>450</v>
      </c>
      <c r="T7" s="39"/>
      <c r="U7" s="39"/>
      <c r="V7" s="39"/>
      <c r="W7" s="39"/>
      <c r="X7" s="1"/>
      <c r="Y7" s="1"/>
      <c r="Z7" s="1"/>
      <c r="AA7" s="1"/>
      <c r="AB7" s="1"/>
      <c r="AC7" s="1"/>
      <c r="AD7" s="39"/>
      <c r="AE7" s="3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9"/>
      <c r="AV7" s="39"/>
      <c r="AW7" s="1"/>
      <c r="AX7" s="1"/>
      <c r="AY7" s="1"/>
    </row>
    <row r="8" spans="1:52" x14ac:dyDescent="0.3">
      <c r="A8" s="22" t="s">
        <v>7</v>
      </c>
      <c r="B8" s="23" t="s">
        <v>8</v>
      </c>
      <c r="C8" s="53" t="s">
        <v>595</v>
      </c>
      <c r="D8" s="53" t="s">
        <v>450</v>
      </c>
      <c r="E8" s="53"/>
      <c r="F8" s="53" t="s">
        <v>794</v>
      </c>
      <c r="G8" s="39" t="s">
        <v>450</v>
      </c>
      <c r="H8" s="39"/>
      <c r="I8" s="57" t="s">
        <v>559</v>
      </c>
      <c r="J8" s="1" t="s">
        <v>450</v>
      </c>
      <c r="K8" s="1"/>
      <c r="L8" s="1"/>
      <c r="M8" s="1"/>
      <c r="N8" s="1"/>
      <c r="O8" s="1"/>
      <c r="P8" s="1"/>
      <c r="Q8" s="1"/>
      <c r="R8" s="1" t="s">
        <v>559</v>
      </c>
      <c r="S8" s="1" t="s">
        <v>450</v>
      </c>
      <c r="T8" s="39"/>
      <c r="U8" s="39"/>
      <c r="V8" s="39"/>
      <c r="W8" s="39"/>
      <c r="X8" s="1"/>
      <c r="Y8" s="1"/>
      <c r="Z8" s="1"/>
      <c r="AA8" s="1"/>
      <c r="AB8" s="1"/>
      <c r="AC8" s="1"/>
      <c r="AD8" s="39"/>
      <c r="AE8" s="39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9"/>
      <c r="AV8" s="39"/>
      <c r="AW8" s="1"/>
      <c r="AX8" s="1"/>
      <c r="AY8" s="1"/>
    </row>
    <row r="9" spans="1:52" x14ac:dyDescent="0.3">
      <c r="A9" s="4" t="s">
        <v>9</v>
      </c>
      <c r="B9" s="5" t="s">
        <v>10</v>
      </c>
      <c r="C9" s="53" t="s">
        <v>596</v>
      </c>
      <c r="D9" s="53" t="s">
        <v>450</v>
      </c>
      <c r="E9" s="53"/>
      <c r="F9" s="53" t="s">
        <v>795</v>
      </c>
      <c r="G9" s="57" t="s">
        <v>525</v>
      </c>
      <c r="H9" s="39" t="s">
        <v>450</v>
      </c>
      <c r="I9" s="39"/>
      <c r="J9" s="1"/>
      <c r="K9" s="1"/>
      <c r="L9" s="1"/>
      <c r="M9" s="1"/>
      <c r="N9" s="1"/>
      <c r="O9" s="1"/>
      <c r="P9" s="1"/>
      <c r="Q9" s="1"/>
      <c r="R9" s="1" t="s">
        <v>525</v>
      </c>
      <c r="S9" s="1" t="s">
        <v>450</v>
      </c>
      <c r="T9" s="39"/>
      <c r="U9" s="39"/>
      <c r="V9" s="39"/>
      <c r="W9" s="39"/>
      <c r="X9" s="1"/>
      <c r="Y9" s="1"/>
      <c r="Z9" s="1"/>
      <c r="AA9" s="1"/>
      <c r="AB9" s="1"/>
      <c r="AC9" s="1"/>
      <c r="AD9" s="39"/>
      <c r="AE9" s="3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39"/>
      <c r="AV9" s="39"/>
      <c r="AW9" s="1"/>
      <c r="AX9" s="1"/>
      <c r="AY9" s="1"/>
    </row>
    <row r="10" spans="1:52" x14ac:dyDescent="0.3">
      <c r="A10" s="22" t="s">
        <v>11</v>
      </c>
      <c r="B10" s="23" t="s">
        <v>12</v>
      </c>
      <c r="C10" s="53" t="s">
        <v>597</v>
      </c>
      <c r="D10" s="53" t="s">
        <v>450</v>
      </c>
      <c r="E10" s="53"/>
      <c r="F10" s="53" t="s">
        <v>796</v>
      </c>
      <c r="G10" s="39" t="s">
        <v>450</v>
      </c>
      <c r="H10" s="39"/>
      <c r="I10" s="39"/>
      <c r="J10" s="1"/>
      <c r="K10" s="1"/>
      <c r="L10" s="1"/>
      <c r="M10" s="1"/>
      <c r="N10" s="1"/>
      <c r="O10" s="1"/>
      <c r="P10" s="1"/>
      <c r="Q10" s="1"/>
      <c r="R10" s="61" t="s">
        <v>510</v>
      </c>
      <c r="S10" s="1" t="s">
        <v>450</v>
      </c>
      <c r="T10" s="39"/>
      <c r="U10" s="39"/>
      <c r="V10" s="39"/>
      <c r="W10" s="39"/>
      <c r="X10" s="1"/>
      <c r="Y10" s="1"/>
      <c r="Z10" s="1"/>
      <c r="AA10" s="1"/>
      <c r="AB10" s="1"/>
      <c r="AC10" s="1"/>
      <c r="AD10" s="39"/>
      <c r="AE10" s="3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39"/>
      <c r="AV10" s="39"/>
      <c r="AW10" s="1"/>
      <c r="AX10" s="1"/>
      <c r="AY10" s="1"/>
    </row>
    <row r="11" spans="1:52" x14ac:dyDescent="0.3">
      <c r="A11" s="4" t="s">
        <v>13</v>
      </c>
      <c r="B11" s="5" t="s">
        <v>14</v>
      </c>
      <c r="C11" s="53" t="s">
        <v>598</v>
      </c>
      <c r="D11" s="53" t="s">
        <v>450</v>
      </c>
      <c r="E11" s="53"/>
      <c r="F11" s="53" t="s">
        <v>797</v>
      </c>
      <c r="G11" s="39" t="s">
        <v>450</v>
      </c>
      <c r="H11" s="39"/>
      <c r="I11" s="1" t="s">
        <v>515</v>
      </c>
      <c r="J11" s="61" t="s">
        <v>450</v>
      </c>
      <c r="K11" s="1" t="s">
        <v>450</v>
      </c>
      <c r="L11" s="1"/>
      <c r="N11" s="1" t="s">
        <v>450</v>
      </c>
      <c r="O11" s="1"/>
      <c r="P11" s="1"/>
      <c r="Q11" s="1"/>
      <c r="R11" s="1" t="s">
        <v>450</v>
      </c>
      <c r="S11" s="1" t="s">
        <v>450</v>
      </c>
      <c r="T11" s="39"/>
      <c r="U11" s="39"/>
      <c r="V11" s="39"/>
      <c r="W11" s="39"/>
      <c r="X11" s="1"/>
      <c r="Y11" s="1"/>
      <c r="Z11" s="1"/>
      <c r="AA11" s="1"/>
      <c r="AB11" s="1"/>
      <c r="AC11" s="1"/>
      <c r="AD11" s="39"/>
      <c r="AE11" s="39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39"/>
      <c r="AV11" s="39"/>
      <c r="AW11" s="1"/>
      <c r="AX11" s="1"/>
      <c r="AY11" s="1"/>
    </row>
    <row r="12" spans="1:52" x14ac:dyDescent="0.3">
      <c r="A12" s="4" t="s">
        <v>15</v>
      </c>
      <c r="B12" s="5" t="s">
        <v>16</v>
      </c>
      <c r="C12" s="53" t="s">
        <v>599</v>
      </c>
      <c r="D12" s="53" t="s">
        <v>450</v>
      </c>
      <c r="E12" s="53"/>
      <c r="F12" s="53" t="s">
        <v>798</v>
      </c>
      <c r="G12" s="39" t="s">
        <v>450</v>
      </c>
      <c r="H12" s="39"/>
      <c r="I12" s="39"/>
      <c r="J12" s="1"/>
      <c r="K12" s="1"/>
      <c r="L12" s="1"/>
      <c r="M12" s="1"/>
      <c r="N12" s="1"/>
      <c r="O12" s="1"/>
      <c r="P12" s="1"/>
      <c r="Q12" s="1"/>
      <c r="R12" s="1"/>
      <c r="S12" s="1"/>
      <c r="T12" s="39"/>
      <c r="U12" s="39"/>
      <c r="V12" s="39"/>
      <c r="W12" s="39"/>
      <c r="X12" s="1"/>
      <c r="Y12" s="1"/>
      <c r="Z12" s="1"/>
      <c r="AA12" s="1"/>
      <c r="AB12" s="1"/>
      <c r="AC12" s="1"/>
      <c r="AD12" s="39"/>
      <c r="AE12" s="3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39"/>
      <c r="AV12" s="39"/>
      <c r="AW12" s="1"/>
      <c r="AX12" s="1"/>
      <c r="AY12" s="1"/>
    </row>
    <row r="13" spans="1:52" x14ac:dyDescent="0.3">
      <c r="A13" s="19" t="s">
        <v>17</v>
      </c>
      <c r="B13" s="20" t="s">
        <v>18</v>
      </c>
      <c r="C13" s="53" t="s">
        <v>600</v>
      </c>
      <c r="D13" s="53" t="s">
        <v>450</v>
      </c>
      <c r="E13" s="53"/>
      <c r="F13" s="53" t="s">
        <v>799</v>
      </c>
      <c r="G13" s="39" t="s">
        <v>450</v>
      </c>
      <c r="H13" s="39"/>
      <c r="I13" s="57" t="s">
        <v>496</v>
      </c>
      <c r="J13" s="1" t="s">
        <v>450</v>
      </c>
      <c r="K13" s="1"/>
      <c r="L13" s="1"/>
      <c r="M13" s="1"/>
      <c r="N13" s="1"/>
      <c r="O13" s="1"/>
      <c r="P13" s="1"/>
      <c r="Q13" s="1"/>
      <c r="R13" s="1" t="s">
        <v>496</v>
      </c>
      <c r="S13" s="1" t="s">
        <v>450</v>
      </c>
      <c r="T13" s="39"/>
      <c r="U13" s="39"/>
      <c r="V13" s="39"/>
      <c r="W13" s="39"/>
      <c r="X13" s="1"/>
      <c r="Y13" s="1"/>
      <c r="Z13" s="1"/>
      <c r="AA13" s="1"/>
      <c r="AB13" s="1"/>
      <c r="AC13" s="1"/>
      <c r="AD13" s="39"/>
      <c r="AE13" s="39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39"/>
      <c r="AV13" s="39"/>
      <c r="AW13" s="1"/>
      <c r="AX13" s="1"/>
      <c r="AY13" s="1"/>
    </row>
    <row r="14" spans="1:52" x14ac:dyDescent="0.3">
      <c r="A14" s="4" t="s">
        <v>19</v>
      </c>
      <c r="B14" s="5" t="s">
        <v>20</v>
      </c>
      <c r="C14" s="53" t="s">
        <v>601</v>
      </c>
      <c r="D14" s="53" t="s">
        <v>450</v>
      </c>
      <c r="E14" s="53"/>
      <c r="F14" s="53" t="s">
        <v>800</v>
      </c>
      <c r="G14" s="57" t="s">
        <v>512</v>
      </c>
      <c r="H14" s="39" t="s">
        <v>560</v>
      </c>
      <c r="I14" s="39" t="s">
        <v>450</v>
      </c>
      <c r="J14" s="1"/>
      <c r="K14" s="1"/>
      <c r="L14" s="1"/>
      <c r="M14" s="1"/>
      <c r="N14" s="1"/>
      <c r="O14" s="1"/>
      <c r="P14" s="1"/>
      <c r="Q14" s="1"/>
      <c r="R14" s="1"/>
      <c r="S14" s="61" t="s">
        <v>511</v>
      </c>
      <c r="T14" s="39" t="s">
        <v>450</v>
      </c>
      <c r="U14" s="39"/>
      <c r="V14" s="39"/>
      <c r="W14" s="39"/>
      <c r="X14" s="1"/>
      <c r="Y14" s="1"/>
      <c r="Z14" s="1"/>
      <c r="AA14" s="1"/>
      <c r="AB14" s="1"/>
      <c r="AC14" s="1"/>
      <c r="AD14" s="39"/>
      <c r="AE14" s="39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39"/>
      <c r="AV14" s="39"/>
      <c r="AW14" s="1"/>
      <c r="AX14" s="1"/>
      <c r="AY14" s="1"/>
    </row>
    <row r="15" spans="1:52" x14ac:dyDescent="0.3">
      <c r="A15" s="4" t="s">
        <v>21</v>
      </c>
      <c r="B15" s="5" t="s">
        <v>22</v>
      </c>
      <c r="C15" s="53" t="s">
        <v>602</v>
      </c>
      <c r="D15" s="53" t="s">
        <v>450</v>
      </c>
      <c r="E15" s="53"/>
      <c r="F15" s="53" t="s">
        <v>801</v>
      </c>
      <c r="G15" s="57" t="s">
        <v>526</v>
      </c>
      <c r="H15" s="39" t="s">
        <v>450</v>
      </c>
      <c r="I15" s="39"/>
      <c r="J15" s="1"/>
      <c r="K15" s="1"/>
      <c r="L15" s="1"/>
      <c r="M15" s="1"/>
      <c r="N15" s="1"/>
      <c r="O15" s="1"/>
      <c r="P15" s="1"/>
      <c r="Q15" s="1"/>
      <c r="R15" s="1"/>
      <c r="S15" s="1"/>
      <c r="T15" s="39"/>
      <c r="U15" s="39"/>
      <c r="V15" s="39"/>
      <c r="W15" s="39"/>
      <c r="X15" s="1"/>
      <c r="Y15" s="1"/>
      <c r="Z15" s="1"/>
      <c r="AA15" s="1"/>
      <c r="AB15" s="1"/>
      <c r="AC15" s="1"/>
      <c r="AD15" s="39"/>
      <c r="AE15" s="3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57" t="s">
        <v>526</v>
      </c>
      <c r="AV15" s="39" t="s">
        <v>450</v>
      </c>
      <c r="AW15" s="1"/>
      <c r="AX15" s="1"/>
      <c r="AY15" s="1"/>
    </row>
    <row r="16" spans="1:52" x14ac:dyDescent="0.3">
      <c r="A16" s="24" t="s">
        <v>23</v>
      </c>
      <c r="B16" s="25" t="s">
        <v>24</v>
      </c>
      <c r="C16" s="53" t="s">
        <v>603</v>
      </c>
      <c r="D16" s="53" t="s">
        <v>450</v>
      </c>
      <c r="E16" s="53"/>
      <c r="F16" s="53" t="s">
        <v>802</v>
      </c>
      <c r="G16" s="39" t="s">
        <v>450</v>
      </c>
      <c r="H16" s="39"/>
      <c r="I16" s="39"/>
      <c r="J16" s="1"/>
      <c r="K16" s="1"/>
      <c r="L16" s="1"/>
      <c r="M16" s="1"/>
      <c r="N16" s="1"/>
      <c r="O16" s="1"/>
      <c r="P16" s="1"/>
      <c r="Q16" s="1"/>
      <c r="R16" s="61" t="s">
        <v>506</v>
      </c>
      <c r="S16" s="1" t="s">
        <v>450</v>
      </c>
      <c r="T16" s="39"/>
      <c r="U16" s="39"/>
      <c r="V16" s="39"/>
      <c r="W16" s="39"/>
      <c r="X16" s="1"/>
      <c r="Y16" s="1"/>
      <c r="Z16" s="1"/>
      <c r="AA16" s="1"/>
      <c r="AB16" s="1"/>
      <c r="AC16" s="1"/>
      <c r="AD16" s="39"/>
      <c r="AE16" s="3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39"/>
      <c r="AV16" s="39"/>
      <c r="AW16" s="1"/>
      <c r="AX16" s="1"/>
      <c r="AY16" s="1"/>
    </row>
    <row r="17" spans="1:51" x14ac:dyDescent="0.3">
      <c r="A17" s="11" t="s">
        <v>25</v>
      </c>
      <c r="B17" s="12" t="s">
        <v>26</v>
      </c>
      <c r="C17" s="53" t="s">
        <v>604</v>
      </c>
      <c r="D17" s="53" t="s">
        <v>450</v>
      </c>
      <c r="E17" s="53"/>
      <c r="F17" s="53" t="s">
        <v>803</v>
      </c>
      <c r="G17" s="39" t="s">
        <v>450</v>
      </c>
      <c r="H17" s="39"/>
      <c r="I17" s="39"/>
      <c r="J17" s="1"/>
      <c r="K17" s="1"/>
      <c r="L17" s="1"/>
      <c r="M17" s="1"/>
      <c r="N17" s="1"/>
      <c r="O17" s="1"/>
      <c r="P17" s="1"/>
      <c r="Q17" s="1"/>
      <c r="R17" s="61" t="s">
        <v>464</v>
      </c>
      <c r="S17" s="1" t="s">
        <v>450</v>
      </c>
      <c r="T17" s="57" t="s">
        <v>554</v>
      </c>
      <c r="U17" s="39" t="s">
        <v>450</v>
      </c>
      <c r="V17" s="39"/>
      <c r="W17" s="39"/>
      <c r="Y17" s="1" t="s">
        <v>450</v>
      </c>
      <c r="Z17" s="1"/>
      <c r="AA17" s="1"/>
      <c r="AB17" s="1" t="s">
        <v>554</v>
      </c>
      <c r="AC17" s="1" t="s">
        <v>450</v>
      </c>
      <c r="AD17" s="39"/>
      <c r="AE17" s="39"/>
      <c r="AF17" s="1"/>
      <c r="AG17" s="1"/>
      <c r="AH17" s="61" t="s">
        <v>554</v>
      </c>
      <c r="AI17" s="1" t="s">
        <v>450</v>
      </c>
      <c r="AJ17" s="1"/>
      <c r="AK17" s="1" t="s">
        <v>554</v>
      </c>
      <c r="AL17" s="1" t="s">
        <v>450</v>
      </c>
      <c r="AM17" s="1"/>
      <c r="AN17" s="1"/>
      <c r="AO17" s="1" t="s">
        <v>554</v>
      </c>
      <c r="AP17" s="1" t="s">
        <v>450</v>
      </c>
      <c r="AQ17" s="1"/>
      <c r="AR17" s="1"/>
      <c r="AS17" s="1"/>
      <c r="AT17" s="1"/>
      <c r="AU17" s="39"/>
      <c r="AV17" s="39"/>
      <c r="AW17" s="1"/>
      <c r="AX17" s="1"/>
      <c r="AY17" s="1"/>
    </row>
    <row r="18" spans="1:51" x14ac:dyDescent="0.3">
      <c r="A18" s="4" t="s">
        <v>27</v>
      </c>
      <c r="B18" s="5" t="s">
        <v>28</v>
      </c>
      <c r="C18" s="53" t="s">
        <v>605</v>
      </c>
      <c r="D18" s="53" t="s">
        <v>450</v>
      </c>
      <c r="E18" s="53"/>
      <c r="F18" s="53" t="s">
        <v>804</v>
      </c>
      <c r="G18" s="57" t="s">
        <v>504</v>
      </c>
      <c r="H18" s="39" t="s">
        <v>450</v>
      </c>
      <c r="I18" s="57" t="s">
        <v>504</v>
      </c>
      <c r="J18" s="1" t="s">
        <v>450</v>
      </c>
      <c r="K18" s="1"/>
      <c r="L18" s="1"/>
      <c r="M18" s="1"/>
      <c r="N18" s="1"/>
      <c r="O18" s="1"/>
      <c r="P18" s="1"/>
      <c r="Q18" s="1"/>
      <c r="R18" s="61" t="s">
        <v>504</v>
      </c>
      <c r="S18" s="1" t="s">
        <v>450</v>
      </c>
      <c r="T18" s="39"/>
      <c r="U18" s="39"/>
      <c r="V18" s="39"/>
      <c r="W18" s="39"/>
      <c r="X18" s="1"/>
      <c r="Y18" s="1"/>
      <c r="Z18" s="1"/>
      <c r="AA18" s="1"/>
      <c r="AB18" s="1"/>
      <c r="AC18" s="1"/>
      <c r="AD18" s="39"/>
      <c r="AE18" s="3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39"/>
      <c r="AV18" s="39"/>
      <c r="AW18" s="1"/>
      <c r="AX18" s="1"/>
      <c r="AY18" s="1"/>
    </row>
    <row r="19" spans="1:51" x14ac:dyDescent="0.3">
      <c r="A19" s="24" t="s">
        <v>29</v>
      </c>
      <c r="B19" s="25" t="s">
        <v>30</v>
      </c>
      <c r="C19" s="53" t="s">
        <v>606</v>
      </c>
      <c r="D19" s="53" t="s">
        <v>450</v>
      </c>
      <c r="E19" s="53"/>
      <c r="F19" s="53" t="s">
        <v>805</v>
      </c>
      <c r="G19" s="39" t="s">
        <v>450</v>
      </c>
      <c r="H19" s="39"/>
      <c r="I19" s="39"/>
      <c r="J19" s="1"/>
      <c r="K19" s="1"/>
      <c r="L19" s="1"/>
      <c r="M19" s="1"/>
      <c r="N19" s="1"/>
      <c r="O19" s="1"/>
      <c r="P19" s="1"/>
      <c r="Q19" s="1"/>
      <c r="R19" s="61" t="s">
        <v>562</v>
      </c>
      <c r="S19" s="1" t="s">
        <v>450</v>
      </c>
      <c r="T19" s="39"/>
      <c r="U19" s="39"/>
      <c r="V19" s="39"/>
      <c r="W19" s="39"/>
      <c r="X19" s="1"/>
      <c r="Y19" s="1"/>
      <c r="Z19" s="1"/>
      <c r="AA19" s="1"/>
      <c r="AB19" s="1"/>
      <c r="AC19" s="1"/>
      <c r="AD19" s="39"/>
      <c r="AE19" s="3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39"/>
      <c r="AV19" s="39"/>
      <c r="AW19" s="1"/>
      <c r="AX19" s="1"/>
      <c r="AY19" s="1"/>
    </row>
    <row r="20" spans="1:51" x14ac:dyDescent="0.3">
      <c r="A20" s="4" t="s">
        <v>31</v>
      </c>
      <c r="B20" s="5" t="s">
        <v>32</v>
      </c>
      <c r="C20" s="53" t="s">
        <v>607</v>
      </c>
      <c r="D20" s="53" t="s">
        <v>450</v>
      </c>
      <c r="E20" s="53"/>
      <c r="F20" s="53" t="s">
        <v>806</v>
      </c>
      <c r="G20" s="39" t="s">
        <v>450</v>
      </c>
      <c r="H20" s="39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39"/>
      <c r="U20" s="39"/>
      <c r="V20" s="39"/>
      <c r="W20" s="39"/>
      <c r="X20" s="1"/>
      <c r="Y20" s="1"/>
      <c r="Z20" s="1"/>
      <c r="AA20" s="1"/>
      <c r="AB20" s="1"/>
      <c r="AC20" s="1"/>
      <c r="AD20" s="39"/>
      <c r="AE20" s="3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39"/>
      <c r="AV20" s="39"/>
      <c r="AW20" s="1"/>
      <c r="AX20" s="1"/>
      <c r="AY20" s="1"/>
    </row>
    <row r="21" spans="1:51" x14ac:dyDescent="0.3">
      <c r="A21" s="4" t="s">
        <v>33</v>
      </c>
      <c r="B21" s="5" t="s">
        <v>34</v>
      </c>
      <c r="C21" s="53" t="s">
        <v>608</v>
      </c>
      <c r="D21" s="53" t="s">
        <v>450</v>
      </c>
      <c r="E21" s="53"/>
      <c r="F21" s="53" t="s">
        <v>807</v>
      </c>
      <c r="G21" s="39" t="s">
        <v>450</v>
      </c>
      <c r="H21" s="39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39"/>
      <c r="U21" s="39"/>
      <c r="V21" s="39"/>
      <c r="W21" s="39"/>
      <c r="X21" s="1"/>
      <c r="Y21" s="1"/>
      <c r="Z21" s="1"/>
      <c r="AA21" s="1"/>
      <c r="AB21" s="1"/>
      <c r="AC21" s="1"/>
      <c r="AD21" s="39"/>
      <c r="AE21" s="3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39"/>
      <c r="AV21" s="39"/>
      <c r="AW21" s="1"/>
      <c r="AX21" s="1"/>
      <c r="AY21" s="1"/>
    </row>
    <row r="22" spans="1:51" x14ac:dyDescent="0.3">
      <c r="A22" s="11" t="s">
        <v>35</v>
      </c>
      <c r="B22" s="12" t="s">
        <v>36</v>
      </c>
      <c r="C22" s="53" t="s">
        <v>609</v>
      </c>
      <c r="D22" s="53" t="s">
        <v>450</v>
      </c>
      <c r="E22" s="53"/>
      <c r="F22" s="53" t="s">
        <v>808</v>
      </c>
      <c r="G22" s="57" t="s">
        <v>466</v>
      </c>
      <c r="H22" s="39" t="s">
        <v>450</v>
      </c>
      <c r="I22" s="39"/>
      <c r="J22" s="1" t="s">
        <v>467</v>
      </c>
      <c r="K22" s="1" t="s">
        <v>450</v>
      </c>
      <c r="L22" s="1"/>
      <c r="M22" s="1"/>
      <c r="N22" s="1" t="s">
        <v>466</v>
      </c>
      <c r="O22" s="1" t="s">
        <v>450</v>
      </c>
      <c r="P22" s="1"/>
      <c r="Q22" s="1"/>
      <c r="R22" s="1" t="s">
        <v>465</v>
      </c>
      <c r="S22" s="1" t="s">
        <v>450</v>
      </c>
      <c r="T22" s="39"/>
      <c r="U22" s="39"/>
      <c r="V22" s="39"/>
      <c r="W22" s="39"/>
      <c r="X22" s="1"/>
      <c r="Y22" s="1"/>
      <c r="Z22" s="1"/>
      <c r="AA22" s="1"/>
      <c r="AB22" s="1"/>
      <c r="AC22" s="1"/>
      <c r="AD22" s="39"/>
      <c r="AE22" s="3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39" t="s">
        <v>561</v>
      </c>
      <c r="AV22" s="39" t="s">
        <v>450</v>
      </c>
      <c r="AW22" s="1"/>
      <c r="AX22" s="1"/>
      <c r="AY22" s="1"/>
    </row>
    <row r="23" spans="1:51" x14ac:dyDescent="0.3">
      <c r="A23" s="4" t="s">
        <v>37</v>
      </c>
      <c r="B23" s="5" t="s">
        <v>38</v>
      </c>
      <c r="C23" s="53" t="s">
        <v>610</v>
      </c>
      <c r="D23" s="53" t="s">
        <v>450</v>
      </c>
      <c r="E23" s="53"/>
      <c r="F23" s="53" t="s">
        <v>809</v>
      </c>
      <c r="G23" s="39" t="s">
        <v>450</v>
      </c>
      <c r="H23" s="39"/>
      <c r="I23" s="39"/>
      <c r="J23" s="61" t="s">
        <v>513</v>
      </c>
      <c r="K23" s="1" t="s">
        <v>450</v>
      </c>
      <c r="L23" s="1" t="s">
        <v>513</v>
      </c>
      <c r="M23" s="1" t="s">
        <v>450</v>
      </c>
      <c r="N23" s="1"/>
      <c r="O23" s="1"/>
      <c r="P23" s="1"/>
      <c r="Q23" s="1"/>
      <c r="R23" s="1" t="s">
        <v>513</v>
      </c>
      <c r="S23" s="1" t="s">
        <v>450</v>
      </c>
      <c r="T23" s="39"/>
      <c r="U23" s="39"/>
      <c r="V23" s="39"/>
      <c r="W23" s="39"/>
      <c r="X23" s="1"/>
      <c r="Y23" s="1"/>
      <c r="Z23" s="1"/>
      <c r="AA23" s="1"/>
      <c r="AB23" s="1"/>
      <c r="AC23" s="1"/>
      <c r="AD23" s="39"/>
      <c r="AE23" s="3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9"/>
      <c r="AV23" s="39"/>
      <c r="AW23" s="1"/>
      <c r="AX23" s="1"/>
      <c r="AY23" s="1"/>
    </row>
    <row r="24" spans="1:51" x14ac:dyDescent="0.3">
      <c r="A24" s="4" t="s">
        <v>39</v>
      </c>
      <c r="B24" s="5" t="s">
        <v>40</v>
      </c>
      <c r="C24" s="53" t="s">
        <v>611</v>
      </c>
      <c r="D24" s="53" t="s">
        <v>450</v>
      </c>
      <c r="E24" s="53"/>
      <c r="F24" s="53" t="s">
        <v>810</v>
      </c>
      <c r="G24" s="39" t="s">
        <v>450</v>
      </c>
      <c r="H24" s="39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39"/>
      <c r="U24" s="39"/>
      <c r="V24" s="39"/>
      <c r="W24" s="39"/>
      <c r="X24" s="1"/>
      <c r="Y24" s="1"/>
      <c r="Z24" s="1"/>
      <c r="AA24" s="1"/>
      <c r="AB24" s="1"/>
      <c r="AC24" s="1"/>
      <c r="AD24" s="39"/>
      <c r="AE24" s="3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39"/>
      <c r="AV24" s="39"/>
      <c r="AW24" s="1"/>
      <c r="AX24" s="1"/>
      <c r="AY24" s="1"/>
    </row>
    <row r="25" spans="1:51" x14ac:dyDescent="0.3">
      <c r="A25" s="4" t="s">
        <v>41</v>
      </c>
      <c r="B25" s="5" t="s">
        <v>42</v>
      </c>
      <c r="C25" s="53" t="s">
        <v>612</v>
      </c>
      <c r="D25" s="53" t="s">
        <v>450</v>
      </c>
      <c r="E25" s="53"/>
      <c r="F25" s="53" t="s">
        <v>811</v>
      </c>
      <c r="G25" s="39" t="s">
        <v>450</v>
      </c>
      <c r="H25" s="39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39"/>
      <c r="U25" s="39"/>
      <c r="V25" s="39"/>
      <c r="W25" s="39"/>
      <c r="X25" s="1"/>
      <c r="Y25" s="1"/>
      <c r="Z25" s="1"/>
      <c r="AA25" s="1"/>
      <c r="AB25" s="1"/>
      <c r="AC25" s="1"/>
      <c r="AD25" s="39"/>
      <c r="AE25" s="3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39"/>
      <c r="AV25" s="39"/>
      <c r="AW25" s="1"/>
      <c r="AX25" s="1"/>
      <c r="AY25" s="1"/>
    </row>
    <row r="26" spans="1:51" x14ac:dyDescent="0.3">
      <c r="A26" s="4" t="s">
        <v>43</v>
      </c>
      <c r="B26" s="5" t="s">
        <v>44</v>
      </c>
      <c r="C26" s="53" t="s">
        <v>613</v>
      </c>
      <c r="D26" s="53" t="s">
        <v>450</v>
      </c>
      <c r="E26" s="53"/>
      <c r="F26" s="53" t="s">
        <v>812</v>
      </c>
      <c r="G26" s="39" t="s">
        <v>450</v>
      </c>
      <c r="H26" s="39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39"/>
      <c r="U26" s="39"/>
      <c r="V26" s="39"/>
      <c r="W26" s="39"/>
      <c r="X26" s="1"/>
      <c r="Y26" s="1"/>
      <c r="Z26" s="1"/>
      <c r="AA26" s="1"/>
      <c r="AB26" s="1"/>
      <c r="AC26" s="1"/>
      <c r="AD26" s="39"/>
      <c r="AE26" s="3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39"/>
      <c r="AV26" s="39"/>
      <c r="AW26" s="1"/>
      <c r="AX26" s="1"/>
      <c r="AY26" s="1"/>
    </row>
    <row r="27" spans="1:51" x14ac:dyDescent="0.3">
      <c r="A27" s="4" t="s">
        <v>45</v>
      </c>
      <c r="B27" s="5" t="s">
        <v>46</v>
      </c>
      <c r="C27" s="53" t="s">
        <v>614</v>
      </c>
      <c r="D27" s="53" t="s">
        <v>450</v>
      </c>
      <c r="E27" s="53"/>
      <c r="F27" s="53" t="s">
        <v>813</v>
      </c>
      <c r="G27" s="39" t="s">
        <v>450</v>
      </c>
      <c r="H27" s="39"/>
      <c r="I27" s="39"/>
      <c r="J27" s="1"/>
      <c r="K27" s="1"/>
      <c r="L27" s="1"/>
      <c r="M27" s="1"/>
      <c r="N27" s="1"/>
      <c r="O27" s="1"/>
      <c r="P27" s="1"/>
      <c r="Q27" s="1"/>
      <c r="R27" s="61" t="s">
        <v>529</v>
      </c>
      <c r="S27" s="1" t="s">
        <v>450</v>
      </c>
      <c r="T27" s="39"/>
      <c r="U27" s="39"/>
      <c r="V27" s="39"/>
      <c r="W27" s="39"/>
      <c r="X27" s="1"/>
      <c r="Y27" s="1"/>
      <c r="Z27" s="1"/>
      <c r="AA27" s="1"/>
      <c r="AB27" s="1"/>
      <c r="AC27" s="1"/>
      <c r="AD27" s="39"/>
      <c r="AE27" s="3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39"/>
      <c r="AV27" s="39"/>
      <c r="AW27" s="1"/>
      <c r="AX27" s="1"/>
      <c r="AY27" s="1"/>
    </row>
    <row r="28" spans="1:51" x14ac:dyDescent="0.3">
      <c r="A28" s="24" t="s">
        <v>47</v>
      </c>
      <c r="B28" s="25" t="s">
        <v>48</v>
      </c>
      <c r="C28" s="53" t="s">
        <v>615</v>
      </c>
      <c r="D28" s="53" t="s">
        <v>450</v>
      </c>
      <c r="E28" s="53"/>
      <c r="F28" s="53" t="s">
        <v>814</v>
      </c>
      <c r="G28" s="39" t="s">
        <v>450</v>
      </c>
      <c r="H28" s="39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39"/>
      <c r="U28" s="39"/>
      <c r="V28" s="39"/>
      <c r="W28" s="39"/>
      <c r="X28" s="1"/>
      <c r="Y28" s="1"/>
      <c r="Z28" s="1"/>
      <c r="AA28" s="1"/>
      <c r="AB28" s="1"/>
      <c r="AC28" s="1"/>
      <c r="AD28" s="39"/>
      <c r="AE28" s="3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39"/>
      <c r="AV28" s="39"/>
      <c r="AW28" s="1"/>
      <c r="AX28" s="1"/>
      <c r="AY28" s="1"/>
    </row>
    <row r="29" spans="1:51" x14ac:dyDescent="0.3">
      <c r="A29" s="19" t="s">
        <v>49</v>
      </c>
      <c r="B29" s="20" t="s">
        <v>50</v>
      </c>
      <c r="C29" s="53" t="s">
        <v>616</v>
      </c>
      <c r="D29" s="53" t="s">
        <v>450</v>
      </c>
      <c r="E29" s="53"/>
      <c r="F29" s="53" t="s">
        <v>815</v>
      </c>
      <c r="G29" s="39" t="s">
        <v>450</v>
      </c>
      <c r="H29" s="39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39"/>
      <c r="U29" s="39"/>
      <c r="V29" s="39"/>
      <c r="W29" s="39"/>
      <c r="X29" s="1"/>
      <c r="Y29" s="1"/>
      <c r="Z29" s="1"/>
      <c r="AA29" s="1"/>
      <c r="AB29" s="1"/>
      <c r="AC29" s="1"/>
      <c r="AD29" s="39"/>
      <c r="AE29" s="39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39"/>
      <c r="AV29" s="39"/>
      <c r="AW29" s="1"/>
      <c r="AX29" s="1"/>
      <c r="AY29" s="1"/>
    </row>
    <row r="30" spans="1:51" x14ac:dyDescent="0.3">
      <c r="A30" s="4" t="s">
        <v>51</v>
      </c>
      <c r="B30" s="5" t="s">
        <v>52</v>
      </c>
      <c r="C30" s="53" t="s">
        <v>617</v>
      </c>
      <c r="D30" s="53" t="s">
        <v>450</v>
      </c>
      <c r="E30" s="53"/>
      <c r="F30" s="53" t="s">
        <v>816</v>
      </c>
      <c r="G30" s="39" t="s">
        <v>450</v>
      </c>
      <c r="H30" s="39"/>
      <c r="I30" s="57" t="s">
        <v>516</v>
      </c>
      <c r="J30" s="1" t="s">
        <v>450</v>
      </c>
      <c r="K30" s="1" t="s">
        <v>450</v>
      </c>
      <c r="L30" s="1"/>
      <c r="M30" s="1"/>
      <c r="N30" s="1"/>
      <c r="O30" s="1" t="s">
        <v>450</v>
      </c>
      <c r="P30" s="1"/>
      <c r="Q30" s="1"/>
      <c r="R30" s="1"/>
      <c r="S30" s="1"/>
      <c r="T30" s="39"/>
      <c r="U30" s="39"/>
      <c r="V30" s="39"/>
      <c r="W30" s="39"/>
      <c r="X30" s="1"/>
      <c r="Y30" s="1"/>
      <c r="Z30" s="1"/>
      <c r="AA30" s="1"/>
      <c r="AB30" s="1"/>
      <c r="AC30" s="1"/>
      <c r="AD30" s="39"/>
      <c r="AE30" s="3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39"/>
      <c r="AV30" s="39"/>
      <c r="AW30" s="1"/>
      <c r="AX30" s="1"/>
      <c r="AY30" s="1"/>
    </row>
    <row r="31" spans="1:51" x14ac:dyDescent="0.3">
      <c r="A31" s="19" t="s">
        <v>53</v>
      </c>
      <c r="B31" s="20" t="s">
        <v>54</v>
      </c>
      <c r="C31" s="53" t="s">
        <v>618</v>
      </c>
      <c r="D31" s="53" t="s">
        <v>450</v>
      </c>
      <c r="E31" s="53"/>
      <c r="F31" s="53" t="s">
        <v>817</v>
      </c>
      <c r="G31" s="39" t="s">
        <v>545</v>
      </c>
      <c r="H31" s="39" t="s">
        <v>450</v>
      </c>
      <c r="I31" s="39"/>
      <c r="J31" s="1"/>
      <c r="K31" s="1"/>
      <c r="L31" s="1"/>
      <c r="M31" s="1"/>
      <c r="N31" s="1"/>
      <c r="O31" s="1"/>
      <c r="P31" s="1"/>
      <c r="Q31" s="1"/>
      <c r="R31" s="61" t="s">
        <v>483</v>
      </c>
      <c r="S31" s="1" t="s">
        <v>484</v>
      </c>
      <c r="T31" s="39" t="s">
        <v>450</v>
      </c>
      <c r="U31" s="39"/>
      <c r="V31" s="39"/>
      <c r="W31" s="39"/>
      <c r="X31" s="1"/>
      <c r="Y31" s="1"/>
      <c r="Z31" s="1"/>
      <c r="AA31" s="1"/>
      <c r="AB31" s="1"/>
      <c r="AC31" s="1"/>
      <c r="AD31" s="39"/>
      <c r="AE31" s="3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39"/>
      <c r="AV31" s="39"/>
      <c r="AW31" s="1"/>
      <c r="AX31" s="1"/>
      <c r="AY31" s="1"/>
    </row>
    <row r="32" spans="1:51" x14ac:dyDescent="0.3">
      <c r="A32" s="4" t="s">
        <v>55</v>
      </c>
      <c r="B32" s="5" t="s">
        <v>56</v>
      </c>
      <c r="C32" s="53" t="s">
        <v>619</v>
      </c>
      <c r="D32" s="53" t="s">
        <v>450</v>
      </c>
      <c r="E32" s="53"/>
      <c r="F32" s="53" t="s">
        <v>818</v>
      </c>
      <c r="G32" s="39" t="s">
        <v>450</v>
      </c>
      <c r="H32" s="39"/>
      <c r="I32" s="39"/>
      <c r="J32" s="1"/>
      <c r="K32" s="1"/>
      <c r="L32" s="1"/>
      <c r="M32" s="1"/>
      <c r="N32" s="1"/>
      <c r="O32" s="1"/>
      <c r="P32" s="1"/>
      <c r="Q32" s="1"/>
      <c r="R32" s="61" t="s">
        <v>517</v>
      </c>
      <c r="S32" s="1" t="s">
        <v>450</v>
      </c>
      <c r="T32" s="39"/>
      <c r="U32" s="39"/>
      <c r="V32" s="39"/>
      <c r="W32" s="39"/>
      <c r="X32" s="1"/>
      <c r="Y32" s="1"/>
      <c r="Z32" s="1"/>
      <c r="AA32" s="1"/>
      <c r="AB32" s="1"/>
      <c r="AC32" s="1"/>
      <c r="AD32" s="39"/>
      <c r="AE32" s="3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39"/>
      <c r="AV32" s="39"/>
      <c r="AW32" s="1"/>
      <c r="AX32" s="1"/>
      <c r="AY32" s="1"/>
    </row>
    <row r="33" spans="1:51" x14ac:dyDescent="0.3">
      <c r="A33" s="4" t="s">
        <v>57</v>
      </c>
      <c r="B33" s="5" t="s">
        <v>58</v>
      </c>
      <c r="C33" s="53" t="s">
        <v>620</v>
      </c>
      <c r="D33" s="53" t="s">
        <v>450</v>
      </c>
      <c r="E33" s="53"/>
      <c r="F33" s="53" t="s">
        <v>819</v>
      </c>
      <c r="G33" s="39" t="s">
        <v>450</v>
      </c>
      <c r="H33" s="39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39"/>
      <c r="U33" s="39"/>
      <c r="V33" s="39"/>
      <c r="W33" s="39"/>
      <c r="X33" s="1"/>
      <c r="Y33" s="1"/>
      <c r="Z33" s="1"/>
      <c r="AA33" s="1"/>
      <c r="AB33" s="1"/>
      <c r="AC33" s="1"/>
      <c r="AD33" s="39"/>
      <c r="AE33" s="3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39"/>
      <c r="AV33" s="39"/>
      <c r="AW33" s="1"/>
      <c r="AX33" s="1"/>
      <c r="AY33" s="1"/>
    </row>
    <row r="34" spans="1:51" x14ac:dyDescent="0.3">
      <c r="A34" s="19" t="s">
        <v>59</v>
      </c>
      <c r="B34" s="20" t="s">
        <v>60</v>
      </c>
      <c r="C34" s="53" t="s">
        <v>621</v>
      </c>
      <c r="D34" s="53" t="s">
        <v>450</v>
      </c>
      <c r="E34" s="53"/>
      <c r="F34" s="53" t="s">
        <v>820</v>
      </c>
      <c r="G34" s="39" t="s">
        <v>450</v>
      </c>
      <c r="H34" s="39"/>
      <c r="I34" s="65" t="s">
        <v>563</v>
      </c>
      <c r="J34" s="1" t="s">
        <v>450</v>
      </c>
      <c r="K34" s="1"/>
      <c r="L34" s="1"/>
      <c r="M34" s="1"/>
      <c r="N34" s="1"/>
      <c r="O34" s="1"/>
      <c r="P34" s="1"/>
      <c r="Q34" s="1"/>
      <c r="R34" s="61" t="s">
        <v>495</v>
      </c>
      <c r="S34" s="1" t="s">
        <v>450</v>
      </c>
      <c r="T34" s="39"/>
      <c r="U34" s="39"/>
      <c r="V34" s="39"/>
      <c r="W34" s="39"/>
      <c r="X34" s="1"/>
      <c r="Y34" s="1"/>
      <c r="Z34" s="1"/>
      <c r="AA34" s="1"/>
      <c r="AB34" s="1"/>
      <c r="AC34" s="1"/>
      <c r="AD34" s="39"/>
      <c r="AE34" s="3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39"/>
      <c r="AV34" s="39"/>
      <c r="AW34" s="1"/>
      <c r="AX34" s="1"/>
      <c r="AY34" s="1"/>
    </row>
    <row r="35" spans="1:51" x14ac:dyDescent="0.3">
      <c r="A35" s="13" t="s">
        <v>61</v>
      </c>
      <c r="B35" s="14" t="s">
        <v>62</v>
      </c>
      <c r="C35" s="53" t="s">
        <v>622</v>
      </c>
      <c r="D35" s="53" t="s">
        <v>450</v>
      </c>
      <c r="E35" s="53"/>
      <c r="F35" s="53" t="s">
        <v>821</v>
      </c>
      <c r="G35" s="39" t="s">
        <v>450</v>
      </c>
      <c r="H35" s="39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39"/>
      <c r="U35" s="39"/>
      <c r="V35" s="39"/>
      <c r="W35" s="39"/>
      <c r="X35" s="1"/>
      <c r="Y35" s="1"/>
      <c r="Z35" s="1"/>
      <c r="AA35" s="1"/>
      <c r="AB35" s="1"/>
      <c r="AC35" s="1"/>
      <c r="AD35" s="39"/>
      <c r="AE35" s="3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39"/>
      <c r="AV35" s="39"/>
      <c r="AW35" s="1"/>
      <c r="AX35" s="1"/>
      <c r="AY35" s="1"/>
    </row>
    <row r="36" spans="1:51" x14ac:dyDescent="0.3">
      <c r="A36" s="2" t="s">
        <v>63</v>
      </c>
      <c r="B36" s="3" t="s">
        <v>64</v>
      </c>
      <c r="C36" s="53" t="s">
        <v>623</v>
      </c>
      <c r="D36" s="53" t="s">
        <v>450</v>
      </c>
      <c r="E36" s="53"/>
      <c r="F36" s="57" t="s">
        <v>530</v>
      </c>
      <c r="G36" s="39" t="s">
        <v>450</v>
      </c>
      <c r="H36" s="39"/>
      <c r="I36" s="57" t="s">
        <v>530</v>
      </c>
      <c r="J36" s="1" t="s">
        <v>450</v>
      </c>
      <c r="K36" s="1"/>
      <c r="L36" s="1"/>
      <c r="M36" s="1"/>
      <c r="N36" s="1"/>
      <c r="O36" s="1"/>
      <c r="P36" s="1"/>
      <c r="Q36" s="1"/>
      <c r="R36" s="1"/>
      <c r="S36" s="1"/>
      <c r="T36" s="39"/>
      <c r="U36" s="39"/>
      <c r="V36" s="39"/>
      <c r="W36" s="39"/>
      <c r="X36" s="1"/>
      <c r="Y36" s="1"/>
      <c r="Z36" s="1"/>
      <c r="AA36" s="1"/>
      <c r="AB36" s="1"/>
      <c r="AC36" s="1"/>
      <c r="AD36" s="39"/>
      <c r="AE36" s="3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39"/>
      <c r="AV36" s="39"/>
      <c r="AW36" s="1"/>
      <c r="AX36" s="1"/>
      <c r="AY36" s="1"/>
    </row>
    <row r="37" spans="1:51" x14ac:dyDescent="0.3">
      <c r="A37" s="22" t="s">
        <v>65</v>
      </c>
      <c r="B37" s="23" t="s">
        <v>66</v>
      </c>
      <c r="C37" s="53" t="s">
        <v>624</v>
      </c>
      <c r="D37" s="53" t="s">
        <v>450</v>
      </c>
      <c r="E37" s="53"/>
      <c r="F37" s="53" t="s">
        <v>821</v>
      </c>
      <c r="G37" s="39" t="s">
        <v>450</v>
      </c>
      <c r="H37" s="39"/>
      <c r="I37" s="57" t="s">
        <v>498</v>
      </c>
      <c r="J37" s="1" t="s">
        <v>450</v>
      </c>
      <c r="K37" s="1"/>
      <c r="L37" s="1"/>
      <c r="M37" s="1"/>
      <c r="N37" s="1"/>
      <c r="O37" s="1"/>
      <c r="P37" s="1"/>
      <c r="Q37" s="1"/>
      <c r="R37" s="1" t="s">
        <v>498</v>
      </c>
      <c r="S37" s="1" t="s">
        <v>450</v>
      </c>
      <c r="T37" s="39"/>
      <c r="U37" s="39"/>
      <c r="V37" s="39"/>
      <c r="W37" s="39"/>
      <c r="X37" s="1"/>
      <c r="Y37" s="1"/>
      <c r="Z37" s="1"/>
      <c r="AA37" s="1"/>
      <c r="AB37" s="1"/>
      <c r="AC37" s="1"/>
      <c r="AD37" s="39"/>
      <c r="AE37" s="3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39"/>
      <c r="AV37" s="39"/>
      <c r="AW37" s="1"/>
      <c r="AX37" s="1"/>
      <c r="AY37" s="1"/>
    </row>
    <row r="38" spans="1:51" x14ac:dyDescent="0.3">
      <c r="A38" s="22" t="s">
        <v>67</v>
      </c>
      <c r="B38" s="23" t="s">
        <v>68</v>
      </c>
      <c r="C38" s="53" t="s">
        <v>625</v>
      </c>
      <c r="D38" s="53" t="s">
        <v>450</v>
      </c>
      <c r="E38" s="53"/>
      <c r="F38" s="53" t="s">
        <v>822</v>
      </c>
      <c r="G38" s="39" t="s">
        <v>450</v>
      </c>
      <c r="H38" s="39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39"/>
      <c r="U38" s="39"/>
      <c r="V38" s="39"/>
      <c r="W38" s="39"/>
      <c r="X38" s="1"/>
      <c r="Y38" s="1"/>
      <c r="Z38" s="1"/>
      <c r="AA38" s="1"/>
      <c r="AB38" s="1"/>
      <c r="AC38" s="1"/>
      <c r="AD38" s="39"/>
      <c r="AE38" s="3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39"/>
      <c r="AV38" s="39"/>
      <c r="AW38" s="1"/>
      <c r="AX38" s="1"/>
      <c r="AY38" s="1"/>
    </row>
    <row r="39" spans="1:51" x14ac:dyDescent="0.3">
      <c r="A39" s="13" t="s">
        <v>69</v>
      </c>
      <c r="B39" s="14" t="s">
        <v>70</v>
      </c>
      <c r="C39" s="53" t="s">
        <v>626</v>
      </c>
      <c r="D39" s="53" t="s">
        <v>450</v>
      </c>
      <c r="E39" s="53"/>
      <c r="F39" s="53" t="s">
        <v>823</v>
      </c>
      <c r="G39" s="39" t="s">
        <v>545</v>
      </c>
      <c r="H39" s="39" t="s">
        <v>450</v>
      </c>
      <c r="I39" s="57" t="s">
        <v>471</v>
      </c>
      <c r="J39" s="1" t="s">
        <v>450</v>
      </c>
      <c r="K39" s="1"/>
      <c r="L39" s="1"/>
      <c r="M39" s="1"/>
      <c r="N39" s="1"/>
      <c r="O39" s="1"/>
      <c r="P39" s="1"/>
      <c r="Q39" s="1"/>
      <c r="R39" s="57" t="s">
        <v>471</v>
      </c>
      <c r="S39" s="1" t="s">
        <v>450</v>
      </c>
      <c r="T39" s="39"/>
      <c r="U39" s="39"/>
      <c r="V39" s="39"/>
      <c r="W39" s="39"/>
      <c r="X39" s="1"/>
      <c r="Y39" s="1"/>
      <c r="Z39" s="1"/>
      <c r="AA39" s="1"/>
      <c r="AB39" s="1"/>
      <c r="AC39" s="1"/>
      <c r="AD39" s="39"/>
      <c r="AE39" s="3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9"/>
      <c r="AV39" s="39"/>
      <c r="AW39" s="1"/>
      <c r="AX39" s="1"/>
      <c r="AY39" s="1"/>
    </row>
    <row r="40" spans="1:51" x14ac:dyDescent="0.3">
      <c r="A40" s="9" t="s">
        <v>71</v>
      </c>
      <c r="B40" s="10" t="s">
        <v>72</v>
      </c>
      <c r="C40" s="53" t="s">
        <v>627</v>
      </c>
      <c r="D40" s="53" t="s">
        <v>450</v>
      </c>
      <c r="E40" s="56"/>
      <c r="F40" s="53" t="s">
        <v>824</v>
      </c>
      <c r="G40" s="57" t="s">
        <v>565</v>
      </c>
      <c r="H40" s="57" t="s">
        <v>566</v>
      </c>
      <c r="I40" s="57" t="s">
        <v>450</v>
      </c>
      <c r="J40" s="58" t="s">
        <v>564</v>
      </c>
      <c r="K40" s="58" t="s">
        <v>566</v>
      </c>
      <c r="L40" s="58" t="s">
        <v>566</v>
      </c>
      <c r="M40" s="58" t="s">
        <v>566</v>
      </c>
      <c r="N40" s="58" t="s">
        <v>567</v>
      </c>
      <c r="O40" s="1" t="s">
        <v>450</v>
      </c>
      <c r="P40" s="58" t="s">
        <v>566</v>
      </c>
      <c r="Q40" s="58" t="s">
        <v>566</v>
      </c>
      <c r="R40" s="58" t="s">
        <v>566</v>
      </c>
      <c r="S40" s="58" t="s">
        <v>449</v>
      </c>
      <c r="T40" s="57" t="s">
        <v>457</v>
      </c>
      <c r="U40" s="39" t="s">
        <v>450</v>
      </c>
      <c r="V40" s="57" t="s">
        <v>558</v>
      </c>
      <c r="W40" s="39" t="s">
        <v>450</v>
      </c>
      <c r="X40" s="1"/>
      <c r="Y40" s="1"/>
      <c r="Z40" s="57" t="s">
        <v>456</v>
      </c>
      <c r="AA40" s="1" t="s">
        <v>450</v>
      </c>
      <c r="AB40" s="57" t="s">
        <v>456</v>
      </c>
      <c r="AC40" s="1" t="s">
        <v>450</v>
      </c>
      <c r="AD40" s="39"/>
      <c r="AE40" s="39"/>
      <c r="AF40" s="1"/>
      <c r="AG40" s="1"/>
      <c r="AH40" s="57" t="s">
        <v>558</v>
      </c>
      <c r="AI40" s="1" t="s">
        <v>450</v>
      </c>
      <c r="AJ40" s="1"/>
      <c r="AK40" s="57" t="s">
        <v>555</v>
      </c>
      <c r="AL40" s="1" t="s">
        <v>450</v>
      </c>
      <c r="AM40" s="57" t="s">
        <v>456</v>
      </c>
      <c r="AN40" s="1" t="s">
        <v>450</v>
      </c>
      <c r="AO40" s="1"/>
      <c r="AP40" s="57" t="s">
        <v>456</v>
      </c>
      <c r="AQ40" s="1" t="s">
        <v>450</v>
      </c>
      <c r="AR40" s="1"/>
      <c r="AS40" s="1"/>
      <c r="AT40" s="1"/>
      <c r="AU40" s="39"/>
      <c r="AV40" s="39"/>
      <c r="AW40" s="1"/>
      <c r="AX40" s="1"/>
      <c r="AY40" s="1"/>
    </row>
    <row r="41" spans="1:51" x14ac:dyDescent="0.3">
      <c r="A41" s="2" t="s">
        <v>73</v>
      </c>
      <c r="B41" s="3" t="s">
        <v>74</v>
      </c>
      <c r="C41" s="53" t="s">
        <v>628</v>
      </c>
      <c r="D41" s="53" t="s">
        <v>450</v>
      </c>
      <c r="E41" s="53"/>
      <c r="F41" s="53" t="s">
        <v>825</v>
      </c>
      <c r="G41" s="39" t="s">
        <v>450</v>
      </c>
      <c r="H41" s="39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39"/>
      <c r="U41" s="39"/>
      <c r="V41" s="39"/>
      <c r="W41" s="39"/>
      <c r="X41" s="1"/>
      <c r="Y41" s="1"/>
      <c r="Z41" s="1"/>
      <c r="AA41" s="1"/>
      <c r="AB41" s="1"/>
      <c r="AC41" s="1"/>
      <c r="AD41" s="39"/>
      <c r="AE41" s="3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39"/>
      <c r="AV41" s="39"/>
      <c r="AW41" s="1"/>
      <c r="AX41" s="1"/>
      <c r="AY41" s="1"/>
    </row>
    <row r="42" spans="1:51" x14ac:dyDescent="0.3">
      <c r="A42" s="22" t="s">
        <v>75</v>
      </c>
      <c r="B42" s="23" t="s">
        <v>76</v>
      </c>
      <c r="C42" s="53" t="s">
        <v>629</v>
      </c>
      <c r="D42" s="53" t="s">
        <v>450</v>
      </c>
      <c r="E42" s="53"/>
      <c r="F42" s="53" t="s">
        <v>826</v>
      </c>
      <c r="G42" s="39" t="s">
        <v>450</v>
      </c>
      <c r="H42" s="39"/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39"/>
      <c r="U42" s="39"/>
      <c r="V42" s="39"/>
      <c r="W42" s="39"/>
      <c r="X42" s="1"/>
      <c r="Y42" s="1"/>
      <c r="Z42" s="1"/>
      <c r="AA42" s="1"/>
      <c r="AB42" s="1"/>
      <c r="AC42" s="1"/>
      <c r="AD42" s="39"/>
      <c r="AE42" s="3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39"/>
      <c r="AV42" s="39"/>
      <c r="AW42" s="1"/>
      <c r="AX42" s="1"/>
      <c r="AY42" s="1"/>
    </row>
    <row r="43" spans="1:51" x14ac:dyDescent="0.3">
      <c r="A43" s="4" t="s">
        <v>77</v>
      </c>
      <c r="B43" s="5" t="s">
        <v>78</v>
      </c>
      <c r="C43" s="53" t="s">
        <v>630</v>
      </c>
      <c r="D43" s="53" t="s">
        <v>450</v>
      </c>
      <c r="E43" s="53"/>
      <c r="F43" s="53" t="s">
        <v>827</v>
      </c>
      <c r="G43" s="39" t="s">
        <v>450</v>
      </c>
      <c r="H43" s="39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39"/>
      <c r="U43" s="39"/>
      <c r="V43" s="39"/>
      <c r="W43" s="39"/>
      <c r="X43" s="1"/>
      <c r="Y43" s="1"/>
      <c r="Z43" s="1"/>
      <c r="AA43" s="1"/>
      <c r="AB43" s="1"/>
      <c r="AC43" s="1"/>
      <c r="AD43" s="39"/>
      <c r="AE43" s="3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39"/>
      <c r="AV43" s="39"/>
      <c r="AW43" s="1"/>
      <c r="AX43" s="1"/>
      <c r="AY43" s="1"/>
    </row>
    <row r="44" spans="1:51" x14ac:dyDescent="0.3">
      <c r="A44" s="22" t="s">
        <v>79</v>
      </c>
      <c r="B44" s="23" t="s">
        <v>80</v>
      </c>
      <c r="C44" s="53" t="s">
        <v>631</v>
      </c>
      <c r="D44" s="53" t="s">
        <v>450</v>
      </c>
      <c r="E44" s="53"/>
      <c r="F44" s="53" t="s">
        <v>828</v>
      </c>
      <c r="G44" s="39" t="s">
        <v>450</v>
      </c>
      <c r="H44" s="39"/>
      <c r="I44" s="39"/>
      <c r="J44" s="1"/>
      <c r="K44" s="1"/>
      <c r="L44" s="1"/>
      <c r="M44" s="1"/>
      <c r="N44" s="1"/>
      <c r="O44" s="1"/>
      <c r="P44" s="1"/>
      <c r="Q44" s="1"/>
      <c r="R44" s="61" t="s">
        <v>493</v>
      </c>
      <c r="S44" s="1" t="s">
        <v>450</v>
      </c>
      <c r="T44" s="39"/>
      <c r="U44" s="39"/>
      <c r="V44" s="39"/>
      <c r="W44" s="39"/>
      <c r="X44" s="1"/>
      <c r="Y44" s="1"/>
      <c r="Z44" s="1"/>
      <c r="AA44" s="1"/>
      <c r="AB44" s="1"/>
      <c r="AC44" s="1"/>
      <c r="AD44" s="39"/>
      <c r="AE44" s="39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39"/>
      <c r="AV44" s="39"/>
      <c r="AW44" s="1"/>
      <c r="AX44" s="1"/>
      <c r="AY44" s="1"/>
    </row>
    <row r="45" spans="1:51" x14ac:dyDescent="0.3">
      <c r="A45" s="2" t="s">
        <v>81</v>
      </c>
      <c r="B45" s="3" t="s">
        <v>82</v>
      </c>
      <c r="C45" s="53" t="s">
        <v>632</v>
      </c>
      <c r="D45" s="53" t="s">
        <v>450</v>
      </c>
      <c r="E45" s="53"/>
      <c r="F45" s="53" t="s">
        <v>829</v>
      </c>
      <c r="G45" s="39" t="s">
        <v>450</v>
      </c>
      <c r="H45" s="39"/>
      <c r="I45" s="39"/>
      <c r="J45" s="1"/>
      <c r="K45" s="1"/>
      <c r="L45" s="1"/>
      <c r="M45" s="1"/>
      <c r="N45" s="1"/>
      <c r="O45" s="1"/>
      <c r="P45" s="1"/>
      <c r="Q45" s="1"/>
      <c r="R45" s="1"/>
      <c r="S45" s="1"/>
      <c r="T45" s="39"/>
      <c r="U45" s="39"/>
      <c r="V45" s="39"/>
      <c r="W45" s="39"/>
      <c r="X45" s="1"/>
      <c r="Y45" s="1"/>
      <c r="Z45" s="1"/>
      <c r="AA45" s="1"/>
      <c r="AB45" s="1"/>
      <c r="AC45" s="1"/>
      <c r="AD45" s="39"/>
      <c r="AE45" s="3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9"/>
      <c r="AV45" s="39"/>
      <c r="AW45" s="1"/>
      <c r="AX45" s="1"/>
      <c r="AY45" s="1"/>
    </row>
    <row r="46" spans="1:51" x14ac:dyDescent="0.3">
      <c r="A46" s="2" t="s">
        <v>83</v>
      </c>
      <c r="B46" s="3" t="s">
        <v>84</v>
      </c>
      <c r="C46" s="53" t="s">
        <v>633</v>
      </c>
      <c r="D46" s="53" t="s">
        <v>450</v>
      </c>
      <c r="E46" s="53"/>
      <c r="F46" s="53" t="s">
        <v>830</v>
      </c>
      <c r="G46" s="39" t="s">
        <v>450</v>
      </c>
      <c r="H46" s="39"/>
      <c r="I46" s="39"/>
      <c r="J46" s="1"/>
      <c r="K46" s="1"/>
      <c r="L46" s="1"/>
      <c r="M46" s="1"/>
      <c r="N46" s="1"/>
      <c r="O46" s="1"/>
      <c r="P46" s="1"/>
      <c r="Q46" s="1"/>
      <c r="R46" s="1"/>
      <c r="S46" s="1"/>
      <c r="T46" s="39"/>
      <c r="U46" s="39"/>
      <c r="V46" s="39"/>
      <c r="W46" s="39"/>
      <c r="X46" s="1"/>
      <c r="Y46" s="1"/>
      <c r="Z46" s="1"/>
      <c r="AA46" s="1"/>
      <c r="AB46" s="1"/>
      <c r="AC46" s="1"/>
      <c r="AD46" s="39"/>
      <c r="AE46" s="39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39"/>
      <c r="AV46" s="39"/>
      <c r="AW46" s="1"/>
      <c r="AX46" s="1"/>
      <c r="AY46" s="1"/>
    </row>
    <row r="47" spans="1:51" x14ac:dyDescent="0.3">
      <c r="A47" s="2" t="s">
        <v>85</v>
      </c>
      <c r="B47" s="3" t="s">
        <v>86</v>
      </c>
      <c r="C47" s="53" t="s">
        <v>634</v>
      </c>
      <c r="D47" s="53" t="s">
        <v>450</v>
      </c>
      <c r="E47" s="53"/>
      <c r="F47" s="53" t="s">
        <v>831</v>
      </c>
      <c r="G47" s="57" t="s">
        <v>480</v>
      </c>
      <c r="H47" s="39" t="s">
        <v>450</v>
      </c>
      <c r="I47" s="57" t="s">
        <v>480</v>
      </c>
      <c r="J47" s="1" t="s">
        <v>450</v>
      </c>
      <c r="K47" s="1"/>
      <c r="L47" s="1"/>
      <c r="M47" s="1"/>
      <c r="N47" s="1"/>
      <c r="O47" s="1"/>
      <c r="P47" s="1"/>
      <c r="Q47" s="1"/>
      <c r="R47" s="1" t="s">
        <v>480</v>
      </c>
      <c r="S47" s="1" t="s">
        <v>480</v>
      </c>
      <c r="T47" s="39" t="s">
        <v>450</v>
      </c>
      <c r="U47" s="39"/>
      <c r="V47" s="39"/>
      <c r="W47" s="39"/>
      <c r="X47" s="1"/>
      <c r="Y47" s="1"/>
      <c r="Z47" s="1"/>
      <c r="AA47" s="1"/>
      <c r="AB47" s="1"/>
      <c r="AC47" s="1"/>
      <c r="AD47" s="39"/>
      <c r="AE47" s="3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39"/>
      <c r="AV47" s="39"/>
      <c r="AW47" s="1"/>
      <c r="AX47" s="1"/>
      <c r="AY47" s="1"/>
    </row>
    <row r="48" spans="1:51" x14ac:dyDescent="0.3">
      <c r="A48" s="2" t="s">
        <v>87</v>
      </c>
      <c r="B48" s="3" t="s">
        <v>88</v>
      </c>
      <c r="C48" s="53" t="s">
        <v>635</v>
      </c>
      <c r="D48" s="53" t="s">
        <v>450</v>
      </c>
      <c r="E48" s="53"/>
      <c r="F48" s="53" t="s">
        <v>832</v>
      </c>
      <c r="G48" s="39" t="s">
        <v>450</v>
      </c>
      <c r="H48" s="39"/>
      <c r="I48" s="57" t="s">
        <v>518</v>
      </c>
      <c r="J48" s="1" t="s">
        <v>450</v>
      </c>
      <c r="K48" s="1"/>
      <c r="L48" s="1"/>
      <c r="M48" s="1"/>
      <c r="N48" s="1"/>
      <c r="O48" s="1"/>
      <c r="P48" s="1"/>
      <c r="Q48" s="1"/>
      <c r="R48" s="1"/>
      <c r="S48" s="1"/>
      <c r="T48" s="39"/>
      <c r="U48" s="39"/>
      <c r="V48" s="39"/>
      <c r="W48" s="39"/>
      <c r="X48" s="1"/>
      <c r="Y48" s="1"/>
      <c r="Z48" s="1"/>
      <c r="AA48" s="1"/>
      <c r="AB48" s="1"/>
      <c r="AC48" s="1"/>
      <c r="AD48" s="39"/>
      <c r="AE48" s="39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39"/>
      <c r="AV48" s="39"/>
      <c r="AW48" s="1"/>
      <c r="AX48" s="1"/>
      <c r="AY48" s="1"/>
    </row>
    <row r="49" spans="1:51" x14ac:dyDescent="0.3">
      <c r="A49" s="13" t="s">
        <v>89</v>
      </c>
      <c r="B49" s="14" t="s">
        <v>90</v>
      </c>
      <c r="C49" s="53" t="s">
        <v>636</v>
      </c>
      <c r="D49" s="53" t="s">
        <v>450</v>
      </c>
      <c r="E49" s="53"/>
      <c r="F49" s="53" t="s">
        <v>833</v>
      </c>
      <c r="G49" s="39" t="s">
        <v>545</v>
      </c>
      <c r="H49" s="39" t="s">
        <v>450</v>
      </c>
      <c r="I49" s="57" t="s">
        <v>568</v>
      </c>
      <c r="J49" s="1" t="s">
        <v>450</v>
      </c>
      <c r="K49" s="1"/>
      <c r="L49" s="1"/>
      <c r="M49" s="1"/>
      <c r="N49" s="1"/>
      <c r="O49" s="1"/>
      <c r="P49" s="61" t="s">
        <v>568</v>
      </c>
      <c r="Q49" s="1" t="s">
        <v>450</v>
      </c>
      <c r="R49" s="1"/>
      <c r="S49" s="1"/>
      <c r="T49" s="39"/>
      <c r="U49" s="39"/>
      <c r="V49" s="39"/>
      <c r="W49" s="39"/>
      <c r="X49" s="1"/>
      <c r="Y49" s="1"/>
      <c r="Z49" s="1"/>
      <c r="AA49" s="1"/>
      <c r="AB49" s="1"/>
      <c r="AC49" s="1"/>
      <c r="AD49" s="39"/>
      <c r="AE49" s="3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39"/>
      <c r="AV49" s="39"/>
      <c r="AW49" s="1"/>
      <c r="AX49" s="1"/>
      <c r="AY49" s="1"/>
    </row>
    <row r="50" spans="1:51" x14ac:dyDescent="0.3">
      <c r="A50" s="9" t="s">
        <v>91</v>
      </c>
      <c r="B50" s="10" t="s">
        <v>92</v>
      </c>
      <c r="C50" s="53" t="s">
        <v>637</v>
      </c>
      <c r="D50" s="53" t="s">
        <v>450</v>
      </c>
      <c r="E50" s="53"/>
      <c r="F50" s="53" t="s">
        <v>834</v>
      </c>
      <c r="G50" s="39" t="s">
        <v>545</v>
      </c>
      <c r="H50" s="39" t="s">
        <v>450</v>
      </c>
      <c r="I50" s="39"/>
      <c r="J50" s="61" t="s">
        <v>460</v>
      </c>
      <c r="K50" s="1" t="s">
        <v>450</v>
      </c>
      <c r="L50" s="1"/>
      <c r="M50" s="1"/>
      <c r="N50" s="1"/>
      <c r="O50" s="1"/>
      <c r="P50" s="1"/>
      <c r="Q50" s="1"/>
      <c r="R50" s="1" t="s">
        <v>460</v>
      </c>
      <c r="S50" s="1" t="s">
        <v>450</v>
      </c>
      <c r="T50" s="39"/>
      <c r="U50" s="39"/>
      <c r="V50" s="39"/>
      <c r="W50" s="39"/>
      <c r="X50" s="61" t="s">
        <v>553</v>
      </c>
      <c r="Y50" s="1" t="s">
        <v>553</v>
      </c>
      <c r="Z50" s="1" t="s">
        <v>450</v>
      </c>
      <c r="AA50" s="1"/>
      <c r="AB50" s="1"/>
      <c r="AC50" s="1"/>
      <c r="AD50" s="39"/>
      <c r="AE50" s="3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39"/>
      <c r="AV50" s="39"/>
      <c r="AW50" s="1"/>
      <c r="AX50" s="1"/>
      <c r="AY50" s="1"/>
    </row>
    <row r="51" spans="1:51" x14ac:dyDescent="0.3">
      <c r="A51" s="2" t="s">
        <v>93</v>
      </c>
      <c r="B51" s="3" t="s">
        <v>94</v>
      </c>
      <c r="C51" s="53" t="s">
        <v>638</v>
      </c>
      <c r="D51" s="53" t="s">
        <v>450</v>
      </c>
      <c r="E51" s="53"/>
      <c r="F51" s="53" t="s">
        <v>835</v>
      </c>
      <c r="G51" s="39" t="s">
        <v>450</v>
      </c>
      <c r="H51" s="39"/>
      <c r="I51" s="57" t="s">
        <v>520</v>
      </c>
      <c r="J51" s="1" t="s">
        <v>450</v>
      </c>
      <c r="K51" s="1"/>
      <c r="L51" s="1"/>
      <c r="M51" s="1"/>
      <c r="N51" s="1"/>
      <c r="O51" s="1"/>
      <c r="P51" s="1"/>
      <c r="Q51" s="1"/>
      <c r="R51" s="1" t="s">
        <v>520</v>
      </c>
      <c r="S51" s="1" t="s">
        <v>450</v>
      </c>
      <c r="T51" s="39"/>
      <c r="U51" s="39"/>
      <c r="V51" s="39"/>
      <c r="W51" s="39"/>
      <c r="X51" s="1"/>
      <c r="Y51" s="1"/>
      <c r="Z51" s="1"/>
      <c r="AA51" s="1"/>
      <c r="AB51" s="1"/>
      <c r="AC51" s="1"/>
      <c r="AD51" s="39"/>
      <c r="AE51" s="39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39"/>
      <c r="AV51" s="39"/>
      <c r="AW51" s="1"/>
      <c r="AX51" s="1"/>
      <c r="AY51" s="1"/>
    </row>
    <row r="52" spans="1:51" x14ac:dyDescent="0.3">
      <c r="A52" s="2" t="s">
        <v>95</v>
      </c>
      <c r="B52" s="3" t="s">
        <v>96</v>
      </c>
      <c r="C52" s="53" t="s">
        <v>639</v>
      </c>
      <c r="D52" s="53" t="s">
        <v>450</v>
      </c>
      <c r="E52" s="53"/>
      <c r="F52" s="53" t="s">
        <v>836</v>
      </c>
      <c r="G52" s="39" t="s">
        <v>450</v>
      </c>
      <c r="H52" s="39"/>
      <c r="I52" s="57" t="s">
        <v>519</v>
      </c>
      <c r="J52" s="1" t="s">
        <v>450</v>
      </c>
      <c r="K52" s="1"/>
      <c r="L52" s="1"/>
      <c r="M52" s="1"/>
      <c r="N52" s="1"/>
      <c r="O52" s="1"/>
      <c r="P52" s="1"/>
      <c r="Q52" s="1"/>
      <c r="R52" s="1"/>
      <c r="S52" s="1"/>
      <c r="T52" s="39"/>
      <c r="U52" s="39"/>
      <c r="V52" s="39"/>
      <c r="W52" s="39"/>
      <c r="X52" s="1"/>
      <c r="Y52" s="1"/>
      <c r="Z52" s="1"/>
      <c r="AA52" s="1"/>
      <c r="AB52" s="1"/>
      <c r="AC52" s="1"/>
      <c r="AD52" s="39"/>
      <c r="AE52" s="39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39"/>
      <c r="AV52" s="39"/>
      <c r="AW52" s="1"/>
      <c r="AX52" s="1"/>
      <c r="AY52" s="1"/>
    </row>
    <row r="53" spans="1:51" x14ac:dyDescent="0.3">
      <c r="A53" s="2" t="s">
        <v>97</v>
      </c>
      <c r="B53" s="3" t="s">
        <v>98</v>
      </c>
      <c r="C53" s="53" t="s">
        <v>640</v>
      </c>
      <c r="D53" s="53" t="s">
        <v>450</v>
      </c>
      <c r="E53" s="53"/>
      <c r="F53" s="53" t="s">
        <v>837</v>
      </c>
      <c r="G53" s="39" t="s">
        <v>450</v>
      </c>
      <c r="H53" s="39"/>
      <c r="I53" s="39"/>
      <c r="J53" s="1"/>
      <c r="K53" s="1"/>
      <c r="L53" s="1"/>
      <c r="M53" s="1"/>
      <c r="N53" s="1"/>
      <c r="O53" s="1"/>
      <c r="P53" s="1"/>
      <c r="Q53" s="1"/>
      <c r="R53" s="61" t="s">
        <v>508</v>
      </c>
      <c r="S53" s="1" t="s">
        <v>450</v>
      </c>
      <c r="T53" s="39"/>
      <c r="U53" s="39"/>
      <c r="V53" s="39"/>
      <c r="W53" s="39"/>
      <c r="X53" s="1"/>
      <c r="Y53" s="1"/>
      <c r="Z53" s="1"/>
      <c r="AA53" s="1"/>
      <c r="AB53" s="1"/>
      <c r="AC53" s="1"/>
      <c r="AD53" s="39"/>
      <c r="AE53" s="3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39"/>
      <c r="AV53" s="39"/>
      <c r="AW53" s="1"/>
      <c r="AX53" s="1"/>
      <c r="AY53" s="1"/>
    </row>
    <row r="54" spans="1:51" x14ac:dyDescent="0.3">
      <c r="A54" s="24" t="s">
        <v>99</v>
      </c>
      <c r="B54" s="25" t="s">
        <v>100</v>
      </c>
      <c r="C54" s="53" t="s">
        <v>641</v>
      </c>
      <c r="D54" s="53" t="s">
        <v>450</v>
      </c>
      <c r="E54" s="53"/>
      <c r="F54" s="53" t="s">
        <v>838</v>
      </c>
      <c r="G54" s="57" t="s">
        <v>502</v>
      </c>
      <c r="H54" s="39" t="s">
        <v>450</v>
      </c>
      <c r="I54" s="39" t="s">
        <v>502</v>
      </c>
      <c r="J54" s="1" t="s">
        <v>502</v>
      </c>
      <c r="K54" s="1" t="s">
        <v>450</v>
      </c>
      <c r="L54" s="1"/>
      <c r="M54" s="1"/>
      <c r="N54" s="1"/>
      <c r="O54" s="1"/>
      <c r="P54" s="1"/>
      <c r="Q54" s="1"/>
      <c r="R54" s="1" t="s">
        <v>502</v>
      </c>
      <c r="S54" s="1" t="s">
        <v>450</v>
      </c>
      <c r="T54" s="39"/>
      <c r="U54" s="39"/>
      <c r="V54" s="39"/>
      <c r="W54" s="39"/>
      <c r="X54" s="1"/>
      <c r="Y54" s="1"/>
      <c r="Z54" s="1"/>
      <c r="AA54" s="1"/>
      <c r="AB54" s="1"/>
      <c r="AC54" s="1"/>
      <c r="AD54" s="39"/>
      <c r="AE54" s="3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39"/>
      <c r="AV54" s="39"/>
      <c r="AW54" s="1"/>
      <c r="AX54" s="1"/>
      <c r="AY54" s="1"/>
    </row>
    <row r="55" spans="1:51" x14ac:dyDescent="0.3">
      <c r="A55" s="2" t="s">
        <v>101</v>
      </c>
      <c r="B55" s="3" t="s">
        <v>102</v>
      </c>
      <c r="C55" s="53" t="s">
        <v>642</v>
      </c>
      <c r="D55" s="53" t="s">
        <v>450</v>
      </c>
      <c r="E55" s="53"/>
      <c r="F55" s="53" t="s">
        <v>839</v>
      </c>
      <c r="G55" s="39" t="s">
        <v>450</v>
      </c>
      <c r="H55" s="39"/>
      <c r="I55" s="39"/>
      <c r="J55" s="1"/>
      <c r="K55" s="1"/>
      <c r="L55" s="1"/>
      <c r="M55" s="1"/>
      <c r="N55" s="1"/>
      <c r="O55" s="1"/>
      <c r="P55" s="1"/>
      <c r="Q55" s="1"/>
      <c r="R55" s="61" t="s">
        <v>521</v>
      </c>
      <c r="S55" s="1" t="s">
        <v>450</v>
      </c>
      <c r="T55" s="39"/>
      <c r="U55" s="39"/>
      <c r="V55" s="39"/>
      <c r="W55" s="39"/>
      <c r="X55" s="1"/>
      <c r="Y55" s="1"/>
      <c r="Z55" s="1"/>
      <c r="AA55" s="1"/>
      <c r="AB55" s="1"/>
      <c r="AC55" s="1"/>
      <c r="AD55" s="39"/>
      <c r="AE55" s="3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39"/>
      <c r="AV55" s="39"/>
      <c r="AW55" s="1"/>
      <c r="AX55" s="1"/>
      <c r="AY55" s="1"/>
    </row>
    <row r="56" spans="1:51" x14ac:dyDescent="0.3">
      <c r="A56" s="17" t="s">
        <v>103</v>
      </c>
      <c r="B56" s="18" t="s">
        <v>104</v>
      </c>
      <c r="C56" s="53" t="s">
        <v>643</v>
      </c>
      <c r="D56" s="53" t="s">
        <v>450</v>
      </c>
      <c r="E56" s="53"/>
      <c r="F56" s="53" t="s">
        <v>840</v>
      </c>
      <c r="G56" s="39" t="s">
        <v>545</v>
      </c>
      <c r="H56" s="39" t="s">
        <v>450</v>
      </c>
      <c r="I56" s="39"/>
      <c r="J56" s="1"/>
      <c r="K56" s="1"/>
      <c r="L56" s="1"/>
      <c r="M56" s="1"/>
      <c r="N56" s="1"/>
      <c r="O56" s="1"/>
      <c r="P56" s="1"/>
      <c r="Q56" s="1"/>
      <c r="R56" s="1"/>
      <c r="S56" s="1"/>
      <c r="T56" s="39"/>
      <c r="U56" s="39"/>
      <c r="V56" s="39"/>
      <c r="W56" s="39"/>
      <c r="X56" s="1"/>
      <c r="Y56" s="1"/>
      <c r="Z56" s="1"/>
      <c r="AA56" s="1"/>
      <c r="AB56" s="1"/>
      <c r="AC56" s="1"/>
      <c r="AD56" s="39"/>
      <c r="AE56" s="39"/>
      <c r="AF56" s="1"/>
      <c r="AG56" s="1"/>
      <c r="AH56" s="1"/>
      <c r="AI56" s="1"/>
      <c r="AJ56" s="1"/>
      <c r="AK56" s="1" t="s">
        <v>486</v>
      </c>
      <c r="AL56" s="1" t="s">
        <v>450</v>
      </c>
      <c r="AM56" s="1"/>
      <c r="AN56" s="1"/>
      <c r="AO56" s="1" t="s">
        <v>486</v>
      </c>
      <c r="AP56" s="1" t="s">
        <v>450</v>
      </c>
      <c r="AQ56" s="1"/>
      <c r="AR56" s="1"/>
      <c r="AS56" s="1" t="s">
        <v>486</v>
      </c>
      <c r="AT56" s="1" t="s">
        <v>450</v>
      </c>
      <c r="AU56" s="39" t="s">
        <v>486</v>
      </c>
      <c r="AV56" s="39" t="s">
        <v>450</v>
      </c>
      <c r="AW56" s="1"/>
      <c r="AX56" s="1"/>
      <c r="AY56" s="1"/>
    </row>
    <row r="57" spans="1:51" x14ac:dyDescent="0.3">
      <c r="A57" s="22" t="s">
        <v>105</v>
      </c>
      <c r="B57" s="23" t="s">
        <v>106</v>
      </c>
      <c r="C57" s="53" t="s">
        <v>644</v>
      </c>
      <c r="D57" s="53" t="s">
        <v>450</v>
      </c>
      <c r="E57" s="53"/>
      <c r="F57" s="53" t="s">
        <v>841</v>
      </c>
      <c r="G57" s="39" t="s">
        <v>450</v>
      </c>
      <c r="H57" s="39"/>
      <c r="I57" s="57" t="s">
        <v>522</v>
      </c>
      <c r="J57" s="1" t="s">
        <v>522</v>
      </c>
      <c r="K57" s="1" t="s">
        <v>450</v>
      </c>
      <c r="L57" s="1"/>
      <c r="M57" s="1"/>
      <c r="N57" s="1"/>
      <c r="O57" s="1"/>
      <c r="P57" s="1"/>
      <c r="Q57" s="1"/>
      <c r="R57" s="1" t="s">
        <v>522</v>
      </c>
      <c r="S57" s="1" t="s">
        <v>450</v>
      </c>
      <c r="T57" s="39"/>
      <c r="U57" s="39"/>
      <c r="V57" s="39"/>
      <c r="W57" s="39"/>
      <c r="X57" s="1"/>
      <c r="Y57" s="1"/>
      <c r="Z57" s="1"/>
      <c r="AA57" s="1"/>
      <c r="AB57" s="1"/>
      <c r="AC57" s="1"/>
      <c r="AD57" s="39"/>
      <c r="AE57" s="3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39"/>
      <c r="AV57" s="39"/>
      <c r="AW57" s="1"/>
      <c r="AX57" s="1"/>
      <c r="AY57" s="1"/>
    </row>
    <row r="58" spans="1:51" x14ac:dyDescent="0.3">
      <c r="A58" s="2" t="s">
        <v>107</v>
      </c>
      <c r="B58" s="3" t="s">
        <v>108</v>
      </c>
      <c r="C58" s="53" t="s">
        <v>645</v>
      </c>
      <c r="D58" s="53" t="s">
        <v>450</v>
      </c>
      <c r="E58" s="53"/>
      <c r="F58" s="53" t="s">
        <v>842</v>
      </c>
      <c r="G58" s="39" t="s">
        <v>450</v>
      </c>
      <c r="H58" s="39"/>
      <c r="I58" s="39"/>
      <c r="J58" s="1"/>
      <c r="K58" s="1"/>
      <c r="L58" s="1"/>
      <c r="M58" s="1"/>
      <c r="N58" s="1"/>
      <c r="O58" s="1"/>
      <c r="P58" s="1"/>
      <c r="Q58" s="1"/>
      <c r="R58" s="1"/>
      <c r="S58" s="1"/>
      <c r="T58" s="39"/>
      <c r="U58" s="39"/>
      <c r="V58" s="39"/>
      <c r="W58" s="39"/>
      <c r="X58" s="1"/>
      <c r="Y58" s="1"/>
      <c r="Z58" s="1"/>
      <c r="AA58" s="1"/>
      <c r="AB58" s="1"/>
      <c r="AC58" s="1"/>
      <c r="AD58" s="39"/>
      <c r="AE58" s="3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39"/>
      <c r="AV58" s="39"/>
      <c r="AW58" s="1"/>
      <c r="AX58" s="1"/>
      <c r="AY58" s="1"/>
    </row>
    <row r="59" spans="1:51" x14ac:dyDescent="0.3">
      <c r="A59" s="2" t="s">
        <v>109</v>
      </c>
      <c r="B59" s="3" t="s">
        <v>110</v>
      </c>
      <c r="C59" s="53" t="s">
        <v>646</v>
      </c>
      <c r="D59" s="53" t="s">
        <v>450</v>
      </c>
      <c r="E59" s="53"/>
      <c r="F59" s="53" t="s">
        <v>843</v>
      </c>
      <c r="G59" s="39" t="s">
        <v>450</v>
      </c>
      <c r="H59" s="39"/>
      <c r="I59" s="39"/>
      <c r="J59" s="1"/>
      <c r="K59" s="1"/>
      <c r="L59" s="1"/>
      <c r="M59" s="1"/>
      <c r="N59" s="1"/>
      <c r="O59" s="1"/>
      <c r="P59" s="1"/>
      <c r="Q59" s="1"/>
      <c r="R59" s="1"/>
      <c r="S59" s="1"/>
      <c r="T59" s="39"/>
      <c r="U59" s="39"/>
      <c r="V59" s="39"/>
      <c r="W59" s="39"/>
      <c r="X59" s="1"/>
      <c r="Y59" s="1"/>
      <c r="Z59" s="1"/>
      <c r="AA59" s="1"/>
      <c r="AB59" s="1"/>
      <c r="AC59" s="1"/>
      <c r="AD59" s="39"/>
      <c r="AE59" s="39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39"/>
      <c r="AV59" s="39"/>
      <c r="AW59" s="1"/>
      <c r="AX59" s="1"/>
      <c r="AY59" s="1"/>
    </row>
    <row r="60" spans="1:51" x14ac:dyDescent="0.3">
      <c r="A60" s="2" t="s">
        <v>111</v>
      </c>
      <c r="B60" s="3" t="s">
        <v>112</v>
      </c>
      <c r="C60" s="53" t="s">
        <v>647</v>
      </c>
      <c r="D60" s="53" t="s">
        <v>450</v>
      </c>
      <c r="E60" s="53"/>
      <c r="F60" s="53" t="s">
        <v>844</v>
      </c>
      <c r="G60" s="39" t="s">
        <v>450</v>
      </c>
      <c r="H60" s="39"/>
      <c r="I60" s="57" t="s">
        <v>531</v>
      </c>
      <c r="J60" s="1" t="s">
        <v>531</v>
      </c>
      <c r="K60" s="1" t="s">
        <v>450</v>
      </c>
      <c r="L60" s="1"/>
      <c r="M60" s="1"/>
      <c r="N60" s="1"/>
      <c r="O60" s="1"/>
      <c r="P60" s="1"/>
      <c r="Q60" s="1"/>
      <c r="R60" s="1" t="s">
        <v>531</v>
      </c>
      <c r="S60" s="1" t="s">
        <v>450</v>
      </c>
      <c r="T60" s="39"/>
      <c r="U60" s="39"/>
      <c r="V60" s="39"/>
      <c r="W60" s="39"/>
      <c r="X60" s="1"/>
      <c r="Y60" s="1"/>
      <c r="Z60" s="1"/>
      <c r="AA60" s="1"/>
      <c r="AB60" s="1"/>
      <c r="AC60" s="1"/>
      <c r="AD60" s="39"/>
      <c r="AE60" s="39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39" t="s">
        <v>531</v>
      </c>
      <c r="AV60" s="39" t="s">
        <v>450</v>
      </c>
      <c r="AW60" s="1"/>
      <c r="AX60" s="1"/>
      <c r="AY60" s="1"/>
    </row>
    <row r="61" spans="1:51" x14ac:dyDescent="0.3">
      <c r="A61" s="2" t="s">
        <v>113</v>
      </c>
      <c r="B61" s="5" t="s">
        <v>114</v>
      </c>
      <c r="C61" s="53" t="s">
        <v>648</v>
      </c>
      <c r="D61" s="53" t="s">
        <v>450</v>
      </c>
      <c r="E61" s="53"/>
      <c r="F61" s="53" t="s">
        <v>845</v>
      </c>
      <c r="G61" s="39" t="s">
        <v>450</v>
      </c>
      <c r="H61" s="39"/>
      <c r="I61" s="57" t="s">
        <v>524</v>
      </c>
      <c r="J61" s="1" t="s">
        <v>450</v>
      </c>
      <c r="K61" s="1"/>
      <c r="L61" s="1"/>
      <c r="M61" s="1"/>
      <c r="N61" s="1"/>
      <c r="O61" s="1"/>
      <c r="P61" s="1"/>
      <c r="Q61" s="1"/>
      <c r="R61" s="1" t="s">
        <v>523</v>
      </c>
      <c r="S61" s="1" t="s">
        <v>450</v>
      </c>
      <c r="T61" s="39"/>
      <c r="U61" s="39"/>
      <c r="V61" s="39"/>
      <c r="W61" s="39"/>
      <c r="X61" s="1"/>
      <c r="Y61" s="1"/>
      <c r="Z61" s="1"/>
      <c r="AA61" s="1"/>
      <c r="AB61" s="1"/>
      <c r="AC61" s="1"/>
      <c r="AD61" s="39"/>
      <c r="AE61" s="39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39"/>
      <c r="AV61" s="39"/>
      <c r="AW61" s="1"/>
      <c r="AX61" s="1"/>
      <c r="AY61" s="1"/>
    </row>
    <row r="62" spans="1:51" x14ac:dyDescent="0.3">
      <c r="A62" s="22" t="s">
        <v>115</v>
      </c>
      <c r="B62" s="23" t="s">
        <v>116</v>
      </c>
      <c r="C62" s="53" t="s">
        <v>649</v>
      </c>
      <c r="D62" s="53" t="s">
        <v>450</v>
      </c>
      <c r="E62" s="53"/>
      <c r="F62" s="53" t="s">
        <v>846</v>
      </c>
      <c r="G62" s="39" t="s">
        <v>450</v>
      </c>
      <c r="H62" s="39"/>
      <c r="I62" s="57" t="s">
        <v>497</v>
      </c>
      <c r="J62" s="1" t="s">
        <v>450</v>
      </c>
      <c r="K62" s="1"/>
      <c r="L62" s="1"/>
      <c r="M62" s="1"/>
      <c r="N62" s="1"/>
      <c r="O62" s="1"/>
      <c r="P62" s="1"/>
      <c r="Q62" s="1"/>
      <c r="R62" s="1" t="s">
        <v>497</v>
      </c>
      <c r="S62" s="1" t="s">
        <v>450</v>
      </c>
      <c r="T62" s="39"/>
      <c r="U62" s="39"/>
      <c r="V62" s="39"/>
      <c r="W62" s="39"/>
      <c r="X62" s="1"/>
      <c r="Y62" s="1"/>
      <c r="Z62" s="1"/>
      <c r="AA62" s="1"/>
      <c r="AB62" s="1"/>
      <c r="AC62" s="1"/>
      <c r="AD62" s="39"/>
      <c r="AE62" s="39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39"/>
      <c r="AV62" s="39"/>
      <c r="AW62" s="1"/>
      <c r="AX62" s="1"/>
      <c r="AY62" s="1"/>
    </row>
    <row r="63" spans="1:51" x14ac:dyDescent="0.3">
      <c r="A63" s="13" t="s">
        <v>117</v>
      </c>
      <c r="B63" s="14" t="s">
        <v>118</v>
      </c>
      <c r="C63" s="53" t="s">
        <v>650</v>
      </c>
      <c r="D63" s="53" t="s">
        <v>450</v>
      </c>
      <c r="E63" s="53"/>
      <c r="F63" s="53" t="s">
        <v>847</v>
      </c>
      <c r="G63" s="39" t="s">
        <v>450</v>
      </c>
      <c r="H63" s="39"/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39"/>
      <c r="U63" s="39"/>
      <c r="V63" s="39"/>
      <c r="W63" s="39"/>
      <c r="X63" s="1"/>
      <c r="Y63" s="1"/>
      <c r="Z63" s="1"/>
      <c r="AA63" s="1"/>
      <c r="AB63" s="1"/>
      <c r="AC63" s="1"/>
      <c r="AD63" s="39"/>
      <c r="AE63" s="39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39"/>
      <c r="AV63" s="39"/>
      <c r="AW63" s="1"/>
      <c r="AX63" s="1"/>
      <c r="AY63" s="1"/>
    </row>
    <row r="64" spans="1:51" x14ac:dyDescent="0.3">
      <c r="A64" s="17" t="s">
        <v>119</v>
      </c>
      <c r="B64" s="18" t="s">
        <v>120</v>
      </c>
      <c r="C64" s="53" t="s">
        <v>651</v>
      </c>
      <c r="D64" s="53" t="s">
        <v>450</v>
      </c>
      <c r="E64" s="53"/>
      <c r="F64" s="53" t="s">
        <v>848</v>
      </c>
      <c r="G64" s="39" t="s">
        <v>450</v>
      </c>
      <c r="H64" s="39"/>
      <c r="I64" s="57" t="s">
        <v>532</v>
      </c>
      <c r="J64" s="1" t="s">
        <v>450</v>
      </c>
      <c r="K64" s="1"/>
      <c r="L64" s="1"/>
      <c r="M64" s="1"/>
      <c r="N64" s="1"/>
      <c r="O64" s="1"/>
      <c r="P64" s="1"/>
      <c r="Q64" s="1"/>
      <c r="R64" s="1" t="s">
        <v>533</v>
      </c>
      <c r="S64" s="1" t="s">
        <v>450</v>
      </c>
      <c r="T64" s="39"/>
      <c r="U64" s="39"/>
      <c r="V64" s="39"/>
      <c r="W64" s="39"/>
      <c r="X64" s="1"/>
      <c r="Y64" s="1"/>
      <c r="Z64" s="1"/>
      <c r="AA64" s="1"/>
      <c r="AB64" s="1"/>
      <c r="AC64" s="1"/>
      <c r="AD64" s="39"/>
      <c r="AE64" s="39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39"/>
      <c r="AV64" s="39"/>
      <c r="AW64" s="1"/>
      <c r="AX64" s="1"/>
      <c r="AY64" s="1"/>
    </row>
    <row r="65" spans="1:51" x14ac:dyDescent="0.3">
      <c r="A65" s="22" t="s">
        <v>121</v>
      </c>
      <c r="B65" s="23" t="s">
        <v>122</v>
      </c>
      <c r="C65" s="53" t="s">
        <v>652</v>
      </c>
      <c r="D65" s="53" t="s">
        <v>450</v>
      </c>
      <c r="E65" s="53"/>
      <c r="F65" s="53" t="s">
        <v>849</v>
      </c>
      <c r="G65" s="39" t="s">
        <v>450</v>
      </c>
      <c r="H65" s="39"/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39"/>
      <c r="U65" s="39"/>
      <c r="V65" s="39"/>
      <c r="W65" s="39"/>
      <c r="X65" s="1"/>
      <c r="Y65" s="1"/>
      <c r="Z65" s="1"/>
      <c r="AA65" s="1"/>
      <c r="AB65" s="1"/>
      <c r="AC65" s="1"/>
      <c r="AD65" s="39"/>
      <c r="AE65" s="39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39"/>
      <c r="AV65" s="39"/>
      <c r="AW65" s="1"/>
      <c r="AX65" s="1"/>
      <c r="AY65" s="1"/>
    </row>
    <row r="66" spans="1:51" x14ac:dyDescent="0.3">
      <c r="A66" s="4" t="s">
        <v>123</v>
      </c>
      <c r="B66" s="5" t="s">
        <v>124</v>
      </c>
      <c r="C66" s="53" t="s">
        <v>653</v>
      </c>
      <c r="D66" s="53" t="s">
        <v>450</v>
      </c>
      <c r="E66" s="53"/>
      <c r="F66" s="53" t="s">
        <v>850</v>
      </c>
      <c r="G66" s="39" t="s">
        <v>450</v>
      </c>
      <c r="H66" s="39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39"/>
      <c r="U66" s="39"/>
      <c r="V66" s="39"/>
      <c r="W66" s="39"/>
      <c r="X66" s="1"/>
      <c r="Y66" s="1"/>
      <c r="Z66" s="1"/>
      <c r="AA66" s="1"/>
      <c r="AB66" s="1"/>
      <c r="AC66" s="1"/>
      <c r="AD66" s="39"/>
      <c r="AE66" s="39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39"/>
      <c r="AV66" s="39"/>
      <c r="AW66" s="1"/>
      <c r="AX66" s="1"/>
      <c r="AY66" s="1"/>
    </row>
    <row r="67" spans="1:51" x14ac:dyDescent="0.3">
      <c r="A67" s="11" t="s">
        <v>125</v>
      </c>
      <c r="B67" s="12" t="s">
        <v>126</v>
      </c>
      <c r="C67" s="53" t="s">
        <v>654</v>
      </c>
      <c r="D67" s="53" t="s">
        <v>450</v>
      </c>
      <c r="E67" s="53"/>
      <c r="F67" s="53" t="s">
        <v>851</v>
      </c>
      <c r="G67" s="61" t="s">
        <v>569</v>
      </c>
      <c r="H67" s="39" t="s">
        <v>450</v>
      </c>
      <c r="I67" s="61" t="s">
        <v>569</v>
      </c>
      <c r="J67" s="1" t="s">
        <v>450</v>
      </c>
      <c r="K67" s="1"/>
      <c r="L67" s="1"/>
      <c r="M67" s="1"/>
      <c r="N67" s="1"/>
      <c r="O67" s="1"/>
      <c r="P67" s="1"/>
      <c r="Q67" s="1"/>
      <c r="R67" s="61" t="s">
        <v>569</v>
      </c>
      <c r="S67" s="1" t="s">
        <v>450</v>
      </c>
      <c r="T67" s="39"/>
      <c r="U67" s="39"/>
      <c r="V67" s="39"/>
      <c r="W67" s="39"/>
      <c r="X67" s="61"/>
      <c r="Y67" s="1" t="s">
        <v>450</v>
      </c>
      <c r="Z67" s="61" t="s">
        <v>552</v>
      </c>
      <c r="AA67" s="1" t="s">
        <v>450</v>
      </c>
      <c r="AB67" s="1"/>
      <c r="AC67" s="1"/>
      <c r="AD67" s="39"/>
      <c r="AE67" s="39"/>
      <c r="AF67" s="1"/>
      <c r="AG67" s="1"/>
      <c r="AH67" s="61" t="s">
        <v>552</v>
      </c>
      <c r="AI67" s="1" t="s">
        <v>450</v>
      </c>
      <c r="AJ67" s="1"/>
      <c r="AK67" s="1"/>
      <c r="AL67" s="1"/>
      <c r="AM67" s="1"/>
      <c r="AN67" s="1"/>
      <c r="AO67" s="1" t="s">
        <v>552</v>
      </c>
      <c r="AP67" s="1" t="s">
        <v>450</v>
      </c>
      <c r="AQ67" s="1" t="s">
        <v>552</v>
      </c>
      <c r="AR67" s="1" t="s">
        <v>450</v>
      </c>
      <c r="AS67" s="1"/>
      <c r="AT67" s="1"/>
      <c r="AU67" s="39"/>
      <c r="AV67" s="39"/>
      <c r="AW67" s="1"/>
      <c r="AX67" s="1"/>
      <c r="AY67" s="1"/>
    </row>
    <row r="68" spans="1:51" x14ac:dyDescent="0.3">
      <c r="A68" s="2" t="s">
        <v>127</v>
      </c>
      <c r="B68" s="3" t="s">
        <v>128</v>
      </c>
      <c r="C68" s="53" t="s">
        <v>655</v>
      </c>
      <c r="D68" s="53" t="s">
        <v>450</v>
      </c>
      <c r="E68" s="53"/>
      <c r="F68" s="53" t="s">
        <v>852</v>
      </c>
      <c r="G68" s="39" t="s">
        <v>450</v>
      </c>
      <c r="H68" s="39"/>
      <c r="I68" s="57" t="s">
        <v>479</v>
      </c>
      <c r="J68" s="1" t="s">
        <v>450</v>
      </c>
      <c r="K68" s="1"/>
      <c r="L68" s="1"/>
      <c r="M68" s="1"/>
      <c r="N68" s="1"/>
      <c r="O68" s="1"/>
      <c r="P68" s="1" t="s">
        <v>479</v>
      </c>
      <c r="Q68" s="1" t="s">
        <v>450</v>
      </c>
      <c r="R68" s="1" t="s">
        <v>479</v>
      </c>
      <c r="S68" s="1" t="s">
        <v>450</v>
      </c>
      <c r="T68" s="39"/>
      <c r="U68" s="39"/>
      <c r="V68" s="39"/>
      <c r="W68" s="39"/>
      <c r="X68" s="1"/>
      <c r="Y68" s="1"/>
      <c r="Z68" s="1"/>
      <c r="AA68" s="1"/>
      <c r="AB68" s="1"/>
      <c r="AC68" s="1"/>
      <c r="AD68" s="39"/>
      <c r="AE68" s="39"/>
      <c r="AF68" s="1" t="s">
        <v>479</v>
      </c>
      <c r="AG68" s="1" t="s">
        <v>450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39"/>
      <c r="AV68" s="39"/>
      <c r="AW68" s="1"/>
      <c r="AX68" s="1"/>
      <c r="AY68" s="1"/>
    </row>
    <row r="69" spans="1:51" x14ac:dyDescent="0.3">
      <c r="A69" s="17" t="s">
        <v>129</v>
      </c>
      <c r="B69" s="18" t="s">
        <v>130</v>
      </c>
      <c r="C69" s="53" t="s">
        <v>656</v>
      </c>
      <c r="D69" s="53" t="s">
        <v>450</v>
      </c>
      <c r="E69" s="53"/>
      <c r="F69" s="53" t="s">
        <v>853</v>
      </c>
      <c r="G69" s="39" t="s">
        <v>450</v>
      </c>
      <c r="H69" s="39"/>
      <c r="I69" s="39"/>
      <c r="J69" s="1"/>
      <c r="K69" s="1"/>
      <c r="L69" s="1"/>
      <c r="M69" s="1"/>
      <c r="N69" s="1"/>
      <c r="O69" s="1"/>
      <c r="P69" s="1"/>
      <c r="Q69" s="1"/>
      <c r="R69" s="1"/>
      <c r="S69" s="1"/>
      <c r="T69" s="39"/>
      <c r="U69" s="39"/>
      <c r="V69" s="39"/>
      <c r="W69" s="39"/>
      <c r="X69" s="1"/>
      <c r="Y69" s="1"/>
      <c r="Z69" s="1"/>
      <c r="AA69" s="1"/>
      <c r="AB69" s="1"/>
      <c r="AC69" s="1"/>
      <c r="AD69" s="39"/>
      <c r="AE69" s="39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39"/>
      <c r="AV69" s="39"/>
      <c r="AW69" s="1"/>
      <c r="AX69" s="1"/>
      <c r="AY69" s="1"/>
    </row>
    <row r="70" spans="1:51" x14ac:dyDescent="0.3">
      <c r="A70" s="13" t="s">
        <v>131</v>
      </c>
      <c r="B70" s="14" t="s">
        <v>132</v>
      </c>
      <c r="C70" s="53" t="s">
        <v>657</v>
      </c>
      <c r="D70" s="53" t="s">
        <v>450</v>
      </c>
      <c r="E70" s="53"/>
      <c r="F70" s="53" t="s">
        <v>854</v>
      </c>
      <c r="G70" s="39" t="s">
        <v>450</v>
      </c>
      <c r="H70" s="39"/>
      <c r="I70" s="57" t="s">
        <v>472</v>
      </c>
      <c r="J70" s="1" t="s">
        <v>450</v>
      </c>
      <c r="K70" s="1"/>
      <c r="L70" s="1"/>
      <c r="M70" s="1"/>
      <c r="N70" s="1"/>
      <c r="O70" s="1"/>
      <c r="P70" s="1"/>
      <c r="Q70" s="1"/>
      <c r="R70" s="1" t="s">
        <v>472</v>
      </c>
      <c r="S70" s="1" t="s">
        <v>450</v>
      </c>
      <c r="T70" s="39"/>
      <c r="U70" s="39"/>
      <c r="V70" s="39"/>
      <c r="W70" s="39"/>
      <c r="X70" s="1"/>
      <c r="Y70" s="1"/>
      <c r="Z70" s="1"/>
      <c r="AA70" s="1"/>
      <c r="AB70" s="1"/>
      <c r="AC70" s="1"/>
      <c r="AD70" s="39"/>
      <c r="AE70" s="39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39"/>
      <c r="AV70" s="39"/>
      <c r="AW70" s="1"/>
      <c r="AX70" s="1"/>
      <c r="AY70" s="1"/>
    </row>
    <row r="71" spans="1:51" x14ac:dyDescent="0.3">
      <c r="A71" s="2" t="s">
        <v>133</v>
      </c>
      <c r="B71" s="3" t="s">
        <v>134</v>
      </c>
      <c r="C71" s="53" t="s">
        <v>658</v>
      </c>
      <c r="D71" s="53" t="s">
        <v>450</v>
      </c>
      <c r="E71" s="53"/>
      <c r="F71" s="53" t="s">
        <v>855</v>
      </c>
      <c r="G71" s="57" t="s">
        <v>501</v>
      </c>
      <c r="H71" s="39" t="s">
        <v>450</v>
      </c>
      <c r="I71" s="39"/>
      <c r="J71" s="1"/>
      <c r="K71" s="1"/>
      <c r="L71" s="1"/>
      <c r="M71" s="1"/>
      <c r="N71" s="1"/>
      <c r="O71" s="1"/>
      <c r="P71" s="1"/>
      <c r="Q71" s="1"/>
      <c r="R71" s="61" t="s">
        <v>500</v>
      </c>
      <c r="S71" s="1" t="s">
        <v>450</v>
      </c>
      <c r="T71" s="39"/>
      <c r="U71" s="39"/>
      <c r="V71" s="39"/>
      <c r="W71" s="39"/>
      <c r="X71" s="1"/>
      <c r="Y71" s="1"/>
      <c r="Z71" s="1"/>
      <c r="AA71" s="1"/>
      <c r="AB71" s="1"/>
      <c r="AC71" s="1"/>
      <c r="AD71" s="39"/>
      <c r="AE71" s="39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39"/>
      <c r="AV71" s="39"/>
      <c r="AW71" s="1"/>
      <c r="AX71" s="1"/>
      <c r="AY71" s="1"/>
    </row>
    <row r="72" spans="1:51" x14ac:dyDescent="0.3">
      <c r="A72" s="9" t="s">
        <v>135</v>
      </c>
      <c r="B72" s="10" t="s">
        <v>136</v>
      </c>
      <c r="C72" s="53" t="s">
        <v>659</v>
      </c>
      <c r="D72" s="53" t="s">
        <v>450</v>
      </c>
      <c r="E72" s="53"/>
      <c r="F72" s="53" t="s">
        <v>856</v>
      </c>
      <c r="G72" s="39" t="s">
        <v>450</v>
      </c>
      <c r="H72" s="39"/>
      <c r="I72" s="39"/>
      <c r="J72" s="61" t="s">
        <v>570</v>
      </c>
      <c r="K72" s="1" t="s">
        <v>450</v>
      </c>
      <c r="L72" s="1"/>
      <c r="M72" s="1"/>
      <c r="N72" s="61" t="s">
        <v>570</v>
      </c>
      <c r="O72" s="1" t="s">
        <v>450</v>
      </c>
      <c r="P72" s="61" t="s">
        <v>570</v>
      </c>
      <c r="Q72" s="1" t="s">
        <v>450</v>
      </c>
      <c r="R72" s="61" t="s">
        <v>570</v>
      </c>
      <c r="S72" s="1" t="s">
        <v>450</v>
      </c>
      <c r="T72" s="39"/>
      <c r="U72" s="39"/>
      <c r="V72" s="39"/>
      <c r="W72" s="39"/>
      <c r="X72" s="1"/>
      <c r="Y72" s="1"/>
      <c r="Z72" s="1"/>
      <c r="AA72" s="1"/>
      <c r="AB72" s="1"/>
      <c r="AC72" s="1"/>
      <c r="AD72" s="39"/>
      <c r="AE72" s="39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39"/>
      <c r="AV72" s="39"/>
      <c r="AW72" s="1"/>
      <c r="AX72" s="1"/>
      <c r="AY72" s="1"/>
    </row>
    <row r="73" spans="1:51" x14ac:dyDescent="0.3">
      <c r="A73" s="4" t="s">
        <v>137</v>
      </c>
      <c r="B73" s="5" t="s">
        <v>138</v>
      </c>
      <c r="C73" s="53" t="s">
        <v>660</v>
      </c>
      <c r="D73" s="53" t="s">
        <v>450</v>
      </c>
      <c r="E73" s="53"/>
      <c r="F73" s="53" t="s">
        <v>857</v>
      </c>
      <c r="G73" s="39" t="s">
        <v>450</v>
      </c>
      <c r="H73" s="39"/>
      <c r="I73" s="39"/>
      <c r="J73" s="1"/>
      <c r="K73" s="1"/>
      <c r="L73" s="1"/>
      <c r="M73" s="1"/>
      <c r="N73" s="1"/>
      <c r="O73" s="1"/>
      <c r="P73" s="1"/>
      <c r="Q73" s="1"/>
      <c r="R73" s="1"/>
      <c r="S73" s="1"/>
      <c r="T73" s="39"/>
      <c r="U73" s="39"/>
      <c r="V73" s="39"/>
      <c r="W73" s="39"/>
      <c r="X73" s="1"/>
      <c r="Y73" s="1"/>
      <c r="Z73" s="1"/>
      <c r="AA73" s="1"/>
      <c r="AB73" s="1"/>
      <c r="AC73" s="1"/>
      <c r="AD73" s="39"/>
      <c r="AE73" s="3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39"/>
      <c r="AV73" s="39"/>
      <c r="AW73" s="1"/>
      <c r="AX73" s="1"/>
      <c r="AY73" s="1"/>
    </row>
    <row r="74" spans="1:51" x14ac:dyDescent="0.3">
      <c r="A74" s="22" t="s">
        <v>139</v>
      </c>
      <c r="B74" s="23" t="s">
        <v>140</v>
      </c>
      <c r="C74" s="53" t="s">
        <v>661</v>
      </c>
      <c r="D74" s="53" t="s">
        <v>450</v>
      </c>
      <c r="E74" s="53"/>
      <c r="F74" s="53" t="s">
        <v>858</v>
      </c>
      <c r="G74" s="39" t="s">
        <v>450</v>
      </c>
      <c r="H74" s="39"/>
      <c r="I74" s="57" t="s">
        <v>534</v>
      </c>
      <c r="J74" s="1" t="s">
        <v>450</v>
      </c>
      <c r="K74" s="1"/>
      <c r="L74" s="1"/>
      <c r="M74" s="1"/>
      <c r="N74" s="1"/>
      <c r="O74" s="1"/>
      <c r="P74" s="1"/>
      <c r="Q74" s="1"/>
      <c r="R74" s="1" t="s">
        <v>534</v>
      </c>
      <c r="S74" s="1" t="s">
        <v>450</v>
      </c>
      <c r="T74" s="39"/>
      <c r="U74" s="39"/>
      <c r="V74" s="39"/>
      <c r="W74" s="39"/>
      <c r="X74" s="1"/>
      <c r="Y74" s="1"/>
      <c r="Z74" s="1"/>
      <c r="AA74" s="1"/>
      <c r="AB74" s="1"/>
      <c r="AC74" s="1"/>
      <c r="AD74" s="39"/>
      <c r="AE74" s="39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9"/>
      <c r="AV74" s="39"/>
      <c r="AW74" s="1"/>
      <c r="AX74" s="1"/>
      <c r="AY74" s="1"/>
    </row>
    <row r="75" spans="1:51" x14ac:dyDescent="0.3">
      <c r="A75" s="4" t="s">
        <v>141</v>
      </c>
      <c r="B75" s="5" t="s">
        <v>142</v>
      </c>
      <c r="C75" s="53" t="s">
        <v>662</v>
      </c>
      <c r="D75" s="53" t="s">
        <v>450</v>
      </c>
      <c r="E75" s="53"/>
      <c r="F75" s="53" t="s">
        <v>859</v>
      </c>
      <c r="G75" s="57" t="s">
        <v>514</v>
      </c>
      <c r="H75" s="39" t="s">
        <v>450</v>
      </c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39"/>
      <c r="U75" s="39"/>
      <c r="V75" s="39"/>
      <c r="W75" s="39"/>
      <c r="X75" s="1"/>
      <c r="Y75" s="1"/>
      <c r="Z75" s="1"/>
      <c r="AA75" s="1"/>
      <c r="AB75" s="1"/>
      <c r="AC75" s="1"/>
      <c r="AD75" s="39"/>
      <c r="AE75" s="3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39"/>
      <c r="AV75" s="39"/>
      <c r="AW75" s="1"/>
      <c r="AX75" s="1"/>
      <c r="AY75" s="1"/>
    </row>
    <row r="76" spans="1:51" x14ac:dyDescent="0.3">
      <c r="A76" s="2" t="s">
        <v>143</v>
      </c>
      <c r="B76" s="3" t="s">
        <v>144</v>
      </c>
      <c r="C76" s="53" t="s">
        <v>663</v>
      </c>
      <c r="D76" s="53" t="s">
        <v>450</v>
      </c>
      <c r="E76" s="53"/>
      <c r="F76" s="53" t="s">
        <v>860</v>
      </c>
      <c r="G76" s="39" t="s">
        <v>450</v>
      </c>
      <c r="H76" s="39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39"/>
      <c r="U76" s="39"/>
      <c r="V76" s="39"/>
      <c r="W76" s="39"/>
      <c r="X76" s="1"/>
      <c r="Y76" s="1"/>
      <c r="Z76" s="1"/>
      <c r="AA76" s="1"/>
      <c r="AB76" s="1"/>
      <c r="AC76" s="1"/>
      <c r="AD76" s="39"/>
      <c r="AE76" s="3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39"/>
      <c r="AV76" s="39"/>
      <c r="AW76" s="1"/>
      <c r="AX76" s="1"/>
      <c r="AY76" s="1"/>
    </row>
    <row r="77" spans="1:51" x14ac:dyDescent="0.3">
      <c r="A77" s="9" t="s">
        <v>145</v>
      </c>
      <c r="B77" s="10" t="s">
        <v>146</v>
      </c>
      <c r="C77" s="53" t="s">
        <v>664</v>
      </c>
      <c r="D77" s="53" t="s">
        <v>450</v>
      </c>
      <c r="E77" s="53"/>
      <c r="F77" s="53" t="s">
        <v>861</v>
      </c>
      <c r="G77" s="39" t="s">
        <v>450</v>
      </c>
      <c r="H77" s="39"/>
      <c r="I77" s="57" t="s">
        <v>571</v>
      </c>
      <c r="J77" s="1" t="s">
        <v>450</v>
      </c>
      <c r="K77" s="1"/>
      <c r="L77" s="1"/>
      <c r="M77" s="1"/>
      <c r="N77" s="1"/>
      <c r="O77" s="1"/>
      <c r="P77" s="1"/>
      <c r="Q77" s="1"/>
      <c r="R77" s="61" t="s">
        <v>571</v>
      </c>
      <c r="S77" s="1" t="s">
        <v>450</v>
      </c>
      <c r="T77" s="39" t="s">
        <v>551</v>
      </c>
      <c r="U77" s="57" t="s">
        <v>551</v>
      </c>
      <c r="V77" s="39" t="s">
        <v>450</v>
      </c>
      <c r="W77" s="39"/>
      <c r="X77" s="1" t="s">
        <v>551</v>
      </c>
      <c r="Y77" s="1" t="s">
        <v>551</v>
      </c>
      <c r="Z77" s="1" t="s">
        <v>450</v>
      </c>
      <c r="AA77" s="1"/>
      <c r="AB77" s="1"/>
      <c r="AC77" s="1"/>
      <c r="AD77" s="39"/>
      <c r="AE77" s="39"/>
      <c r="AF77" s="1"/>
      <c r="AG77" s="1"/>
      <c r="AH77" s="1"/>
      <c r="AI77" s="1"/>
      <c r="AJ77" s="1"/>
      <c r="AK77" s="1"/>
      <c r="AL77" s="1"/>
      <c r="AM77" s="1"/>
      <c r="AN77" s="1"/>
      <c r="AO77" s="1" t="s">
        <v>551</v>
      </c>
      <c r="AP77" s="1" t="s">
        <v>551</v>
      </c>
      <c r="AQ77" s="1" t="s">
        <v>551</v>
      </c>
      <c r="AR77" s="1" t="s">
        <v>551</v>
      </c>
      <c r="AS77" s="1" t="s">
        <v>450</v>
      </c>
      <c r="AT77" s="1"/>
      <c r="AU77" s="39"/>
      <c r="AV77" s="39"/>
      <c r="AW77" s="1"/>
      <c r="AX77" s="1"/>
      <c r="AY77" s="1"/>
    </row>
    <row r="78" spans="1:51" x14ac:dyDescent="0.3">
      <c r="A78" s="2" t="s">
        <v>147</v>
      </c>
      <c r="B78" s="3" t="s">
        <v>148</v>
      </c>
      <c r="C78" s="53" t="s">
        <v>665</v>
      </c>
      <c r="D78" s="53" t="s">
        <v>450</v>
      </c>
      <c r="E78" s="53"/>
      <c r="F78" s="53" t="s">
        <v>862</v>
      </c>
      <c r="G78" s="39" t="s">
        <v>450</v>
      </c>
      <c r="H78" s="39"/>
      <c r="I78" s="39"/>
      <c r="J78" s="1"/>
      <c r="K78" s="1"/>
      <c r="L78" s="1"/>
      <c r="M78" s="1"/>
      <c r="N78" s="1"/>
      <c r="O78" s="1"/>
      <c r="P78" s="1"/>
      <c r="Q78" s="1"/>
      <c r="R78" s="1"/>
      <c r="S78" s="1"/>
      <c r="T78" s="39"/>
      <c r="U78" s="39"/>
      <c r="V78" s="39"/>
      <c r="W78" s="39"/>
      <c r="X78" s="1"/>
      <c r="Y78" s="1"/>
      <c r="Z78" s="1"/>
      <c r="AA78" s="1"/>
      <c r="AB78" s="1"/>
      <c r="AC78" s="1"/>
      <c r="AD78" s="39"/>
      <c r="AE78" s="3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39"/>
      <c r="AV78" s="39"/>
      <c r="AW78" s="1"/>
      <c r="AX78" s="1"/>
      <c r="AY78" s="1"/>
    </row>
    <row r="79" spans="1:51" x14ac:dyDescent="0.3">
      <c r="A79" s="4" t="s">
        <v>149</v>
      </c>
      <c r="B79" s="5" t="s">
        <v>150</v>
      </c>
      <c r="C79" s="53" t="s">
        <v>666</v>
      </c>
      <c r="D79" s="53" t="s">
        <v>450</v>
      </c>
      <c r="E79" s="53"/>
      <c r="F79" s="53" t="s">
        <v>863</v>
      </c>
      <c r="G79" s="39" t="s">
        <v>450</v>
      </c>
      <c r="H79" s="39"/>
      <c r="I79" s="39"/>
      <c r="J79" s="1"/>
      <c r="K79" s="1"/>
      <c r="L79" s="1"/>
      <c r="M79" s="1"/>
      <c r="N79" s="1"/>
      <c r="O79" s="1"/>
      <c r="P79" s="1"/>
      <c r="Q79" s="1"/>
      <c r="R79" s="1"/>
      <c r="S79" s="1"/>
      <c r="T79" s="39"/>
      <c r="U79" s="39"/>
      <c r="V79" s="39"/>
      <c r="W79" s="39"/>
      <c r="X79" s="1"/>
      <c r="Y79" s="1"/>
      <c r="Z79" s="1"/>
      <c r="AA79" s="1"/>
      <c r="AB79" s="1"/>
      <c r="AC79" s="1"/>
      <c r="AD79" s="39"/>
      <c r="AE79" s="3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39"/>
      <c r="AV79" s="39"/>
      <c r="AW79" s="1"/>
      <c r="AX79" s="1"/>
      <c r="AY79" s="1"/>
    </row>
    <row r="80" spans="1:51" x14ac:dyDescent="0.3">
      <c r="A80" s="22" t="s">
        <v>151</v>
      </c>
      <c r="B80" s="23" t="s">
        <v>152</v>
      </c>
      <c r="C80" s="53" t="s">
        <v>667</v>
      </c>
      <c r="D80" s="53" t="s">
        <v>450</v>
      </c>
      <c r="E80" s="53"/>
      <c r="F80" s="53" t="s">
        <v>864</v>
      </c>
      <c r="G80" s="39" t="s">
        <v>450</v>
      </c>
      <c r="H80" s="39"/>
      <c r="I80" s="39"/>
      <c r="J80" s="1"/>
      <c r="K80" s="1"/>
      <c r="L80" s="1"/>
      <c r="M80" s="1"/>
      <c r="N80" s="1"/>
      <c r="O80" s="1"/>
      <c r="P80" s="1"/>
      <c r="Q80" s="1"/>
      <c r="R80" s="1"/>
      <c r="S80" s="1"/>
      <c r="T80" s="39"/>
      <c r="U80" s="39"/>
      <c r="V80" s="39"/>
      <c r="W80" s="39"/>
      <c r="X80" s="1"/>
      <c r="Y80" s="1"/>
      <c r="Z80" s="1"/>
      <c r="AA80" s="1"/>
      <c r="AB80" s="1"/>
      <c r="AC80" s="1"/>
      <c r="AD80" s="39"/>
      <c r="AE80" s="39"/>
      <c r="AF80" s="1"/>
      <c r="AG80" s="1"/>
      <c r="AH80" s="1"/>
      <c r="AI80" s="1"/>
      <c r="AJ80" s="1"/>
      <c r="AK80" s="1" t="s">
        <v>486</v>
      </c>
      <c r="AL80" s="1" t="s">
        <v>450</v>
      </c>
      <c r="AM80" s="1"/>
      <c r="AN80" s="1"/>
      <c r="AO80" s="1" t="s">
        <v>486</v>
      </c>
      <c r="AP80" s="1" t="s">
        <v>450</v>
      </c>
      <c r="AQ80" s="1"/>
      <c r="AR80" s="1"/>
      <c r="AS80" s="1" t="s">
        <v>486</v>
      </c>
      <c r="AT80" s="1" t="s">
        <v>450</v>
      </c>
      <c r="AU80" s="39" t="s">
        <v>486</v>
      </c>
      <c r="AV80" s="39" t="s">
        <v>450</v>
      </c>
      <c r="AW80" s="1"/>
      <c r="AX80" s="1"/>
      <c r="AY80" s="1"/>
    </row>
    <row r="81" spans="1:51" x14ac:dyDescent="0.3">
      <c r="A81" s="19" t="s">
        <v>153</v>
      </c>
      <c r="B81" s="20" t="s">
        <v>154</v>
      </c>
      <c r="C81" s="53" t="s">
        <v>668</v>
      </c>
      <c r="D81" s="53" t="s">
        <v>450</v>
      </c>
      <c r="E81" s="53"/>
      <c r="F81" s="53" t="s">
        <v>865</v>
      </c>
      <c r="G81" s="39" t="s">
        <v>450</v>
      </c>
      <c r="H81" s="39"/>
      <c r="I81" s="39"/>
      <c r="J81" s="1"/>
      <c r="K81" s="1"/>
      <c r="L81" s="1"/>
      <c r="M81" s="1"/>
      <c r="N81" s="1"/>
      <c r="O81" s="1"/>
      <c r="P81" s="1"/>
      <c r="Q81" s="1"/>
      <c r="R81" s="1"/>
      <c r="S81" s="1"/>
      <c r="T81" s="39"/>
      <c r="U81" s="39"/>
      <c r="V81" s="39"/>
      <c r="W81" s="39"/>
      <c r="X81" s="1"/>
      <c r="Y81" s="1"/>
      <c r="Z81" s="1"/>
      <c r="AA81" s="1"/>
      <c r="AB81" s="1"/>
      <c r="AC81" s="1"/>
      <c r="AD81" s="39"/>
      <c r="AE81" s="3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39"/>
      <c r="AV81" s="39"/>
      <c r="AW81" s="1"/>
      <c r="AX81" s="1"/>
      <c r="AY81" s="1"/>
    </row>
    <row r="82" spans="1:51" x14ac:dyDescent="0.3">
      <c r="A82" s="2" t="s">
        <v>155</v>
      </c>
      <c r="B82" s="3" t="s">
        <v>156</v>
      </c>
      <c r="C82" s="53" t="s">
        <v>669</v>
      </c>
      <c r="D82" s="53" t="s">
        <v>450</v>
      </c>
      <c r="E82" s="53"/>
      <c r="F82" s="53" t="s">
        <v>866</v>
      </c>
      <c r="G82" s="39" t="s">
        <v>450</v>
      </c>
      <c r="H82" s="39"/>
      <c r="I82" s="39"/>
      <c r="J82" s="1"/>
      <c r="K82" s="1"/>
      <c r="L82" s="1"/>
      <c r="M82" s="1"/>
      <c r="N82" s="1"/>
      <c r="O82" s="1"/>
      <c r="P82" s="1"/>
      <c r="Q82" s="1"/>
      <c r="R82" s="1"/>
      <c r="S82" s="1"/>
      <c r="T82" s="39"/>
      <c r="U82" s="39"/>
      <c r="V82" s="39"/>
      <c r="W82" s="39"/>
      <c r="X82" s="1"/>
      <c r="Y82" s="1"/>
      <c r="Z82" s="1"/>
      <c r="AA82" s="1"/>
      <c r="AB82" s="1"/>
      <c r="AC82" s="1"/>
      <c r="AD82" s="39"/>
      <c r="AE82" s="3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39"/>
      <c r="AV82" s="39"/>
      <c r="AW82" s="1"/>
      <c r="AX82" s="1"/>
      <c r="AY82" s="1"/>
    </row>
    <row r="83" spans="1:51" x14ac:dyDescent="0.3">
      <c r="A83" s="2" t="s">
        <v>157</v>
      </c>
      <c r="B83" s="3" t="s">
        <v>158</v>
      </c>
      <c r="C83" s="53" t="s">
        <v>670</v>
      </c>
      <c r="D83" s="53" t="s">
        <v>450</v>
      </c>
      <c r="E83" s="53"/>
      <c r="F83" s="53" t="s">
        <v>867</v>
      </c>
      <c r="G83" s="39" t="s">
        <v>450</v>
      </c>
      <c r="H83" s="39"/>
      <c r="I83" s="39"/>
      <c r="J83" s="1"/>
      <c r="K83" s="1"/>
      <c r="L83" s="1"/>
      <c r="M83" s="1"/>
      <c r="N83" s="1"/>
      <c r="O83" s="1"/>
      <c r="P83" s="1"/>
      <c r="Q83" s="1"/>
      <c r="R83" s="1"/>
      <c r="S83" s="1"/>
      <c r="T83" s="39"/>
      <c r="U83" s="39"/>
      <c r="V83" s="39"/>
      <c r="W83" s="39"/>
      <c r="X83" s="1"/>
      <c r="Y83" s="1"/>
      <c r="Z83" s="1"/>
      <c r="AA83" s="1"/>
      <c r="AB83" s="1"/>
      <c r="AC83" s="1"/>
      <c r="AD83" s="39"/>
      <c r="AE83" s="3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39"/>
      <c r="AV83" s="39"/>
      <c r="AW83" s="1"/>
      <c r="AX83" s="1"/>
      <c r="AY83" s="1"/>
    </row>
    <row r="84" spans="1:51" x14ac:dyDescent="0.3">
      <c r="A84" s="17" t="s">
        <v>159</v>
      </c>
      <c r="B84" s="18" t="s">
        <v>160</v>
      </c>
      <c r="C84" s="53" t="s">
        <v>671</v>
      </c>
      <c r="D84" s="53" t="s">
        <v>450</v>
      </c>
      <c r="E84" s="53"/>
      <c r="F84" s="53" t="s">
        <v>868</v>
      </c>
      <c r="G84" s="39" t="s">
        <v>450</v>
      </c>
      <c r="H84" s="39"/>
      <c r="I84" s="39" t="s">
        <v>499</v>
      </c>
      <c r="J84" s="1" t="s">
        <v>450</v>
      </c>
      <c r="K84" s="1"/>
      <c r="L84" s="1"/>
      <c r="M84" s="1"/>
      <c r="N84" s="1"/>
      <c r="O84" s="1"/>
      <c r="P84" s="1"/>
      <c r="Q84" s="1"/>
      <c r="R84" s="61" t="s">
        <v>499</v>
      </c>
      <c r="S84" s="1" t="s">
        <v>450</v>
      </c>
      <c r="T84" s="39"/>
      <c r="U84" s="39"/>
      <c r="V84" s="39"/>
      <c r="W84" s="39"/>
      <c r="X84" s="1"/>
      <c r="Y84" s="1"/>
      <c r="Z84" s="1"/>
      <c r="AA84" s="1"/>
      <c r="AB84" s="1"/>
      <c r="AC84" s="1"/>
      <c r="AD84" s="39"/>
      <c r="AE84" s="3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39"/>
      <c r="AV84" s="39"/>
      <c r="AW84" s="1"/>
      <c r="AX84" s="1"/>
      <c r="AY84" s="1"/>
    </row>
    <row r="85" spans="1:51" x14ac:dyDescent="0.3">
      <c r="A85" s="2" t="s">
        <v>161</v>
      </c>
      <c r="B85" s="3" t="s">
        <v>162</v>
      </c>
      <c r="C85" s="53" t="s">
        <v>672</v>
      </c>
      <c r="D85" s="53" t="s">
        <v>450</v>
      </c>
      <c r="E85" s="53"/>
      <c r="F85" s="53" t="s">
        <v>869</v>
      </c>
      <c r="G85" s="39" t="s">
        <v>450</v>
      </c>
      <c r="H85" s="39"/>
      <c r="I85" s="57" t="s">
        <v>572</v>
      </c>
      <c r="J85" s="1" t="s">
        <v>450</v>
      </c>
      <c r="K85" s="1"/>
      <c r="L85" s="1"/>
      <c r="M85" s="1"/>
      <c r="N85" s="1"/>
      <c r="O85" s="1"/>
      <c r="P85" s="1"/>
      <c r="Q85" s="1"/>
      <c r="R85" s="1"/>
      <c r="S85" s="1"/>
      <c r="T85" s="39"/>
      <c r="U85" s="39"/>
      <c r="V85" s="39"/>
      <c r="W85" s="39"/>
      <c r="X85" s="1"/>
      <c r="Y85" s="1"/>
      <c r="Z85" s="1"/>
      <c r="AA85" s="1"/>
      <c r="AB85" s="1"/>
      <c r="AC85" s="1"/>
      <c r="AD85" s="39"/>
      <c r="AE85" s="3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39"/>
      <c r="AV85" s="39"/>
      <c r="AW85" s="1"/>
      <c r="AX85" s="1"/>
      <c r="AY85" s="1"/>
    </row>
    <row r="86" spans="1:51" x14ac:dyDescent="0.3">
      <c r="A86" s="2" t="s">
        <v>163</v>
      </c>
      <c r="B86" s="3" t="s">
        <v>164</v>
      </c>
      <c r="C86" s="53" t="s">
        <v>673</v>
      </c>
      <c r="D86" s="53" t="s">
        <v>450</v>
      </c>
      <c r="E86" s="53"/>
      <c r="F86" s="53" t="s">
        <v>870</v>
      </c>
      <c r="G86" s="39" t="s">
        <v>450</v>
      </c>
      <c r="H86" s="39"/>
      <c r="I86" s="39"/>
      <c r="J86" s="1"/>
      <c r="K86" s="1"/>
      <c r="L86" s="1"/>
      <c r="M86" s="1"/>
      <c r="N86" s="1"/>
      <c r="O86" s="1"/>
      <c r="P86" s="1"/>
      <c r="Q86" s="1"/>
      <c r="R86" s="1"/>
      <c r="S86" s="1"/>
      <c r="T86" s="39"/>
      <c r="U86" s="39"/>
      <c r="V86" s="39"/>
      <c r="W86" s="39"/>
      <c r="X86" s="1"/>
      <c r="Y86" s="1"/>
      <c r="Z86" s="1"/>
      <c r="AA86" s="1"/>
      <c r="AB86" s="1"/>
      <c r="AC86" s="1"/>
      <c r="AD86" s="39"/>
      <c r="AE86" s="3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39"/>
      <c r="AV86" s="39"/>
      <c r="AW86" s="1"/>
      <c r="AX86" s="1"/>
      <c r="AY86" s="1"/>
    </row>
    <row r="87" spans="1:51" x14ac:dyDescent="0.3">
      <c r="A87" s="4" t="s">
        <v>165</v>
      </c>
      <c r="B87" s="5" t="s">
        <v>166</v>
      </c>
      <c r="C87" s="53" t="s">
        <v>674</v>
      </c>
      <c r="D87" s="53" t="s">
        <v>450</v>
      </c>
      <c r="E87" s="53"/>
      <c r="F87" s="53" t="s">
        <v>871</v>
      </c>
      <c r="G87" s="39" t="s">
        <v>450</v>
      </c>
      <c r="H87" s="39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39"/>
      <c r="U87" s="39"/>
      <c r="V87" s="39"/>
      <c r="W87" s="39"/>
      <c r="X87" s="1"/>
      <c r="Y87" s="1"/>
      <c r="Z87" s="1"/>
      <c r="AA87" s="1"/>
      <c r="AB87" s="1"/>
      <c r="AC87" s="1"/>
      <c r="AD87" s="39"/>
      <c r="AE87" s="3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39"/>
      <c r="AV87" s="39"/>
      <c r="AW87" s="1"/>
      <c r="AX87" s="1"/>
      <c r="AY87" s="1"/>
    </row>
    <row r="88" spans="1:51" x14ac:dyDescent="0.3">
      <c r="A88" s="4" t="s">
        <v>167</v>
      </c>
      <c r="B88" s="5" t="s">
        <v>168</v>
      </c>
      <c r="C88" s="53" t="s">
        <v>675</v>
      </c>
      <c r="D88" s="53" t="s">
        <v>450</v>
      </c>
      <c r="E88" s="53"/>
      <c r="F88" s="53" t="s">
        <v>872</v>
      </c>
      <c r="G88" s="39" t="s">
        <v>450</v>
      </c>
      <c r="H88" s="39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39"/>
      <c r="U88" s="39"/>
      <c r="V88" s="39"/>
      <c r="W88" s="39"/>
      <c r="X88" s="1"/>
      <c r="Y88" s="1"/>
      <c r="Z88" s="1"/>
      <c r="AA88" s="1"/>
      <c r="AB88" s="1"/>
      <c r="AC88" s="1"/>
      <c r="AD88" s="39"/>
      <c r="AE88" s="3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39"/>
      <c r="AV88" s="39"/>
      <c r="AW88" s="1"/>
      <c r="AX88" s="1"/>
      <c r="AY88" s="1"/>
    </row>
    <row r="89" spans="1:51" x14ac:dyDescent="0.3">
      <c r="A89" s="15" t="s">
        <v>169</v>
      </c>
      <c r="B89" s="16" t="s">
        <v>170</v>
      </c>
      <c r="C89" s="53" t="s">
        <v>676</v>
      </c>
      <c r="D89" s="53" t="s">
        <v>450</v>
      </c>
      <c r="E89" s="53"/>
      <c r="F89" s="53" t="s">
        <v>873</v>
      </c>
      <c r="G89" s="39" t="s">
        <v>450</v>
      </c>
      <c r="H89" s="39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39"/>
      <c r="U89" s="39"/>
      <c r="V89" s="39"/>
      <c r="W89" s="39"/>
      <c r="X89" s="1"/>
      <c r="Y89" s="1"/>
      <c r="Z89" s="1"/>
      <c r="AA89" s="1"/>
      <c r="AB89" s="1"/>
      <c r="AC89" s="1"/>
      <c r="AD89" s="39"/>
      <c r="AE89" s="3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39"/>
      <c r="AV89" s="39"/>
      <c r="AW89" s="1"/>
      <c r="AX89" s="1"/>
      <c r="AY89" s="1"/>
    </row>
    <row r="90" spans="1:51" x14ac:dyDescent="0.3">
      <c r="A90" s="17" t="s">
        <v>171</v>
      </c>
      <c r="B90" s="18" t="s">
        <v>172</v>
      </c>
      <c r="C90" s="53" t="s">
        <v>677</v>
      </c>
      <c r="D90" s="53" t="s">
        <v>450</v>
      </c>
      <c r="E90" s="53"/>
      <c r="F90" s="53" t="s">
        <v>874</v>
      </c>
      <c r="G90" s="39" t="s">
        <v>545</v>
      </c>
      <c r="H90" s="39" t="s">
        <v>450</v>
      </c>
      <c r="I90" s="61" t="s">
        <v>482</v>
      </c>
      <c r="J90" s="1" t="s">
        <v>450</v>
      </c>
      <c r="K90" s="1"/>
      <c r="L90" s="1"/>
      <c r="M90" s="1"/>
      <c r="N90" s="1"/>
      <c r="O90" s="1"/>
      <c r="P90" s="1"/>
      <c r="Q90" s="1"/>
      <c r="R90" s="1" t="s">
        <v>482</v>
      </c>
      <c r="S90" s="1" t="s">
        <v>450</v>
      </c>
      <c r="T90" s="39"/>
      <c r="U90" s="39"/>
      <c r="V90" s="39"/>
      <c r="W90" s="39"/>
      <c r="X90" s="1"/>
      <c r="Y90" s="1"/>
      <c r="Z90" s="1"/>
      <c r="AA90" s="1"/>
      <c r="AB90" s="1"/>
      <c r="AC90" s="1"/>
      <c r="AD90" s="39"/>
      <c r="AE90" s="3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39"/>
      <c r="AV90" s="39"/>
      <c r="AW90" s="1"/>
      <c r="AX90" s="1"/>
      <c r="AY90" s="1"/>
    </row>
    <row r="91" spans="1:51" x14ac:dyDescent="0.3">
      <c r="A91" s="2" t="s">
        <v>173</v>
      </c>
      <c r="B91" s="3" t="s">
        <v>174</v>
      </c>
      <c r="C91" s="53" t="s">
        <v>786</v>
      </c>
      <c r="D91" s="53" t="s">
        <v>450</v>
      </c>
      <c r="E91" s="53"/>
      <c r="F91" s="53" t="s">
        <v>875</v>
      </c>
      <c r="G91" s="39" t="s">
        <v>450</v>
      </c>
      <c r="H91" s="39"/>
      <c r="I91" s="61" t="s">
        <v>535</v>
      </c>
      <c r="J91" s="1" t="s">
        <v>450</v>
      </c>
      <c r="K91" s="1"/>
      <c r="L91" s="1"/>
      <c r="M91" s="1"/>
      <c r="N91" s="1"/>
      <c r="O91" s="1"/>
      <c r="P91" s="1"/>
      <c r="Q91" s="1"/>
      <c r="R91" s="61" t="s">
        <v>535</v>
      </c>
      <c r="S91" s="1" t="s">
        <v>450</v>
      </c>
      <c r="T91" s="39"/>
      <c r="U91" s="39"/>
      <c r="V91" s="39"/>
      <c r="W91" s="39"/>
      <c r="X91" s="1"/>
      <c r="Y91" s="1"/>
      <c r="Z91" s="1"/>
      <c r="AA91" s="1"/>
      <c r="AB91" s="1"/>
      <c r="AC91" s="1"/>
      <c r="AD91" s="39"/>
      <c r="AE91" s="3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39"/>
      <c r="AV91" s="39"/>
      <c r="AW91" s="1"/>
      <c r="AX91" s="1"/>
      <c r="AY91" s="1"/>
    </row>
    <row r="92" spans="1:51" x14ac:dyDescent="0.3">
      <c r="A92" s="2" t="s">
        <v>175</v>
      </c>
      <c r="B92" s="3" t="s">
        <v>176</v>
      </c>
      <c r="C92" s="53" t="s">
        <v>678</v>
      </c>
      <c r="D92" s="53" t="s">
        <v>450</v>
      </c>
      <c r="E92" s="53"/>
      <c r="F92" s="53" t="s">
        <v>876</v>
      </c>
      <c r="G92" s="39" t="s">
        <v>450</v>
      </c>
      <c r="H92" s="39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39"/>
      <c r="U92" s="39"/>
      <c r="V92" s="39"/>
      <c r="W92" s="39"/>
      <c r="X92" s="1"/>
      <c r="Y92" s="1"/>
      <c r="Z92" s="1"/>
      <c r="AA92" s="1"/>
      <c r="AB92" s="1"/>
      <c r="AC92" s="1"/>
      <c r="AD92" s="39"/>
      <c r="AE92" s="3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39"/>
      <c r="AV92" s="39"/>
      <c r="AW92" s="1"/>
      <c r="AX92" s="1"/>
      <c r="AY92" s="1"/>
    </row>
    <row r="93" spans="1:51" x14ac:dyDescent="0.3">
      <c r="A93" s="2" t="s">
        <v>177</v>
      </c>
      <c r="B93" s="3" t="s">
        <v>178</v>
      </c>
      <c r="C93" s="53" t="s">
        <v>679</v>
      </c>
      <c r="D93" s="53" t="s">
        <v>450</v>
      </c>
      <c r="E93" s="53"/>
      <c r="F93" s="53" t="s">
        <v>877</v>
      </c>
      <c r="G93" s="39" t="s">
        <v>450</v>
      </c>
      <c r="H93" s="39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39"/>
      <c r="U93" s="39"/>
      <c r="V93" s="39"/>
      <c r="W93" s="39"/>
      <c r="X93" s="1"/>
      <c r="Y93" s="1"/>
      <c r="Z93" s="1"/>
      <c r="AA93" s="1"/>
      <c r="AB93" s="1"/>
      <c r="AC93" s="1"/>
      <c r="AD93" s="39"/>
      <c r="AE93" s="3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39"/>
      <c r="AV93" s="39"/>
      <c r="AW93" s="1"/>
      <c r="AX93" s="1"/>
      <c r="AY93" s="1"/>
    </row>
    <row r="94" spans="1:51" x14ac:dyDescent="0.3">
      <c r="A94" s="4" t="s">
        <v>179</v>
      </c>
      <c r="B94" s="5" t="s">
        <v>180</v>
      </c>
      <c r="C94" s="53" t="s">
        <v>680</v>
      </c>
      <c r="D94" s="53" t="s">
        <v>450</v>
      </c>
      <c r="E94" s="53"/>
      <c r="F94" s="53" t="s">
        <v>878</v>
      </c>
      <c r="G94" s="39" t="s">
        <v>450</v>
      </c>
      <c r="H94" s="39"/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39"/>
      <c r="U94" s="39"/>
      <c r="V94" s="39"/>
      <c r="W94" s="39"/>
      <c r="X94" s="1"/>
      <c r="Y94" s="1"/>
      <c r="Z94" s="1"/>
      <c r="AA94" s="1"/>
      <c r="AB94" s="1"/>
      <c r="AC94" s="1"/>
      <c r="AD94" s="39"/>
      <c r="AE94" s="3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39"/>
      <c r="AV94" s="39"/>
      <c r="AW94" s="1"/>
      <c r="AX94" s="1"/>
      <c r="AY94" s="1"/>
    </row>
    <row r="95" spans="1:51" x14ac:dyDescent="0.3">
      <c r="A95" s="2" t="s">
        <v>181</v>
      </c>
      <c r="B95" s="3" t="s">
        <v>182</v>
      </c>
      <c r="C95" s="53" t="s">
        <v>681</v>
      </c>
      <c r="D95" s="53" t="s">
        <v>450</v>
      </c>
      <c r="E95" s="53"/>
      <c r="F95" s="53" t="s">
        <v>879</v>
      </c>
      <c r="G95" s="39" t="s">
        <v>545</v>
      </c>
      <c r="H95" s="39" t="s">
        <v>450</v>
      </c>
      <c r="I95" s="57" t="s">
        <v>573</v>
      </c>
      <c r="J95" s="1" t="s">
        <v>450</v>
      </c>
      <c r="K95" s="1"/>
      <c r="L95" s="1"/>
      <c r="M95" s="1"/>
      <c r="N95" s="1"/>
      <c r="O95" s="1"/>
      <c r="P95" s="1"/>
      <c r="Q95" s="1"/>
      <c r="R95" s="61" t="s">
        <v>573</v>
      </c>
      <c r="S95" s="1" t="s">
        <v>450</v>
      </c>
      <c r="T95" s="39"/>
      <c r="U95" s="39"/>
      <c r="V95" s="39"/>
      <c r="W95" s="39"/>
      <c r="X95" s="1"/>
      <c r="Y95" s="1"/>
      <c r="Z95" s="1"/>
      <c r="AA95" s="1"/>
      <c r="AB95" s="1"/>
      <c r="AC95" s="1"/>
      <c r="AD95" s="39"/>
      <c r="AE95" s="3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39"/>
      <c r="AV95" s="39"/>
      <c r="AW95" s="1"/>
      <c r="AX95" s="1"/>
      <c r="AY95" s="1"/>
    </row>
    <row r="96" spans="1:51" x14ac:dyDescent="0.3">
      <c r="A96" s="22" t="s">
        <v>183</v>
      </c>
      <c r="B96" s="23" t="s">
        <v>184</v>
      </c>
      <c r="C96" s="53" t="s">
        <v>682</v>
      </c>
      <c r="D96" s="53" t="s">
        <v>450</v>
      </c>
      <c r="E96" s="53"/>
      <c r="F96" s="53" t="s">
        <v>880</v>
      </c>
      <c r="G96" s="39" t="s">
        <v>450</v>
      </c>
      <c r="H96" s="39"/>
      <c r="I96" s="39"/>
      <c r="J96" s="1"/>
      <c r="K96" s="1"/>
      <c r="L96" s="1"/>
      <c r="M96" s="1"/>
      <c r="N96" s="1"/>
      <c r="O96" s="1"/>
      <c r="P96" s="1"/>
      <c r="Q96" s="1"/>
      <c r="R96" s="1"/>
      <c r="S96" s="1"/>
      <c r="T96" s="39"/>
      <c r="U96" s="39"/>
      <c r="V96" s="39"/>
      <c r="W96" s="39"/>
      <c r="X96" s="1"/>
      <c r="Y96" s="1"/>
      <c r="Z96" s="1"/>
      <c r="AA96" s="1"/>
      <c r="AB96" s="1"/>
      <c r="AC96" s="1"/>
      <c r="AD96" s="39"/>
      <c r="AE96" s="3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39"/>
      <c r="AV96" s="39"/>
      <c r="AW96" s="1"/>
      <c r="AX96" s="1"/>
      <c r="AY96" s="1"/>
    </row>
    <row r="97" spans="1:51" x14ac:dyDescent="0.3">
      <c r="A97" s="2" t="s">
        <v>185</v>
      </c>
      <c r="B97" s="3" t="s">
        <v>186</v>
      </c>
      <c r="C97" s="53" t="s">
        <v>683</v>
      </c>
      <c r="D97" s="53" t="s">
        <v>450</v>
      </c>
      <c r="E97" s="53"/>
      <c r="F97" s="53" t="s">
        <v>881</v>
      </c>
      <c r="G97" s="39" t="s">
        <v>450</v>
      </c>
      <c r="H97" s="39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39"/>
      <c r="U97" s="39"/>
      <c r="V97" s="39"/>
      <c r="W97" s="39"/>
      <c r="X97" s="1"/>
      <c r="Y97" s="1"/>
      <c r="Z97" s="1"/>
      <c r="AA97" s="1"/>
      <c r="AB97" s="1"/>
      <c r="AC97" s="1"/>
      <c r="AD97" s="39"/>
      <c r="AE97" s="3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39"/>
      <c r="AV97" s="39"/>
      <c r="AW97" s="1"/>
      <c r="AX97" s="1"/>
      <c r="AY97" s="1"/>
    </row>
    <row r="98" spans="1:51" x14ac:dyDescent="0.3">
      <c r="A98" s="2" t="s">
        <v>187</v>
      </c>
      <c r="B98" s="3" t="s">
        <v>188</v>
      </c>
      <c r="C98" s="53" t="s">
        <v>684</v>
      </c>
      <c r="D98" s="53" t="s">
        <v>450</v>
      </c>
      <c r="E98" s="53"/>
      <c r="F98" s="53" t="s">
        <v>882</v>
      </c>
      <c r="G98" s="39" t="s">
        <v>450</v>
      </c>
      <c r="H98" s="39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39"/>
      <c r="U98" s="39"/>
      <c r="V98" s="39"/>
      <c r="W98" s="39"/>
      <c r="X98" s="1"/>
      <c r="Y98" s="1"/>
      <c r="Z98" s="1"/>
      <c r="AA98" s="1"/>
      <c r="AB98" s="1"/>
      <c r="AC98" s="1"/>
      <c r="AD98" s="39"/>
      <c r="AE98" s="3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39"/>
      <c r="AV98" s="39"/>
      <c r="AW98" s="1"/>
      <c r="AX98" s="1"/>
      <c r="AY98" s="1"/>
    </row>
    <row r="99" spans="1:51" x14ac:dyDescent="0.3">
      <c r="A99" s="4" t="s">
        <v>189</v>
      </c>
      <c r="B99" s="5" t="s">
        <v>190</v>
      </c>
      <c r="C99" s="53" t="s">
        <v>783</v>
      </c>
      <c r="D99" s="53" t="s">
        <v>450</v>
      </c>
      <c r="E99" s="53"/>
      <c r="F99" s="53" t="s">
        <v>883</v>
      </c>
      <c r="G99" s="39" t="s">
        <v>450</v>
      </c>
      <c r="H99" s="39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39"/>
      <c r="U99" s="39"/>
      <c r="V99" s="39"/>
      <c r="W99" s="39"/>
      <c r="X99" s="1"/>
      <c r="Y99" s="1"/>
      <c r="Z99" s="1"/>
      <c r="AA99" s="1"/>
      <c r="AB99" s="1"/>
      <c r="AC99" s="1"/>
      <c r="AD99" s="39"/>
      <c r="AE99" s="3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39"/>
      <c r="AV99" s="39"/>
      <c r="AW99" s="1"/>
      <c r="AX99" s="1"/>
      <c r="AY99" s="1"/>
    </row>
    <row r="100" spans="1:51" x14ac:dyDescent="0.3">
      <c r="A100" s="2" t="s">
        <v>191</v>
      </c>
      <c r="B100" s="3" t="s">
        <v>192</v>
      </c>
      <c r="C100" s="53" t="s">
        <v>685</v>
      </c>
      <c r="D100" s="53" t="s">
        <v>450</v>
      </c>
      <c r="E100" s="53"/>
      <c r="F100" s="53" t="s">
        <v>884</v>
      </c>
      <c r="G100" s="39" t="s">
        <v>545</v>
      </c>
      <c r="H100" s="39" t="s">
        <v>450</v>
      </c>
      <c r="I100" s="39"/>
      <c r="J100" s="1"/>
      <c r="K100" s="1"/>
      <c r="L100" s="1"/>
      <c r="M100" s="1"/>
      <c r="N100" s="1"/>
      <c r="O100" s="1"/>
      <c r="P100" s="1"/>
      <c r="Q100" s="1"/>
      <c r="R100" s="61" t="s">
        <v>574</v>
      </c>
      <c r="S100" s="1" t="s">
        <v>450</v>
      </c>
      <c r="T100" s="39"/>
      <c r="U100" s="39"/>
      <c r="V100" s="39"/>
      <c r="W100" s="39"/>
      <c r="X100" s="1"/>
      <c r="Y100" s="1"/>
      <c r="Z100" s="1"/>
      <c r="AA100" s="1"/>
      <c r="AB100" s="1"/>
      <c r="AC100" s="1"/>
      <c r="AD100" s="39"/>
      <c r="AE100" s="3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39"/>
      <c r="AV100" s="39"/>
      <c r="AW100" s="1"/>
      <c r="AX100" s="1"/>
      <c r="AY100" s="1"/>
    </row>
    <row r="101" spans="1:51" x14ac:dyDescent="0.3">
      <c r="A101" s="13" t="s">
        <v>193</v>
      </c>
      <c r="B101" s="14" t="s">
        <v>194</v>
      </c>
      <c r="C101" s="53" t="s">
        <v>686</v>
      </c>
      <c r="D101" s="53" t="s">
        <v>450</v>
      </c>
      <c r="E101" s="53"/>
      <c r="F101" s="53" t="s">
        <v>885</v>
      </c>
      <c r="G101" s="39" t="s">
        <v>545</v>
      </c>
      <c r="H101" s="39" t="s">
        <v>450</v>
      </c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9"/>
      <c r="U101" s="39"/>
      <c r="V101" s="39"/>
      <c r="W101" s="39"/>
      <c r="X101" s="1"/>
      <c r="Y101" s="1"/>
      <c r="Z101" s="1"/>
      <c r="AA101" s="1"/>
      <c r="AB101" s="1"/>
      <c r="AC101" s="1"/>
      <c r="AD101" s="39"/>
      <c r="AE101" s="3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39"/>
      <c r="AV101" s="39"/>
      <c r="AW101" s="1"/>
      <c r="AX101" s="1"/>
      <c r="AY101" s="1"/>
    </row>
    <row r="102" spans="1:51" x14ac:dyDescent="0.3">
      <c r="A102" s="2" t="s">
        <v>195</v>
      </c>
      <c r="B102" s="3" t="s">
        <v>196</v>
      </c>
      <c r="C102" s="53" t="s">
        <v>687</v>
      </c>
      <c r="D102" s="53" t="s">
        <v>450</v>
      </c>
      <c r="E102" s="53"/>
      <c r="F102" s="53" t="s">
        <v>886</v>
      </c>
      <c r="G102" s="39" t="s">
        <v>450</v>
      </c>
      <c r="H102" s="39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9"/>
      <c r="U102" s="39"/>
      <c r="V102" s="39"/>
      <c r="W102" s="39"/>
      <c r="X102" s="1"/>
      <c r="Y102" s="1"/>
      <c r="Z102" s="1"/>
      <c r="AA102" s="1"/>
      <c r="AB102" s="1"/>
      <c r="AC102" s="1"/>
      <c r="AD102" s="39"/>
      <c r="AE102" s="3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39"/>
      <c r="AV102" s="39"/>
      <c r="AW102" s="1"/>
      <c r="AX102" s="1"/>
      <c r="AY102" s="1"/>
    </row>
    <row r="103" spans="1:51" x14ac:dyDescent="0.3">
      <c r="A103" s="4" t="s">
        <v>197</v>
      </c>
      <c r="B103" s="5" t="s">
        <v>198</v>
      </c>
      <c r="C103" s="53" t="s">
        <v>688</v>
      </c>
      <c r="D103" s="53" t="s">
        <v>450</v>
      </c>
      <c r="E103" s="53"/>
      <c r="F103" s="53" t="s">
        <v>887</v>
      </c>
      <c r="G103" s="39" t="s">
        <v>450</v>
      </c>
      <c r="H103" s="39"/>
      <c r="I103" s="39"/>
      <c r="J103" s="1"/>
      <c r="K103" s="1"/>
      <c r="L103" s="1"/>
      <c r="M103" s="1"/>
      <c r="N103" s="1"/>
      <c r="O103" s="1"/>
      <c r="P103" s="1"/>
      <c r="Q103" s="1"/>
      <c r="R103" s="61" t="s">
        <v>536</v>
      </c>
      <c r="S103" s="1" t="s">
        <v>450</v>
      </c>
      <c r="T103" s="39"/>
      <c r="U103" s="39"/>
      <c r="V103" s="39"/>
      <c r="W103" s="39"/>
      <c r="X103" s="1"/>
      <c r="Y103" s="1"/>
      <c r="Z103" s="1"/>
      <c r="AA103" s="1"/>
      <c r="AB103" s="1"/>
      <c r="AC103" s="1"/>
      <c r="AD103" s="39"/>
      <c r="AE103" s="3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39"/>
      <c r="AV103" s="39"/>
      <c r="AW103" s="1"/>
      <c r="AX103" s="1"/>
      <c r="AY103" s="1"/>
    </row>
    <row r="104" spans="1:51" x14ac:dyDescent="0.3">
      <c r="A104" s="13" t="s">
        <v>199</v>
      </c>
      <c r="B104" s="14" t="s">
        <v>200</v>
      </c>
      <c r="C104" s="53" t="s">
        <v>689</v>
      </c>
      <c r="D104" s="53" t="s">
        <v>450</v>
      </c>
      <c r="E104" s="53"/>
      <c r="F104" s="53" t="s">
        <v>888</v>
      </c>
      <c r="G104" s="39" t="s">
        <v>450</v>
      </c>
      <c r="H104" s="39"/>
      <c r="I104" s="39"/>
      <c r="J104" s="1"/>
      <c r="K104" s="1"/>
      <c r="L104" s="1"/>
      <c r="M104" s="1"/>
      <c r="N104" s="1"/>
      <c r="O104" s="1"/>
      <c r="P104" s="1"/>
      <c r="Q104" s="1"/>
      <c r="R104" s="1" t="s">
        <v>547</v>
      </c>
      <c r="S104" s="1" t="s">
        <v>450</v>
      </c>
      <c r="T104" s="39"/>
      <c r="U104" s="39"/>
      <c r="V104" s="39"/>
      <c r="W104" s="39"/>
      <c r="X104" s="1"/>
      <c r="Y104" s="1"/>
      <c r="Z104" s="1"/>
      <c r="AA104" s="1"/>
      <c r="AB104" s="61" t="s">
        <v>547</v>
      </c>
      <c r="AC104" s="1" t="s">
        <v>450</v>
      </c>
      <c r="AD104" s="39"/>
      <c r="AE104" s="3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39"/>
      <c r="AV104" s="39"/>
      <c r="AW104" s="1"/>
      <c r="AX104" s="1"/>
      <c r="AY104" s="1"/>
    </row>
    <row r="105" spans="1:51" x14ac:dyDescent="0.3">
      <c r="A105" s="4" t="s">
        <v>201</v>
      </c>
      <c r="B105" s="5" t="s">
        <v>202</v>
      </c>
      <c r="C105" s="53" t="s">
        <v>690</v>
      </c>
      <c r="D105" s="53" t="s">
        <v>450</v>
      </c>
      <c r="E105" s="53"/>
      <c r="F105" s="53" t="s">
        <v>889</v>
      </c>
      <c r="G105" s="39" t="s">
        <v>450</v>
      </c>
      <c r="H105" s="39"/>
      <c r="I105" s="39"/>
      <c r="J105" s="1"/>
      <c r="K105" s="1"/>
      <c r="L105" s="1"/>
      <c r="M105" s="1"/>
      <c r="N105" s="1"/>
      <c r="O105" s="1"/>
      <c r="P105" s="1"/>
      <c r="Q105" s="1"/>
      <c r="R105" s="61" t="s">
        <v>537</v>
      </c>
      <c r="S105" s="1" t="s">
        <v>450</v>
      </c>
      <c r="T105" s="39"/>
      <c r="U105" s="39"/>
      <c r="V105" s="39"/>
      <c r="W105" s="39"/>
      <c r="X105" s="1"/>
      <c r="Y105" s="1"/>
      <c r="Z105" s="1"/>
      <c r="AA105" s="1"/>
      <c r="AB105" s="1"/>
      <c r="AC105" s="1"/>
      <c r="AD105" s="39"/>
      <c r="AE105" s="3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39"/>
      <c r="AV105" s="39"/>
      <c r="AW105" s="1"/>
      <c r="AX105" s="1"/>
      <c r="AY105" s="1"/>
    </row>
    <row r="106" spans="1:51" x14ac:dyDescent="0.3">
      <c r="A106" s="2" t="s">
        <v>203</v>
      </c>
      <c r="B106" s="3" t="s">
        <v>204</v>
      </c>
      <c r="C106" s="53" t="s">
        <v>691</v>
      </c>
      <c r="D106" s="53" t="s">
        <v>450</v>
      </c>
      <c r="E106" s="53"/>
      <c r="F106" s="53" t="s">
        <v>890</v>
      </c>
      <c r="G106" s="39" t="s">
        <v>450</v>
      </c>
      <c r="H106" s="39"/>
      <c r="I106" s="3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9"/>
      <c r="U106" s="39"/>
      <c r="V106" s="39"/>
      <c r="W106" s="39"/>
      <c r="X106" s="1"/>
      <c r="Y106" s="1"/>
      <c r="Z106" s="1"/>
      <c r="AA106" s="1"/>
      <c r="AB106" s="1"/>
      <c r="AC106" s="1"/>
      <c r="AD106" s="39"/>
      <c r="AE106" s="3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39"/>
      <c r="AV106" s="39"/>
      <c r="AW106" s="1"/>
      <c r="AX106" s="1"/>
      <c r="AY106" s="1"/>
    </row>
    <row r="107" spans="1:51" x14ac:dyDescent="0.3">
      <c r="A107" s="22" t="s">
        <v>205</v>
      </c>
      <c r="B107" s="23" t="s">
        <v>206</v>
      </c>
      <c r="C107" s="53" t="s">
        <v>692</v>
      </c>
      <c r="D107" s="53" t="s">
        <v>450</v>
      </c>
      <c r="E107" s="53"/>
      <c r="F107" s="53" t="s">
        <v>891</v>
      </c>
      <c r="G107" s="39" t="s">
        <v>545</v>
      </c>
      <c r="H107" s="39" t="s">
        <v>450</v>
      </c>
      <c r="I107" s="57" t="s">
        <v>473</v>
      </c>
      <c r="J107" s="1" t="s">
        <v>450</v>
      </c>
      <c r="K107" s="1"/>
      <c r="L107" s="1"/>
      <c r="M107" s="1"/>
      <c r="N107" s="1"/>
      <c r="O107" s="1"/>
      <c r="P107" s="1"/>
      <c r="Q107" s="1"/>
      <c r="R107" s="1" t="s">
        <v>473</v>
      </c>
      <c r="S107" s="1" t="s">
        <v>450</v>
      </c>
      <c r="T107" s="39"/>
      <c r="U107" s="39"/>
      <c r="V107" s="39"/>
      <c r="W107" s="39"/>
      <c r="X107" s="1"/>
      <c r="Y107" s="1"/>
      <c r="Z107" s="1"/>
      <c r="AA107" s="1"/>
      <c r="AB107" s="1"/>
      <c r="AC107" s="1"/>
      <c r="AD107" s="39"/>
      <c r="AE107" s="3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39"/>
      <c r="AV107" s="39"/>
      <c r="AW107" s="1"/>
      <c r="AX107" s="1"/>
      <c r="AY107" s="1"/>
    </row>
    <row r="108" spans="1:51" x14ac:dyDescent="0.3">
      <c r="A108" s="22" t="s">
        <v>207</v>
      </c>
      <c r="B108" s="23" t="s">
        <v>208</v>
      </c>
      <c r="C108" s="53" t="s">
        <v>693</v>
      </c>
      <c r="D108" s="53" t="s">
        <v>450</v>
      </c>
      <c r="E108" s="53"/>
      <c r="F108" s="53" t="s">
        <v>892</v>
      </c>
      <c r="G108" s="39" t="s">
        <v>450</v>
      </c>
      <c r="H108" s="39"/>
      <c r="I108" s="39"/>
      <c r="J108" s="1"/>
      <c r="K108" s="1"/>
      <c r="L108" s="1"/>
      <c r="M108" s="1"/>
      <c r="N108" s="1"/>
      <c r="O108" s="1"/>
      <c r="P108" s="1"/>
      <c r="Q108" s="1"/>
      <c r="S108" s="1" t="s">
        <v>450</v>
      </c>
      <c r="T108" s="39"/>
      <c r="U108" s="39"/>
      <c r="V108" s="39"/>
      <c r="W108" s="39"/>
      <c r="X108" s="1"/>
      <c r="Y108" s="1"/>
      <c r="Z108" s="1"/>
      <c r="AA108" s="1"/>
      <c r="AB108" s="1"/>
      <c r="AC108" s="1"/>
      <c r="AD108" s="39"/>
      <c r="AE108" s="39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39"/>
      <c r="AV108" s="39"/>
      <c r="AW108" s="1"/>
      <c r="AX108" s="1"/>
      <c r="AY108" s="1"/>
    </row>
    <row r="109" spans="1:51" x14ac:dyDescent="0.3">
      <c r="A109" s="2" t="s">
        <v>209</v>
      </c>
      <c r="B109" s="3" t="s">
        <v>210</v>
      </c>
      <c r="C109" s="53" t="s">
        <v>694</v>
      </c>
      <c r="D109" s="53" t="s">
        <v>450</v>
      </c>
      <c r="E109" s="53"/>
      <c r="F109" s="53" t="s">
        <v>893</v>
      </c>
      <c r="G109" s="39" t="s">
        <v>450</v>
      </c>
      <c r="H109" s="39"/>
      <c r="I109" s="3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9"/>
      <c r="U109" s="39"/>
      <c r="V109" s="39"/>
      <c r="W109" s="39"/>
      <c r="X109" s="1"/>
      <c r="Y109" s="1"/>
      <c r="Z109" s="1"/>
      <c r="AA109" s="1"/>
      <c r="AB109" s="1"/>
      <c r="AC109" s="1"/>
      <c r="AD109" s="39"/>
      <c r="AE109" s="39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39"/>
      <c r="AV109" s="39"/>
      <c r="AW109" s="1"/>
      <c r="AX109" s="1"/>
      <c r="AY109" s="1"/>
    </row>
    <row r="110" spans="1:51" x14ac:dyDescent="0.3">
      <c r="A110" s="2" t="s">
        <v>211</v>
      </c>
      <c r="B110" s="3" t="s">
        <v>212</v>
      </c>
      <c r="C110" s="53" t="s">
        <v>695</v>
      </c>
      <c r="D110" s="53" t="s">
        <v>450</v>
      </c>
      <c r="E110" s="53"/>
      <c r="F110" s="53" t="s">
        <v>894</v>
      </c>
      <c r="G110" s="39" t="s">
        <v>450</v>
      </c>
      <c r="H110" s="39"/>
      <c r="I110" s="3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9"/>
      <c r="U110" s="39"/>
      <c r="V110" s="39"/>
      <c r="W110" s="39"/>
      <c r="X110" s="1"/>
      <c r="Y110" s="1"/>
      <c r="Z110" s="1"/>
      <c r="AA110" s="1"/>
      <c r="AB110" s="1"/>
      <c r="AC110" s="1"/>
      <c r="AD110" s="39"/>
      <c r="AE110" s="39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39"/>
      <c r="AV110" s="39"/>
      <c r="AW110" s="1"/>
      <c r="AX110" s="1"/>
      <c r="AY110" s="1"/>
    </row>
    <row r="111" spans="1:51" x14ac:dyDescent="0.3">
      <c r="A111" s="17" t="s">
        <v>213</v>
      </c>
      <c r="B111" s="18" t="s">
        <v>214</v>
      </c>
      <c r="C111" s="53" t="s">
        <v>696</v>
      </c>
      <c r="D111" s="53" t="s">
        <v>450</v>
      </c>
      <c r="E111" s="53"/>
      <c r="F111" s="53" t="s">
        <v>895</v>
      </c>
      <c r="G111" s="57" t="s">
        <v>538</v>
      </c>
      <c r="H111" s="39" t="s">
        <v>450</v>
      </c>
      <c r="I111" s="39" t="s">
        <v>538</v>
      </c>
      <c r="J111" s="1" t="s">
        <v>450</v>
      </c>
      <c r="K111" s="1"/>
      <c r="L111" s="1"/>
      <c r="M111" s="1"/>
      <c r="N111" s="1"/>
      <c r="O111" s="1"/>
      <c r="P111" s="1"/>
      <c r="Q111" s="1"/>
      <c r="R111" s="1" t="s">
        <v>538</v>
      </c>
      <c r="S111" s="1" t="s">
        <v>450</v>
      </c>
      <c r="T111" s="39"/>
      <c r="U111" s="39"/>
      <c r="V111" s="39"/>
      <c r="W111" s="39"/>
      <c r="X111" s="1"/>
      <c r="Y111" s="1"/>
      <c r="Z111" s="1"/>
      <c r="AA111" s="1"/>
      <c r="AB111" s="1"/>
      <c r="AC111" s="1"/>
      <c r="AD111" s="39"/>
      <c r="AE111" s="3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39"/>
      <c r="AV111" s="39"/>
      <c r="AW111" s="1"/>
      <c r="AX111" s="1"/>
      <c r="AY111" s="1"/>
    </row>
    <row r="112" spans="1:51" x14ac:dyDescent="0.3">
      <c r="A112" s="2" t="s">
        <v>215</v>
      </c>
      <c r="B112" s="3" t="s">
        <v>216</v>
      </c>
      <c r="C112" s="53" t="s">
        <v>697</v>
      </c>
      <c r="D112" s="53" t="s">
        <v>450</v>
      </c>
      <c r="E112" s="53"/>
      <c r="F112" s="53" t="s">
        <v>896</v>
      </c>
      <c r="G112" s="39" t="s">
        <v>450</v>
      </c>
      <c r="H112" s="39"/>
      <c r="I112" s="39" t="s">
        <v>488</v>
      </c>
      <c r="J112" s="1" t="s">
        <v>450</v>
      </c>
      <c r="K112" s="1"/>
      <c r="L112" s="1"/>
      <c r="M112" s="1"/>
      <c r="N112" s="1"/>
      <c r="O112" s="1"/>
      <c r="P112" s="1"/>
      <c r="Q112" s="1"/>
      <c r="R112" s="61" t="s">
        <v>488</v>
      </c>
      <c r="S112" s="1" t="s">
        <v>488</v>
      </c>
      <c r="T112" s="39" t="s">
        <v>450</v>
      </c>
      <c r="U112" s="39"/>
      <c r="V112" s="39"/>
      <c r="W112" s="39"/>
      <c r="X112" s="1"/>
      <c r="Y112" s="1"/>
      <c r="Z112" s="1"/>
      <c r="AA112" s="1"/>
      <c r="AB112" s="1"/>
      <c r="AC112" s="1"/>
      <c r="AD112" s="39"/>
      <c r="AE112" s="3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39"/>
      <c r="AV112" s="39"/>
      <c r="AW112" s="1"/>
      <c r="AX112" s="1"/>
      <c r="AY112" s="1"/>
    </row>
    <row r="113" spans="1:51" x14ac:dyDescent="0.3">
      <c r="A113" s="19" t="s">
        <v>217</v>
      </c>
      <c r="B113" s="20" t="s">
        <v>218</v>
      </c>
      <c r="C113" s="53" t="s">
        <v>698</v>
      </c>
      <c r="D113" s="53" t="s">
        <v>450</v>
      </c>
      <c r="E113" s="53"/>
      <c r="F113" s="53" t="s">
        <v>897</v>
      </c>
      <c r="G113" s="39" t="s">
        <v>450</v>
      </c>
      <c r="H113" s="39"/>
      <c r="I113" s="39"/>
      <c r="J113" s="1"/>
      <c r="K113" s="1"/>
      <c r="L113" s="1"/>
      <c r="M113" s="1"/>
      <c r="N113" s="1"/>
      <c r="O113" s="1"/>
      <c r="P113" s="1"/>
      <c r="Q113" s="1"/>
      <c r="R113" s="61" t="s">
        <v>490</v>
      </c>
      <c r="S113" s="1" t="s">
        <v>450</v>
      </c>
      <c r="T113" s="39"/>
      <c r="U113" s="39"/>
      <c r="V113" s="39"/>
      <c r="W113" s="39"/>
      <c r="X113" s="1"/>
      <c r="Y113" s="1"/>
      <c r="Z113" s="1"/>
      <c r="AA113" s="1"/>
      <c r="AB113" s="1"/>
      <c r="AC113" s="1"/>
      <c r="AD113" s="39"/>
      <c r="AE113" s="3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39"/>
      <c r="AV113" s="39"/>
      <c r="AW113" s="1"/>
      <c r="AX113" s="1"/>
      <c r="AY113" s="1"/>
    </row>
    <row r="114" spans="1:51" x14ac:dyDescent="0.3">
      <c r="A114" s="2" t="s">
        <v>219</v>
      </c>
      <c r="B114" s="3" t="s">
        <v>220</v>
      </c>
      <c r="C114" s="53" t="s">
        <v>699</v>
      </c>
      <c r="D114" s="53" t="s">
        <v>450</v>
      </c>
      <c r="E114" s="53"/>
      <c r="F114" s="53" t="s">
        <v>898</v>
      </c>
      <c r="G114" s="39" t="s">
        <v>450</v>
      </c>
      <c r="H114" s="39"/>
      <c r="I114" s="3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9"/>
      <c r="U114" s="39"/>
      <c r="V114" s="39"/>
      <c r="W114" s="39"/>
      <c r="X114" s="1"/>
      <c r="Y114" s="1"/>
      <c r="Z114" s="1"/>
      <c r="AA114" s="1"/>
      <c r="AB114" s="1"/>
      <c r="AC114" s="1"/>
      <c r="AD114" s="39"/>
      <c r="AE114" s="39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39"/>
      <c r="AV114" s="39"/>
      <c r="AW114" s="1"/>
      <c r="AX114" s="1"/>
      <c r="AY114" s="1"/>
    </row>
    <row r="115" spans="1:51" x14ac:dyDescent="0.3">
      <c r="A115" s="2" t="s">
        <v>221</v>
      </c>
      <c r="B115" s="3" t="s">
        <v>222</v>
      </c>
      <c r="C115" s="53" t="s">
        <v>700</v>
      </c>
      <c r="D115" s="53" t="s">
        <v>450</v>
      </c>
      <c r="E115" s="53"/>
      <c r="F115" s="53" t="s">
        <v>899</v>
      </c>
      <c r="G115" s="39" t="s">
        <v>450</v>
      </c>
      <c r="H115" s="39"/>
      <c r="I115" s="57" t="s">
        <v>509</v>
      </c>
      <c r="J115" s="1" t="s">
        <v>450</v>
      </c>
      <c r="K115" s="1"/>
      <c r="L115" s="1"/>
      <c r="M115" s="1"/>
      <c r="N115" s="1"/>
      <c r="O115" s="1"/>
      <c r="P115" s="1"/>
      <c r="Q115" s="1"/>
      <c r="R115" s="1" t="s">
        <v>509</v>
      </c>
      <c r="S115" s="1" t="s">
        <v>450</v>
      </c>
      <c r="T115" s="39"/>
      <c r="U115" s="39"/>
      <c r="V115" s="39"/>
      <c r="W115" s="39"/>
      <c r="X115" s="1"/>
      <c r="Y115" s="1"/>
      <c r="Z115" s="1"/>
      <c r="AA115" s="1"/>
      <c r="AB115" s="1"/>
      <c r="AC115" s="1"/>
      <c r="AD115" s="39"/>
      <c r="AE115" s="39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39"/>
      <c r="AV115" s="39"/>
      <c r="AW115" s="1"/>
      <c r="AX115" s="1"/>
      <c r="AY115" s="1"/>
    </row>
    <row r="116" spans="1:51" x14ac:dyDescent="0.3">
      <c r="A116" s="2" t="s">
        <v>223</v>
      </c>
      <c r="B116" s="3" t="s">
        <v>224</v>
      </c>
      <c r="C116" s="53" t="s">
        <v>784</v>
      </c>
      <c r="D116" s="53" t="s">
        <v>450</v>
      </c>
      <c r="E116" s="53"/>
      <c r="F116" s="53" t="s">
        <v>900</v>
      </c>
      <c r="G116" s="39" t="s">
        <v>450</v>
      </c>
      <c r="H116" s="39"/>
      <c r="I116" s="3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9"/>
      <c r="U116" s="39"/>
      <c r="V116" s="39"/>
      <c r="W116" s="39"/>
      <c r="X116" s="1"/>
      <c r="Y116" s="1"/>
      <c r="Z116" s="1"/>
      <c r="AA116" s="1"/>
      <c r="AB116" s="1"/>
      <c r="AC116" s="1"/>
      <c r="AD116" s="39"/>
      <c r="AE116" s="3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39"/>
      <c r="AV116" s="39"/>
      <c r="AW116" s="1"/>
      <c r="AX116" s="1"/>
      <c r="AY116" s="1"/>
    </row>
    <row r="117" spans="1:51" x14ac:dyDescent="0.3">
      <c r="A117" s="4" t="s">
        <v>225</v>
      </c>
      <c r="B117" s="5" t="s">
        <v>226</v>
      </c>
      <c r="C117" s="53" t="s">
        <v>701</v>
      </c>
      <c r="D117" s="53" t="s">
        <v>450</v>
      </c>
      <c r="E117" s="53"/>
      <c r="F117" s="53" t="s">
        <v>901</v>
      </c>
      <c r="G117" s="39" t="s">
        <v>450</v>
      </c>
      <c r="H117" s="39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9"/>
      <c r="U117" s="39"/>
      <c r="V117" s="39"/>
      <c r="W117" s="39"/>
      <c r="X117" s="1"/>
      <c r="Y117" s="1"/>
      <c r="Z117" s="1"/>
      <c r="AA117" s="1"/>
      <c r="AB117" s="1"/>
      <c r="AC117" s="1"/>
      <c r="AD117" s="39"/>
      <c r="AE117" s="39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39"/>
      <c r="AV117" s="39"/>
      <c r="AW117" s="1"/>
      <c r="AX117" s="1"/>
      <c r="AY117" s="1"/>
    </row>
    <row r="118" spans="1:51" x14ac:dyDescent="0.3">
      <c r="A118" s="4" t="s">
        <v>227</v>
      </c>
      <c r="B118" s="5" t="s">
        <v>228</v>
      </c>
      <c r="C118" s="53" t="s">
        <v>702</v>
      </c>
      <c r="D118" s="53" t="s">
        <v>450</v>
      </c>
      <c r="E118" s="53"/>
      <c r="F118" s="53" t="s">
        <v>902</v>
      </c>
      <c r="G118" s="39" t="s">
        <v>450</v>
      </c>
      <c r="H118" s="39"/>
      <c r="I118" s="39"/>
      <c r="J118" s="1"/>
      <c r="K118" s="1"/>
      <c r="L118" s="1"/>
      <c r="M118" s="1"/>
      <c r="N118" s="1"/>
      <c r="O118" s="1"/>
      <c r="P118" s="1"/>
      <c r="Q118" s="1"/>
      <c r="R118" s="61" t="s">
        <v>489</v>
      </c>
      <c r="S118" s="1" t="s">
        <v>489</v>
      </c>
      <c r="T118" s="39" t="s">
        <v>450</v>
      </c>
      <c r="U118" s="39"/>
      <c r="V118" s="39"/>
      <c r="W118" s="39"/>
      <c r="X118" s="1"/>
      <c r="Y118" s="1"/>
      <c r="Z118" s="1"/>
      <c r="AA118" s="1"/>
      <c r="AB118" s="1"/>
      <c r="AC118" s="1"/>
      <c r="AD118" s="39"/>
      <c r="AE118" s="39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39"/>
      <c r="AV118" s="39"/>
      <c r="AW118" s="1"/>
      <c r="AX118" s="1"/>
      <c r="AY118" s="1"/>
    </row>
    <row r="119" spans="1:51" x14ac:dyDescent="0.3">
      <c r="A119" s="24" t="s">
        <v>229</v>
      </c>
      <c r="B119" s="25" t="s">
        <v>230</v>
      </c>
      <c r="C119" s="53" t="s">
        <v>703</v>
      </c>
      <c r="D119" s="53" t="s">
        <v>450</v>
      </c>
      <c r="E119" s="53"/>
      <c r="F119" s="53" t="s">
        <v>903</v>
      </c>
      <c r="G119" s="39" t="s">
        <v>450</v>
      </c>
      <c r="H119" s="39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9"/>
      <c r="U119" s="39"/>
      <c r="V119" s="39"/>
      <c r="W119" s="39"/>
      <c r="X119" s="1"/>
      <c r="Y119" s="1"/>
      <c r="Z119" s="1"/>
      <c r="AA119" s="1"/>
      <c r="AB119" s="1"/>
      <c r="AC119" s="1"/>
      <c r="AD119" s="39"/>
      <c r="AE119" s="3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39"/>
      <c r="AV119" s="39"/>
      <c r="AW119" s="1"/>
      <c r="AX119" s="1"/>
      <c r="AY119" s="1"/>
    </row>
    <row r="120" spans="1:51" x14ac:dyDescent="0.3">
      <c r="A120" s="2" t="s">
        <v>231</v>
      </c>
      <c r="B120" s="3" t="s">
        <v>232</v>
      </c>
      <c r="C120" s="53" t="s">
        <v>704</v>
      </c>
      <c r="D120" s="53" t="s">
        <v>450</v>
      </c>
      <c r="E120" s="53"/>
      <c r="F120" s="53" t="s">
        <v>904</v>
      </c>
      <c r="G120" s="39" t="s">
        <v>450</v>
      </c>
      <c r="H120" s="39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9"/>
      <c r="U120" s="39"/>
      <c r="V120" s="39"/>
      <c r="W120" s="39"/>
      <c r="X120" s="1"/>
      <c r="Y120" s="1"/>
      <c r="Z120" s="1"/>
      <c r="AA120" s="1"/>
      <c r="AB120" s="1"/>
      <c r="AC120" s="1"/>
      <c r="AD120" s="39"/>
      <c r="AE120" s="3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39"/>
      <c r="AV120" s="39"/>
      <c r="AW120" s="1"/>
      <c r="AX120" s="1"/>
      <c r="AY120" s="1"/>
    </row>
    <row r="121" spans="1:51" x14ac:dyDescent="0.3">
      <c r="A121" s="4" t="s">
        <v>233</v>
      </c>
      <c r="B121" s="5" t="s">
        <v>234</v>
      </c>
      <c r="C121" s="53" t="s">
        <v>705</v>
      </c>
      <c r="D121" s="53" t="s">
        <v>450</v>
      </c>
      <c r="E121" s="53"/>
      <c r="F121" s="53" t="s">
        <v>905</v>
      </c>
      <c r="G121" s="39" t="s">
        <v>450</v>
      </c>
      <c r="H121" s="39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9"/>
      <c r="U121" s="39"/>
      <c r="V121" s="39"/>
      <c r="W121" s="39"/>
      <c r="X121" s="1"/>
      <c r="Y121" s="1"/>
      <c r="Z121" s="1"/>
      <c r="AA121" s="1"/>
      <c r="AB121" s="1"/>
      <c r="AC121" s="1"/>
      <c r="AD121" s="39"/>
      <c r="AE121" s="39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39"/>
      <c r="AV121" s="39"/>
      <c r="AW121" s="1"/>
      <c r="AX121" s="1"/>
      <c r="AY121" s="1"/>
    </row>
    <row r="122" spans="1:51" x14ac:dyDescent="0.3">
      <c r="A122" s="2" t="s">
        <v>235</v>
      </c>
      <c r="B122" s="3" t="s">
        <v>236</v>
      </c>
      <c r="C122" s="53" t="s">
        <v>706</v>
      </c>
      <c r="D122" s="53" t="s">
        <v>450</v>
      </c>
      <c r="E122" s="53"/>
      <c r="F122" s="53" t="s">
        <v>906</v>
      </c>
      <c r="G122" s="39" t="s">
        <v>450</v>
      </c>
      <c r="H122" s="39"/>
      <c r="I122" s="3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9"/>
      <c r="U122" s="39"/>
      <c r="V122" s="39"/>
      <c r="W122" s="39"/>
      <c r="X122" s="1"/>
      <c r="Y122" s="1"/>
      <c r="Z122" s="1"/>
      <c r="AA122" s="1"/>
      <c r="AB122" s="1"/>
      <c r="AC122" s="1"/>
      <c r="AD122" s="39"/>
      <c r="AE122" s="3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39"/>
      <c r="AV122" s="39"/>
      <c r="AW122" s="1"/>
      <c r="AX122" s="1"/>
      <c r="AY122" s="1"/>
    </row>
    <row r="123" spans="1:51" x14ac:dyDescent="0.3">
      <c r="A123" s="2" t="s">
        <v>237</v>
      </c>
      <c r="B123" s="3" t="s">
        <v>238</v>
      </c>
      <c r="C123" s="53" t="s">
        <v>707</v>
      </c>
      <c r="D123" s="53" t="s">
        <v>450</v>
      </c>
      <c r="E123" s="53"/>
      <c r="F123" s="53" t="s">
        <v>907</v>
      </c>
      <c r="G123" s="39" t="s">
        <v>450</v>
      </c>
      <c r="H123" s="39"/>
      <c r="I123" s="3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9"/>
      <c r="U123" s="39"/>
      <c r="V123" s="39"/>
      <c r="W123" s="39"/>
      <c r="X123" s="1"/>
      <c r="Y123" s="1"/>
      <c r="Z123" s="1"/>
      <c r="AA123" s="1"/>
      <c r="AB123" s="1"/>
      <c r="AC123" s="1"/>
      <c r="AD123" s="39"/>
      <c r="AE123" s="3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39"/>
      <c r="AV123" s="39"/>
      <c r="AW123" s="1"/>
      <c r="AX123" s="1"/>
      <c r="AY123" s="1"/>
    </row>
    <row r="124" spans="1:51" x14ac:dyDescent="0.3">
      <c r="A124" s="11" t="s">
        <v>239</v>
      </c>
      <c r="B124" s="12" t="s">
        <v>240</v>
      </c>
      <c r="C124" s="53" t="s">
        <v>708</v>
      </c>
      <c r="D124" s="53" t="s">
        <v>450</v>
      </c>
      <c r="E124" s="53"/>
      <c r="F124" s="53" t="s">
        <v>908</v>
      </c>
      <c r="G124" s="39" t="s">
        <v>450</v>
      </c>
      <c r="H124" s="39"/>
      <c r="I124" s="61" t="s">
        <v>575</v>
      </c>
      <c r="J124" s="1" t="s">
        <v>450</v>
      </c>
      <c r="K124" s="1"/>
      <c r="L124" s="1"/>
      <c r="M124" s="1"/>
      <c r="N124" s="1"/>
      <c r="O124" s="1"/>
      <c r="P124" s="1"/>
      <c r="Q124" s="1"/>
      <c r="R124" s="61" t="s">
        <v>575</v>
      </c>
      <c r="S124" s="1" t="s">
        <v>450</v>
      </c>
      <c r="T124" s="39"/>
      <c r="U124" s="39"/>
      <c r="V124" s="39"/>
      <c r="W124" s="39"/>
      <c r="X124" s="1"/>
      <c r="Y124" s="1"/>
      <c r="Z124" s="1"/>
      <c r="AA124" s="1"/>
      <c r="AB124" s="1"/>
      <c r="AC124" s="1"/>
      <c r="AD124" s="39"/>
      <c r="AE124" s="39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39"/>
      <c r="AV124" s="39"/>
      <c r="AW124" s="1"/>
      <c r="AX124" s="1"/>
      <c r="AY124" s="1"/>
    </row>
    <row r="125" spans="1:51" x14ac:dyDescent="0.3">
      <c r="A125" s="2" t="s">
        <v>241</v>
      </c>
      <c r="B125" s="3" t="s">
        <v>242</v>
      </c>
      <c r="C125" s="53" t="s">
        <v>709</v>
      </c>
      <c r="D125" s="53" t="s">
        <v>450</v>
      </c>
      <c r="E125" s="53"/>
      <c r="F125" s="53" t="s">
        <v>909</v>
      </c>
      <c r="G125" s="39" t="s">
        <v>450</v>
      </c>
      <c r="H125" s="39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9"/>
      <c r="U125" s="39"/>
      <c r="V125" s="39"/>
      <c r="W125" s="39"/>
      <c r="X125" s="1"/>
      <c r="Y125" s="1"/>
      <c r="Z125" s="1"/>
      <c r="AA125" s="1"/>
      <c r="AB125" s="1"/>
      <c r="AC125" s="1"/>
      <c r="AD125" s="39"/>
      <c r="AE125" s="39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39"/>
      <c r="AV125" s="39"/>
      <c r="AW125" s="1"/>
      <c r="AX125" s="1"/>
      <c r="AY125" s="1"/>
    </row>
    <row r="126" spans="1:51" x14ac:dyDescent="0.3">
      <c r="A126" s="11" t="s">
        <v>243</v>
      </c>
      <c r="B126" s="12" t="s">
        <v>244</v>
      </c>
      <c r="C126" s="53" t="s">
        <v>710</v>
      </c>
      <c r="D126" s="53" t="s">
        <v>450</v>
      </c>
      <c r="E126" s="53"/>
      <c r="F126" s="53" t="s">
        <v>910</v>
      </c>
      <c r="G126" s="57" t="s">
        <v>462</v>
      </c>
      <c r="H126" s="39" t="s">
        <v>450</v>
      </c>
      <c r="I126" s="3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7" t="s">
        <v>462</v>
      </c>
      <c r="U126" s="39" t="s">
        <v>450</v>
      </c>
      <c r="V126" s="39"/>
      <c r="W126" s="39"/>
      <c r="X126" s="61" t="s">
        <v>550</v>
      </c>
      <c r="Y126" s="1" t="s">
        <v>550</v>
      </c>
      <c r="Z126" s="1" t="s">
        <v>450</v>
      </c>
      <c r="AA126" s="1"/>
      <c r="AB126" s="1"/>
      <c r="AC126" s="1"/>
      <c r="AD126" s="39"/>
      <c r="AE126" s="3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59" t="s">
        <v>462</v>
      </c>
      <c r="AV126" s="39" t="s">
        <v>450</v>
      </c>
      <c r="AW126" s="1"/>
      <c r="AX126" s="1"/>
      <c r="AY126" s="1"/>
    </row>
    <row r="127" spans="1:51" x14ac:dyDescent="0.3">
      <c r="A127" s="2" t="s">
        <v>245</v>
      </c>
      <c r="B127" s="3" t="s">
        <v>246</v>
      </c>
      <c r="C127" s="53" t="s">
        <v>711</v>
      </c>
      <c r="D127" s="53" t="s">
        <v>450</v>
      </c>
      <c r="E127" s="53"/>
      <c r="F127" s="53" t="s">
        <v>911</v>
      </c>
      <c r="G127" s="39" t="s">
        <v>450</v>
      </c>
      <c r="H127" s="39"/>
      <c r="I127" s="3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9"/>
      <c r="U127" s="39"/>
      <c r="V127" s="39"/>
      <c r="W127" s="39"/>
      <c r="X127" s="1"/>
      <c r="Y127" s="1"/>
      <c r="Z127" s="1"/>
      <c r="AA127" s="1"/>
      <c r="AB127" s="1"/>
      <c r="AC127" s="1"/>
      <c r="AD127" s="39"/>
      <c r="AE127" s="39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39"/>
      <c r="AV127" s="39"/>
      <c r="AW127" s="1"/>
      <c r="AX127" s="1"/>
      <c r="AY127" s="1"/>
    </row>
    <row r="128" spans="1:51" x14ac:dyDescent="0.3">
      <c r="A128" s="24" t="s">
        <v>247</v>
      </c>
      <c r="B128" s="25" t="s">
        <v>248</v>
      </c>
      <c r="C128" s="53" t="s">
        <v>712</v>
      </c>
      <c r="D128" s="53" t="s">
        <v>450</v>
      </c>
      <c r="E128" s="53"/>
      <c r="F128" s="53" t="s">
        <v>912</v>
      </c>
      <c r="G128" s="39" t="s">
        <v>450</v>
      </c>
      <c r="H128" s="39"/>
      <c r="I128" s="3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9"/>
      <c r="U128" s="39"/>
      <c r="V128" s="39"/>
      <c r="W128" s="39"/>
      <c r="X128" s="1"/>
      <c r="Y128" s="1"/>
      <c r="Z128" s="1"/>
      <c r="AA128" s="1"/>
      <c r="AB128" s="1"/>
      <c r="AC128" s="1"/>
      <c r="AD128" s="39"/>
      <c r="AE128" s="39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39"/>
      <c r="AV128" s="39"/>
      <c r="AW128" s="1"/>
      <c r="AX128" s="1"/>
      <c r="AY128" s="1"/>
    </row>
    <row r="129" spans="1:51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913</v>
      </c>
      <c r="G129" s="39" t="s">
        <v>450</v>
      </c>
      <c r="H129" s="39"/>
      <c r="I129" s="3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9"/>
      <c r="U129" s="39"/>
      <c r="V129" s="39"/>
      <c r="W129" s="39"/>
      <c r="X129" s="1"/>
      <c r="Y129" s="1"/>
      <c r="Z129" s="1"/>
      <c r="AA129" s="1"/>
      <c r="AB129" s="1"/>
      <c r="AC129" s="1"/>
      <c r="AD129" s="39"/>
      <c r="AE129" s="3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39"/>
      <c r="AV129" s="39"/>
      <c r="AW129" s="1"/>
      <c r="AX129" s="1"/>
      <c r="AY129" s="1"/>
    </row>
    <row r="130" spans="1:51" x14ac:dyDescent="0.3">
      <c r="A130" s="13" t="s">
        <v>251</v>
      </c>
      <c r="B130" s="14" t="s">
        <v>252</v>
      </c>
      <c r="C130" s="53" t="s">
        <v>713</v>
      </c>
      <c r="D130" s="53" t="s">
        <v>450</v>
      </c>
      <c r="E130" s="53"/>
      <c r="F130" s="53" t="s">
        <v>914</v>
      </c>
      <c r="G130" s="57" t="s">
        <v>546</v>
      </c>
      <c r="H130" s="39" t="s">
        <v>450</v>
      </c>
      <c r="I130" s="39"/>
      <c r="J130" s="1" t="s">
        <v>546</v>
      </c>
      <c r="K130" s="1" t="s">
        <v>450</v>
      </c>
      <c r="L130" s="1" t="s">
        <v>546</v>
      </c>
      <c r="M130" s="1" t="s">
        <v>450</v>
      </c>
      <c r="N130" s="1" t="s">
        <v>546</v>
      </c>
      <c r="O130" s="1" t="s">
        <v>450</v>
      </c>
      <c r="P130" s="1" t="s">
        <v>546</v>
      </c>
      <c r="Q130" s="1" t="s">
        <v>450</v>
      </c>
      <c r="R130" s="1"/>
      <c r="S130" s="1"/>
      <c r="T130" s="39" t="s">
        <v>546</v>
      </c>
      <c r="U130" s="39" t="s">
        <v>450</v>
      </c>
      <c r="V130" s="39"/>
      <c r="W130" s="39"/>
      <c r="X130" s="1" t="s">
        <v>546</v>
      </c>
      <c r="Y130" s="1" t="s">
        <v>450</v>
      </c>
      <c r="Z130" s="1"/>
      <c r="AA130" s="1"/>
      <c r="AB130" s="1" t="s">
        <v>546</v>
      </c>
      <c r="AC130" s="1" t="s">
        <v>450</v>
      </c>
      <c r="AD130" s="39"/>
      <c r="AE130" s="39"/>
      <c r="AF130" s="1"/>
      <c r="AG130" s="1"/>
      <c r="AH130" s="1"/>
      <c r="AI130" s="1"/>
      <c r="AJ130" s="1"/>
      <c r="AK130" s="1" t="s">
        <v>546</v>
      </c>
      <c r="AL130" s="1" t="s">
        <v>450</v>
      </c>
      <c r="AM130" s="1"/>
      <c r="AN130" s="1"/>
      <c r="AO130" s="1" t="s">
        <v>546</v>
      </c>
      <c r="AP130" s="1" t="s">
        <v>450</v>
      </c>
      <c r="AQ130" s="1"/>
      <c r="AR130" s="1"/>
      <c r="AS130" s="1"/>
      <c r="AT130" s="1"/>
      <c r="AU130" s="39" t="s">
        <v>546</v>
      </c>
      <c r="AV130" s="39" t="s">
        <v>450</v>
      </c>
      <c r="AW130" s="1"/>
      <c r="AX130" s="1"/>
      <c r="AY130" s="1"/>
    </row>
    <row r="131" spans="1:51" x14ac:dyDescent="0.3">
      <c r="A131" s="24" t="s">
        <v>253</v>
      </c>
      <c r="B131" s="25" t="s">
        <v>254</v>
      </c>
      <c r="C131" s="53" t="s">
        <v>714</v>
      </c>
      <c r="D131" s="53" t="s">
        <v>450</v>
      </c>
      <c r="E131" s="53"/>
      <c r="F131" s="53" t="s">
        <v>915</v>
      </c>
      <c r="G131" s="39" t="s">
        <v>576</v>
      </c>
      <c r="H131" s="39" t="s">
        <v>450</v>
      </c>
      <c r="I131" s="39" t="s">
        <v>576</v>
      </c>
      <c r="J131" s="1" t="s">
        <v>450</v>
      </c>
      <c r="K131" s="1"/>
      <c r="L131" s="1"/>
      <c r="M131" s="1"/>
      <c r="N131" s="1"/>
      <c r="O131" s="1"/>
      <c r="P131" s="1"/>
      <c r="Q131" s="1"/>
      <c r="R131" s="61" t="s">
        <v>577</v>
      </c>
      <c r="S131" s="1" t="s">
        <v>450</v>
      </c>
      <c r="T131" s="39"/>
      <c r="U131" s="39"/>
      <c r="V131" s="39" t="s">
        <v>576</v>
      </c>
      <c r="W131" s="39" t="s">
        <v>450</v>
      </c>
      <c r="X131" s="1"/>
      <c r="Y131" s="1"/>
      <c r="Z131" s="1"/>
      <c r="AA131" s="1"/>
      <c r="AB131" s="1"/>
      <c r="AC131" s="1"/>
      <c r="AD131" s="39"/>
      <c r="AE131" s="39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39" t="s">
        <v>576</v>
      </c>
      <c r="AV131" s="39" t="s">
        <v>450</v>
      </c>
      <c r="AW131" s="1"/>
      <c r="AX131" s="1"/>
      <c r="AY131" s="1"/>
    </row>
    <row r="132" spans="1:51" x14ac:dyDescent="0.3">
      <c r="A132" s="4" t="s">
        <v>255</v>
      </c>
      <c r="B132" s="5" t="s">
        <v>256</v>
      </c>
      <c r="C132" s="53" t="s">
        <v>715</v>
      </c>
      <c r="D132" s="53" t="s">
        <v>450</v>
      </c>
      <c r="E132" s="54"/>
      <c r="F132" s="53" t="s">
        <v>916</v>
      </c>
      <c r="G132" s="57" t="s">
        <v>474</v>
      </c>
      <c r="H132" s="39" t="s">
        <v>474</v>
      </c>
      <c r="I132" s="39" t="s">
        <v>474</v>
      </c>
      <c r="J132" s="1" t="s">
        <v>474</v>
      </c>
      <c r="K132" s="1" t="s">
        <v>450</v>
      </c>
      <c r="L132" s="1" t="s">
        <v>474</v>
      </c>
      <c r="M132" s="1" t="s">
        <v>450</v>
      </c>
      <c r="N132" s="1"/>
      <c r="O132" s="1"/>
      <c r="P132" s="1" t="s">
        <v>474</v>
      </c>
      <c r="Q132" s="1" t="s">
        <v>450</v>
      </c>
      <c r="R132" s="1" t="s">
        <v>474</v>
      </c>
      <c r="S132" s="1" t="s">
        <v>450</v>
      </c>
      <c r="T132" s="39" t="s">
        <v>474</v>
      </c>
      <c r="U132" s="39" t="s">
        <v>450</v>
      </c>
      <c r="V132" s="39"/>
      <c r="W132" s="39"/>
      <c r="X132" s="1" t="s">
        <v>474</v>
      </c>
      <c r="Y132" s="1" t="s">
        <v>450</v>
      </c>
      <c r="Z132" s="1" t="s">
        <v>474</v>
      </c>
      <c r="AA132" s="1" t="s">
        <v>450</v>
      </c>
      <c r="AB132" s="1"/>
      <c r="AC132" s="1"/>
      <c r="AD132" s="39"/>
      <c r="AE132" s="39"/>
      <c r="AF132" s="1"/>
      <c r="AG132" s="1"/>
      <c r="AH132" s="1"/>
      <c r="AI132" s="1"/>
      <c r="AJ132" s="1"/>
      <c r="AK132" s="1"/>
      <c r="AL132" s="1"/>
      <c r="AM132" s="1"/>
      <c r="AN132" s="1"/>
      <c r="AO132" s="1" t="s">
        <v>474</v>
      </c>
      <c r="AP132" s="1" t="s">
        <v>450</v>
      </c>
      <c r="AQ132" s="1"/>
      <c r="AR132" s="1"/>
      <c r="AS132" s="1"/>
      <c r="AT132" s="1"/>
      <c r="AU132" s="39"/>
      <c r="AV132" s="39"/>
      <c r="AW132" s="1"/>
      <c r="AX132" s="1"/>
      <c r="AY132" s="1"/>
    </row>
    <row r="133" spans="1:51" x14ac:dyDescent="0.3">
      <c r="A133" s="22" t="s">
        <v>257</v>
      </c>
      <c r="B133" s="23" t="s">
        <v>258</v>
      </c>
      <c r="C133" s="53" t="s">
        <v>716</v>
      </c>
      <c r="D133" s="53" t="s">
        <v>450</v>
      </c>
      <c r="E133" s="53"/>
      <c r="F133" s="53" t="s">
        <v>917</v>
      </c>
      <c r="G133" s="39" t="s">
        <v>450</v>
      </c>
      <c r="H133" s="39"/>
      <c r="I133" s="3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9"/>
      <c r="U133" s="39"/>
      <c r="V133" s="39"/>
      <c r="W133" s="39"/>
      <c r="X133" s="1"/>
      <c r="Y133" s="1"/>
      <c r="Z133" s="1"/>
      <c r="AA133" s="1"/>
      <c r="AB133" s="1"/>
      <c r="AC133" s="1"/>
      <c r="AD133" s="39"/>
      <c r="AE133" s="3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39"/>
      <c r="AV133" s="39"/>
      <c r="AW133" s="1"/>
      <c r="AX133" s="1"/>
      <c r="AY133" s="1"/>
    </row>
    <row r="134" spans="1:51" x14ac:dyDescent="0.3">
      <c r="A134" s="2" t="s">
        <v>259</v>
      </c>
      <c r="B134" s="3" t="s">
        <v>260</v>
      </c>
      <c r="C134" s="53" t="s">
        <v>717</v>
      </c>
      <c r="D134" s="53" t="s">
        <v>450</v>
      </c>
      <c r="E134" s="53"/>
      <c r="F134" s="53" t="s">
        <v>918</v>
      </c>
      <c r="G134" s="39" t="s">
        <v>450</v>
      </c>
      <c r="H134" s="39"/>
      <c r="I134" s="3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9"/>
      <c r="U134" s="39"/>
      <c r="V134" s="39"/>
      <c r="W134" s="39"/>
      <c r="X134" s="1"/>
      <c r="Y134" s="1"/>
      <c r="Z134" s="1"/>
      <c r="AA134" s="1"/>
      <c r="AB134" s="1"/>
      <c r="AC134" s="1"/>
      <c r="AD134" s="39"/>
      <c r="AE134" s="39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39"/>
      <c r="AV134" s="39"/>
      <c r="AW134" s="1"/>
      <c r="AX134" s="1"/>
      <c r="AY134" s="1"/>
    </row>
    <row r="135" spans="1:51" x14ac:dyDescent="0.3">
      <c r="A135" s="22" t="s">
        <v>261</v>
      </c>
      <c r="B135" s="23" t="s">
        <v>262</v>
      </c>
      <c r="C135" s="53" t="s">
        <v>718</v>
      </c>
      <c r="D135" s="53" t="s">
        <v>450</v>
      </c>
      <c r="E135" s="53"/>
      <c r="F135" s="53" t="s">
        <v>919</v>
      </c>
      <c r="G135" s="39" t="s">
        <v>450</v>
      </c>
      <c r="H135" s="39"/>
      <c r="I135" s="3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9"/>
      <c r="U135" s="39"/>
      <c r="V135" s="39"/>
      <c r="W135" s="39"/>
      <c r="X135" s="1"/>
      <c r="Y135" s="1"/>
      <c r="Z135" s="1"/>
      <c r="AA135" s="1"/>
      <c r="AB135" s="1"/>
      <c r="AC135" s="1"/>
      <c r="AD135" s="39"/>
      <c r="AE135" s="3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39"/>
      <c r="AV135" s="39"/>
      <c r="AW135" s="1"/>
      <c r="AX135" s="1"/>
      <c r="AY135" s="1"/>
    </row>
    <row r="136" spans="1:51" x14ac:dyDescent="0.3">
      <c r="A136" s="2" t="s">
        <v>263</v>
      </c>
      <c r="B136" s="3" t="s">
        <v>264</v>
      </c>
      <c r="C136" s="53" t="s">
        <v>719</v>
      </c>
      <c r="D136" s="53" t="s">
        <v>450</v>
      </c>
      <c r="E136" s="53"/>
      <c r="F136" s="53" t="s">
        <v>920</v>
      </c>
      <c r="G136" s="39" t="s">
        <v>450</v>
      </c>
      <c r="H136" s="39"/>
      <c r="I136" s="3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9"/>
      <c r="U136" s="39"/>
      <c r="V136" s="39"/>
      <c r="W136" s="39"/>
      <c r="X136" s="1"/>
      <c r="Y136" s="1"/>
      <c r="Z136" s="1"/>
      <c r="AA136" s="1"/>
      <c r="AB136" s="1"/>
      <c r="AC136" s="1"/>
      <c r="AD136" s="39"/>
      <c r="AE136" s="3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39"/>
      <c r="AV136" s="39"/>
      <c r="AW136" s="1"/>
      <c r="AX136" s="1"/>
      <c r="AY136" s="1"/>
    </row>
    <row r="137" spans="1:51" x14ac:dyDescent="0.3">
      <c r="A137" s="4" t="s">
        <v>265</v>
      </c>
      <c r="B137" s="5" t="s">
        <v>266</v>
      </c>
      <c r="C137" s="53" t="s">
        <v>720</v>
      </c>
      <c r="D137" s="53" t="s">
        <v>450</v>
      </c>
      <c r="E137" s="53"/>
      <c r="F137" s="53" t="s">
        <v>921</v>
      </c>
      <c r="G137" s="39" t="s">
        <v>450</v>
      </c>
      <c r="H137" s="39"/>
      <c r="I137" s="39"/>
      <c r="J137" s="1"/>
      <c r="K137" s="1"/>
      <c r="L137" s="1"/>
      <c r="M137" s="1"/>
      <c r="N137" s="1"/>
      <c r="O137" s="1"/>
      <c r="P137" s="1"/>
      <c r="Q137" s="1"/>
      <c r="R137" s="61" t="s">
        <v>492</v>
      </c>
      <c r="S137" s="1" t="s">
        <v>450</v>
      </c>
      <c r="T137" s="39"/>
      <c r="U137" s="39"/>
      <c r="V137" s="39"/>
      <c r="W137" s="39"/>
      <c r="X137" s="1"/>
      <c r="Y137" s="1"/>
      <c r="Z137" s="1"/>
      <c r="AA137" s="1"/>
      <c r="AB137" s="1"/>
      <c r="AC137" s="1"/>
      <c r="AD137" s="39"/>
      <c r="AE137" s="39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39"/>
      <c r="AV137" s="39"/>
      <c r="AW137" s="1"/>
      <c r="AX137" s="1"/>
      <c r="AY137" s="1"/>
    </row>
    <row r="138" spans="1:51" x14ac:dyDescent="0.3">
      <c r="A138" s="19" t="s">
        <v>267</v>
      </c>
      <c r="B138" s="20" t="s">
        <v>268</v>
      </c>
      <c r="C138" s="53" t="s">
        <v>721</v>
      </c>
      <c r="D138" s="53" t="s">
        <v>450</v>
      </c>
      <c r="E138" s="53"/>
      <c r="F138" s="53" t="s">
        <v>922</v>
      </c>
      <c r="G138" s="39" t="s">
        <v>450</v>
      </c>
      <c r="H138" s="39"/>
      <c r="I138" s="57" t="s">
        <v>539</v>
      </c>
      <c r="J138" s="1" t="s">
        <v>450</v>
      </c>
      <c r="K138" s="1"/>
      <c r="L138" s="1"/>
      <c r="M138" s="1"/>
      <c r="N138" s="1"/>
      <c r="O138" s="1"/>
      <c r="P138" s="1"/>
      <c r="Q138" s="1"/>
      <c r="R138" s="1" t="s">
        <v>539</v>
      </c>
      <c r="S138" s="1" t="s">
        <v>450</v>
      </c>
      <c r="T138" s="39"/>
      <c r="U138" s="39"/>
      <c r="V138" s="39"/>
      <c r="W138" s="39"/>
      <c r="X138" s="1"/>
      <c r="Y138" s="1"/>
      <c r="Z138" s="1"/>
      <c r="AA138" s="1"/>
      <c r="AB138" s="1"/>
      <c r="AC138" s="1"/>
      <c r="AD138" s="39"/>
      <c r="AE138" s="39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39"/>
      <c r="AV138" s="39"/>
      <c r="AW138" s="1"/>
      <c r="AX138" s="1"/>
      <c r="AY138" s="1"/>
    </row>
    <row r="139" spans="1:51" x14ac:dyDescent="0.3">
      <c r="A139" s="17" t="s">
        <v>269</v>
      </c>
      <c r="B139" s="18" t="s">
        <v>270</v>
      </c>
      <c r="C139" s="53" t="s">
        <v>722</v>
      </c>
      <c r="D139" s="53" t="s">
        <v>450</v>
      </c>
      <c r="E139" s="53"/>
      <c r="F139" s="53" t="s">
        <v>923</v>
      </c>
      <c r="G139" s="39" t="s">
        <v>450</v>
      </c>
      <c r="H139" s="39"/>
      <c r="I139" s="3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9"/>
      <c r="U139" s="39"/>
      <c r="V139" s="39"/>
      <c r="W139" s="39"/>
      <c r="X139" s="1"/>
      <c r="Y139" s="1"/>
      <c r="Z139" s="1"/>
      <c r="AA139" s="1"/>
      <c r="AB139" s="1"/>
      <c r="AC139" s="1"/>
      <c r="AD139" s="39"/>
      <c r="AE139" s="39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39"/>
      <c r="AV139" s="39"/>
      <c r="AW139" s="1"/>
      <c r="AX139" s="1"/>
      <c r="AY139" s="1"/>
    </row>
    <row r="140" spans="1:51" x14ac:dyDescent="0.3">
      <c r="A140" s="15" t="s">
        <v>271</v>
      </c>
      <c r="B140" s="16" t="s">
        <v>272</v>
      </c>
      <c r="C140" s="53" t="s">
        <v>723</v>
      </c>
      <c r="D140" s="53" t="s">
        <v>450</v>
      </c>
      <c r="E140" s="53"/>
      <c r="F140" s="53" t="s">
        <v>924</v>
      </c>
      <c r="G140" s="39" t="s">
        <v>450</v>
      </c>
      <c r="H140" s="39"/>
      <c r="I140" s="39"/>
      <c r="J140" s="1"/>
      <c r="K140" s="1"/>
      <c r="L140" s="1"/>
      <c r="M140" s="1"/>
      <c r="N140" s="1"/>
      <c r="O140" s="1"/>
      <c r="P140" s="1"/>
      <c r="Q140" s="1"/>
      <c r="R140" s="61" t="s">
        <v>475</v>
      </c>
      <c r="S140" s="1" t="s">
        <v>475</v>
      </c>
      <c r="T140" s="39" t="s">
        <v>450</v>
      </c>
      <c r="U140" s="39"/>
      <c r="V140" s="39"/>
      <c r="W140" s="39"/>
      <c r="X140" s="1"/>
      <c r="Y140" s="1"/>
      <c r="Z140" s="1"/>
      <c r="AA140" s="1"/>
      <c r="AB140" s="1"/>
      <c r="AC140" s="1"/>
      <c r="AD140" s="39"/>
      <c r="AE140" s="39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39"/>
      <c r="AV140" s="39"/>
      <c r="AW140" s="1"/>
      <c r="AX140" s="1"/>
      <c r="AY140" s="1"/>
    </row>
    <row r="141" spans="1:51" x14ac:dyDescent="0.3">
      <c r="A141" s="13" t="s">
        <v>273</v>
      </c>
      <c r="B141" s="14" t="s">
        <v>274</v>
      </c>
      <c r="C141" s="53" t="s">
        <v>724</v>
      </c>
      <c r="D141" s="53" t="s">
        <v>450</v>
      </c>
      <c r="E141" s="53"/>
      <c r="F141" s="53" t="s">
        <v>925</v>
      </c>
      <c r="G141" s="59" t="s">
        <v>476</v>
      </c>
      <c r="H141" s="39" t="s">
        <v>450</v>
      </c>
      <c r="I141" s="39"/>
      <c r="J141" s="1"/>
      <c r="K141" s="1"/>
      <c r="L141" s="1"/>
      <c r="M141" s="1"/>
      <c r="N141" s="1"/>
      <c r="O141" s="1"/>
      <c r="P141" s="1"/>
      <c r="Q141" s="1"/>
      <c r="R141" s="59" t="s">
        <v>476</v>
      </c>
      <c r="S141" s="1" t="s">
        <v>450</v>
      </c>
      <c r="T141" s="39"/>
      <c r="U141" s="39"/>
      <c r="V141" s="39"/>
      <c r="W141" s="39"/>
      <c r="X141" s="1"/>
      <c r="Y141" s="1"/>
      <c r="Z141" s="1"/>
      <c r="AA141" s="1"/>
      <c r="AB141" s="1"/>
      <c r="AC141" s="1"/>
      <c r="AD141" s="39"/>
      <c r="AE141" s="39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39"/>
      <c r="AV141" s="39"/>
      <c r="AW141" s="1"/>
      <c r="AX141" s="1"/>
      <c r="AY141" s="1"/>
    </row>
    <row r="142" spans="1:51" x14ac:dyDescent="0.3">
      <c r="A142" s="4" t="s">
        <v>275</v>
      </c>
      <c r="B142" s="5" t="s">
        <v>276</v>
      </c>
      <c r="C142" s="53" t="s">
        <v>725</v>
      </c>
      <c r="D142" s="53" t="s">
        <v>450</v>
      </c>
      <c r="E142" s="53"/>
      <c r="F142" s="53" t="s">
        <v>926</v>
      </c>
      <c r="G142" s="39" t="s">
        <v>450</v>
      </c>
      <c r="H142" s="39"/>
      <c r="I142" s="3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9"/>
      <c r="U142" s="39"/>
      <c r="V142" s="39"/>
      <c r="W142" s="39"/>
      <c r="X142" s="1"/>
      <c r="Y142" s="1"/>
      <c r="Z142" s="1"/>
      <c r="AA142" s="1"/>
      <c r="AB142" s="1"/>
      <c r="AC142" s="1"/>
      <c r="AD142" s="39"/>
      <c r="AE142" s="39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39"/>
      <c r="AV142" s="39"/>
      <c r="AW142" s="1"/>
      <c r="AX142" s="1"/>
      <c r="AY142" s="1"/>
    </row>
    <row r="143" spans="1:51" x14ac:dyDescent="0.3">
      <c r="A143" s="13" t="s">
        <v>277</v>
      </c>
      <c r="B143" s="14" t="s">
        <v>278</v>
      </c>
      <c r="C143" s="53" t="s">
        <v>726</v>
      </c>
      <c r="D143" s="53" t="s">
        <v>450</v>
      </c>
      <c r="E143" s="53"/>
      <c r="F143" s="53" t="s">
        <v>927</v>
      </c>
      <c r="G143" s="39" t="s">
        <v>545</v>
      </c>
      <c r="H143" s="39" t="s">
        <v>450</v>
      </c>
      <c r="I143" s="57" t="s">
        <v>540</v>
      </c>
      <c r="J143" s="1" t="s">
        <v>450</v>
      </c>
      <c r="K143" s="1"/>
      <c r="L143" s="1"/>
      <c r="M143" s="1"/>
      <c r="N143" s="1"/>
      <c r="O143" s="1"/>
      <c r="P143" s="1"/>
      <c r="Q143" s="1"/>
      <c r="R143" s="1" t="s">
        <v>540</v>
      </c>
      <c r="S143" s="1" t="s">
        <v>450</v>
      </c>
      <c r="T143" s="39"/>
      <c r="U143" s="39"/>
      <c r="V143" s="39"/>
      <c r="W143" s="39"/>
      <c r="X143" s="1"/>
      <c r="Y143" s="1"/>
      <c r="Z143" s="1"/>
      <c r="AA143" s="1"/>
      <c r="AB143" s="1"/>
      <c r="AC143" s="1"/>
      <c r="AD143" s="39"/>
      <c r="AE143" s="39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39"/>
      <c r="AV143" s="39"/>
      <c r="AW143" s="1"/>
      <c r="AX143" s="1"/>
      <c r="AY143" s="1"/>
    </row>
    <row r="144" spans="1:51" x14ac:dyDescent="0.3">
      <c r="A144" s="2" t="s">
        <v>279</v>
      </c>
      <c r="B144" s="3" t="s">
        <v>280</v>
      </c>
      <c r="C144" s="53" t="s">
        <v>727</v>
      </c>
      <c r="D144" s="53" t="s">
        <v>450</v>
      </c>
      <c r="E144" s="53"/>
      <c r="F144" s="53" t="s">
        <v>928</v>
      </c>
      <c r="G144" s="39" t="s">
        <v>450</v>
      </c>
      <c r="H144" s="39"/>
      <c r="I144" s="3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9"/>
      <c r="U144" s="39"/>
      <c r="V144" s="39"/>
      <c r="W144" s="39"/>
      <c r="X144" s="1"/>
      <c r="Y144" s="1"/>
      <c r="Z144" s="1"/>
      <c r="AA144" s="1"/>
      <c r="AB144" s="1"/>
      <c r="AC144" s="1"/>
      <c r="AD144" s="39"/>
      <c r="AE144" s="39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39"/>
      <c r="AV144" s="39"/>
      <c r="AW144" s="1"/>
      <c r="AX144" s="1"/>
      <c r="AY144" s="1"/>
    </row>
    <row r="145" spans="1:51" x14ac:dyDescent="0.3">
      <c r="A145" s="2" t="s">
        <v>281</v>
      </c>
      <c r="B145" s="3" t="s">
        <v>282</v>
      </c>
      <c r="C145" s="53" t="s">
        <v>728</v>
      </c>
      <c r="D145" s="53" t="s">
        <v>450</v>
      </c>
      <c r="E145" s="53"/>
      <c r="F145" s="53" t="s">
        <v>929</v>
      </c>
      <c r="G145" s="39" t="s">
        <v>450</v>
      </c>
      <c r="H145" s="39"/>
      <c r="I145" s="3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9"/>
      <c r="U145" s="39"/>
      <c r="V145" s="39"/>
      <c r="W145" s="39"/>
      <c r="X145" s="1"/>
      <c r="Y145" s="1"/>
      <c r="Z145" s="1"/>
      <c r="AA145" s="1"/>
      <c r="AB145" s="1"/>
      <c r="AC145" s="1"/>
      <c r="AD145" s="39"/>
      <c r="AE145" s="3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39"/>
      <c r="AV145" s="39"/>
      <c r="AW145" s="1"/>
      <c r="AX145" s="1"/>
      <c r="AY145" s="1"/>
    </row>
    <row r="146" spans="1:51" x14ac:dyDescent="0.3">
      <c r="A146" s="22" t="s">
        <v>283</v>
      </c>
      <c r="B146" s="23" t="s">
        <v>284</v>
      </c>
      <c r="C146" s="53" t="s">
        <v>729</v>
      </c>
      <c r="D146" s="53" t="s">
        <v>450</v>
      </c>
      <c r="E146" s="53"/>
      <c r="F146" s="53" t="s">
        <v>930</v>
      </c>
      <c r="G146" s="39" t="s">
        <v>450</v>
      </c>
      <c r="H146" s="39"/>
      <c r="I146" s="3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9"/>
      <c r="U146" s="39"/>
      <c r="V146" s="39"/>
      <c r="W146" s="39"/>
      <c r="X146" s="1"/>
      <c r="Y146" s="1"/>
      <c r="Z146" s="1"/>
      <c r="AA146" s="1"/>
      <c r="AB146" s="1"/>
      <c r="AC146" s="1"/>
      <c r="AD146" s="39"/>
      <c r="AE146" s="39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39"/>
      <c r="AV146" s="39"/>
      <c r="AW146" s="1"/>
      <c r="AX146" s="1"/>
      <c r="AY146" s="1"/>
    </row>
    <row r="147" spans="1:51" x14ac:dyDescent="0.3">
      <c r="A147" s="2" t="s">
        <v>285</v>
      </c>
      <c r="B147" s="3" t="s">
        <v>286</v>
      </c>
      <c r="C147" s="53" t="s">
        <v>730</v>
      </c>
      <c r="D147" s="53" t="s">
        <v>450</v>
      </c>
      <c r="E147" s="53"/>
      <c r="F147" s="53" t="s">
        <v>931</v>
      </c>
      <c r="G147" s="39" t="s">
        <v>450</v>
      </c>
      <c r="H147" s="39"/>
      <c r="I147" s="3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9"/>
      <c r="U147" s="39"/>
      <c r="V147" s="39"/>
      <c r="W147" s="39"/>
      <c r="X147" s="1"/>
      <c r="Y147" s="1"/>
      <c r="Z147" s="1"/>
      <c r="AA147" s="1"/>
      <c r="AB147" s="1"/>
      <c r="AC147" s="1"/>
      <c r="AD147" s="39"/>
      <c r="AE147" s="39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39"/>
      <c r="AV147" s="39"/>
      <c r="AW147" s="1"/>
      <c r="AX147" s="1"/>
      <c r="AY147" s="1"/>
    </row>
    <row r="148" spans="1:51" x14ac:dyDescent="0.3">
      <c r="A148" s="2" t="s">
        <v>287</v>
      </c>
      <c r="B148" s="3" t="s">
        <v>288</v>
      </c>
      <c r="C148" s="53" t="s">
        <v>731</v>
      </c>
      <c r="D148" s="53" t="s">
        <v>450</v>
      </c>
      <c r="E148" s="53"/>
      <c r="F148" s="53" t="s">
        <v>932</v>
      </c>
      <c r="G148" s="39" t="s">
        <v>450</v>
      </c>
      <c r="H148" s="39"/>
      <c r="I148" s="3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9"/>
      <c r="U148" s="39"/>
      <c r="V148" s="39"/>
      <c r="W148" s="39"/>
      <c r="X148" s="1"/>
      <c r="Y148" s="1"/>
      <c r="Z148" s="1"/>
      <c r="AA148" s="1"/>
      <c r="AB148" s="1"/>
      <c r="AC148" s="1"/>
      <c r="AD148" s="39"/>
      <c r="AE148" s="39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39"/>
      <c r="AV148" s="39"/>
      <c r="AW148" s="1"/>
      <c r="AX148" s="1"/>
      <c r="AY148" s="1"/>
    </row>
    <row r="149" spans="1:51" x14ac:dyDescent="0.3">
      <c r="A149" s="2" t="s">
        <v>289</v>
      </c>
      <c r="B149" s="3" t="s">
        <v>290</v>
      </c>
      <c r="C149" s="53" t="s">
        <v>732</v>
      </c>
      <c r="D149" s="53" t="s">
        <v>450</v>
      </c>
      <c r="E149" s="53"/>
      <c r="F149" s="53" t="s">
        <v>933</v>
      </c>
      <c r="G149" s="39" t="s">
        <v>450</v>
      </c>
      <c r="H149" s="39"/>
      <c r="I149" s="3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9"/>
      <c r="U149" s="39"/>
      <c r="V149" s="39"/>
      <c r="W149" s="39"/>
      <c r="X149" s="1"/>
      <c r="Y149" s="1"/>
      <c r="Z149" s="1"/>
      <c r="AA149" s="1"/>
      <c r="AB149" s="1"/>
      <c r="AC149" s="1"/>
      <c r="AD149" s="39"/>
      <c r="AE149" s="39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39"/>
      <c r="AV149" s="39"/>
      <c r="AW149" s="1"/>
      <c r="AX149" s="1"/>
      <c r="AY149" s="1"/>
    </row>
    <row r="150" spans="1:51" x14ac:dyDescent="0.3">
      <c r="A150" s="17" t="s">
        <v>291</v>
      </c>
      <c r="B150" s="18" t="s">
        <v>292</v>
      </c>
      <c r="C150" s="53" t="s">
        <v>733</v>
      </c>
      <c r="D150" s="53" t="s">
        <v>450</v>
      </c>
      <c r="E150" s="53"/>
      <c r="F150" s="53" t="s">
        <v>934</v>
      </c>
      <c r="G150" s="39" t="s">
        <v>450</v>
      </c>
      <c r="H150" s="39"/>
      <c r="I150" s="39"/>
      <c r="J150" s="1"/>
      <c r="K150" s="1"/>
      <c r="L150" s="1"/>
      <c r="M150" s="1"/>
      <c r="N150" s="1"/>
      <c r="O150" s="1"/>
      <c r="P150" s="1"/>
      <c r="Q150" s="1"/>
      <c r="R150" s="61" t="s">
        <v>578</v>
      </c>
      <c r="S150" s="1" t="s">
        <v>450</v>
      </c>
      <c r="T150" s="39"/>
      <c r="U150" s="39"/>
      <c r="V150" s="39"/>
      <c r="W150" s="39"/>
      <c r="X150" s="1"/>
      <c r="Y150" s="1"/>
      <c r="Z150" s="1"/>
      <c r="AA150" s="1"/>
      <c r="AB150" s="1"/>
      <c r="AC150" s="1"/>
      <c r="AD150" s="39"/>
      <c r="AE150" s="39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39"/>
      <c r="AV150" s="39"/>
      <c r="AW150" s="1"/>
      <c r="AX150" s="1"/>
      <c r="AY150" s="1"/>
    </row>
    <row r="151" spans="1:51" x14ac:dyDescent="0.3">
      <c r="A151" s="9" t="s">
        <v>293</v>
      </c>
      <c r="B151" s="10" t="s">
        <v>294</v>
      </c>
      <c r="C151" s="53" t="s">
        <v>734</v>
      </c>
      <c r="D151" s="53" t="s">
        <v>450</v>
      </c>
      <c r="E151" s="53"/>
      <c r="F151" s="53" t="s">
        <v>935</v>
      </c>
      <c r="G151" s="39" t="s">
        <v>545</v>
      </c>
      <c r="H151" s="39" t="s">
        <v>450</v>
      </c>
      <c r="I151" s="39"/>
      <c r="J151" s="1"/>
      <c r="K151" s="1"/>
      <c r="L151" s="1"/>
      <c r="M151" s="1"/>
      <c r="N151" s="1"/>
      <c r="O151" s="1"/>
      <c r="P151" s="61" t="s">
        <v>579</v>
      </c>
      <c r="Q151" s="1" t="s">
        <v>450</v>
      </c>
      <c r="R151" s="1" t="s">
        <v>579</v>
      </c>
      <c r="S151" s="1" t="s">
        <v>450</v>
      </c>
      <c r="T151" s="39"/>
      <c r="U151" s="39"/>
      <c r="V151" s="39"/>
      <c r="W151" s="39"/>
      <c r="X151" s="1"/>
      <c r="Y151" s="1"/>
      <c r="Z151" s="1"/>
      <c r="AA151" s="1"/>
      <c r="AB151" s="1"/>
      <c r="AC151" s="1"/>
      <c r="AD151" s="39"/>
      <c r="AE151" s="39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39"/>
      <c r="AV151" s="39"/>
      <c r="AW151" s="1"/>
      <c r="AX151" s="1"/>
      <c r="AY151" s="1"/>
    </row>
    <row r="152" spans="1:51" x14ac:dyDescent="0.3">
      <c r="A152" s="13" t="s">
        <v>295</v>
      </c>
      <c r="B152" s="14" t="s">
        <v>296</v>
      </c>
      <c r="C152" s="53" t="s">
        <v>735</v>
      </c>
      <c r="D152" s="53" t="s">
        <v>450</v>
      </c>
      <c r="E152" s="53"/>
      <c r="F152" s="53" t="s">
        <v>936</v>
      </c>
      <c r="G152" s="57" t="s">
        <v>580</v>
      </c>
      <c r="H152" s="39" t="s">
        <v>450</v>
      </c>
      <c r="I152" s="39"/>
      <c r="J152" s="61" t="s">
        <v>461</v>
      </c>
      <c r="K152" s="1" t="s">
        <v>450</v>
      </c>
      <c r="L152" s="1" t="s">
        <v>461</v>
      </c>
      <c r="M152" s="1" t="s">
        <v>450</v>
      </c>
      <c r="N152" s="1"/>
      <c r="O152" s="1"/>
      <c r="P152" s="1" t="s">
        <v>461</v>
      </c>
      <c r="Q152" s="1" t="s">
        <v>450</v>
      </c>
      <c r="R152" s="61" t="s">
        <v>461</v>
      </c>
      <c r="S152" s="1" t="s">
        <v>450</v>
      </c>
      <c r="T152" s="39"/>
      <c r="U152" s="39"/>
      <c r="V152" s="39"/>
      <c r="W152" s="39"/>
      <c r="X152" s="1"/>
      <c r="Y152" s="1"/>
      <c r="Z152" s="1"/>
      <c r="AA152" s="1"/>
      <c r="AB152" s="1"/>
      <c r="AC152" s="1"/>
      <c r="AD152" s="39"/>
      <c r="AE152" s="39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39"/>
      <c r="AV152" s="39"/>
      <c r="AW152" s="1"/>
      <c r="AX152" s="1"/>
      <c r="AY152" s="1"/>
    </row>
    <row r="153" spans="1:51" x14ac:dyDescent="0.3">
      <c r="A153" s="24" t="s">
        <v>297</v>
      </c>
      <c r="B153" s="25" t="s">
        <v>298</v>
      </c>
      <c r="C153" s="53" t="s">
        <v>736</v>
      </c>
      <c r="D153" s="53" t="s">
        <v>450</v>
      </c>
      <c r="E153" s="53"/>
      <c r="F153" s="53" t="s">
        <v>937</v>
      </c>
      <c r="G153" s="39" t="s">
        <v>450</v>
      </c>
      <c r="H153" s="39"/>
      <c r="I153" s="3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9"/>
      <c r="U153" s="39"/>
      <c r="V153" s="39"/>
      <c r="W153" s="39"/>
      <c r="X153" s="1"/>
      <c r="Y153" s="1"/>
      <c r="Z153" s="1"/>
      <c r="AA153" s="1"/>
      <c r="AB153" s="1"/>
      <c r="AC153" s="1"/>
      <c r="AD153" s="39"/>
      <c r="AE153" s="39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39"/>
      <c r="AV153" s="39"/>
      <c r="AW153" s="1"/>
      <c r="AX153" s="1"/>
      <c r="AY153" s="1"/>
    </row>
    <row r="154" spans="1:51" x14ac:dyDescent="0.3">
      <c r="A154" s="19" t="s">
        <v>299</v>
      </c>
      <c r="B154" s="20" t="s">
        <v>300</v>
      </c>
      <c r="C154" s="53" t="s">
        <v>737</v>
      </c>
      <c r="D154" s="53" t="s">
        <v>450</v>
      </c>
      <c r="E154" s="53"/>
      <c r="F154" s="53" t="s">
        <v>938</v>
      </c>
      <c r="G154" s="39" t="s">
        <v>450</v>
      </c>
      <c r="H154" s="39"/>
      <c r="I154" s="57" t="s">
        <v>487</v>
      </c>
      <c r="J154" s="1" t="s">
        <v>450</v>
      </c>
      <c r="K154" s="1"/>
      <c r="L154" s="1"/>
      <c r="M154" s="1"/>
      <c r="N154" s="1"/>
      <c r="O154" s="1"/>
      <c r="P154" s="1"/>
      <c r="Q154" s="1"/>
      <c r="R154" s="61" t="s">
        <v>581</v>
      </c>
      <c r="S154" s="1" t="s">
        <v>487</v>
      </c>
      <c r="T154" s="39" t="s">
        <v>450</v>
      </c>
      <c r="U154" s="39"/>
      <c r="V154" s="39"/>
      <c r="W154" s="39"/>
      <c r="X154" s="1"/>
      <c r="Y154" s="1"/>
      <c r="Z154" s="1"/>
      <c r="AA154" s="1"/>
      <c r="AB154" s="1"/>
      <c r="AC154" s="1"/>
      <c r="AD154" s="39"/>
      <c r="AE154" s="39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39"/>
      <c r="AV154" s="39"/>
      <c r="AW154" s="1"/>
      <c r="AX154" s="1"/>
      <c r="AY154" s="1"/>
    </row>
    <row r="155" spans="1:51" x14ac:dyDescent="0.3">
      <c r="A155" s="2" t="s">
        <v>301</v>
      </c>
      <c r="B155" s="3" t="s">
        <v>302</v>
      </c>
      <c r="C155" s="53" t="s">
        <v>738</v>
      </c>
      <c r="D155" s="53" t="s">
        <v>450</v>
      </c>
      <c r="E155" s="53"/>
      <c r="F155" s="53" t="s">
        <v>939</v>
      </c>
      <c r="G155" s="39" t="s">
        <v>450</v>
      </c>
      <c r="H155" s="39"/>
      <c r="I155" s="3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9"/>
      <c r="U155" s="39"/>
      <c r="V155" s="39"/>
      <c r="W155" s="39"/>
      <c r="X155" s="1"/>
      <c r="Y155" s="1"/>
      <c r="Z155" s="1"/>
      <c r="AA155" s="1"/>
      <c r="AB155" s="1"/>
      <c r="AC155" s="1"/>
      <c r="AD155" s="39"/>
      <c r="AE155" s="39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39"/>
      <c r="AV155" s="39"/>
      <c r="AW155" s="1"/>
      <c r="AX155" s="1"/>
      <c r="AY155" s="1"/>
    </row>
    <row r="156" spans="1:51" x14ac:dyDescent="0.3">
      <c r="A156" s="4" t="s">
        <v>303</v>
      </c>
      <c r="B156" s="5" t="s">
        <v>304</v>
      </c>
      <c r="C156" s="53" t="s">
        <v>739</v>
      </c>
      <c r="D156" s="53" t="s">
        <v>450</v>
      </c>
      <c r="E156" s="53"/>
      <c r="F156" s="53" t="s">
        <v>940</v>
      </c>
      <c r="G156" s="39" t="s">
        <v>450</v>
      </c>
      <c r="H156" s="39"/>
      <c r="I156" s="3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9"/>
      <c r="U156" s="39"/>
      <c r="V156" s="39"/>
      <c r="W156" s="39"/>
      <c r="X156" s="1"/>
      <c r="Y156" s="1"/>
      <c r="Z156" s="1"/>
      <c r="AA156" s="1"/>
      <c r="AB156" s="1"/>
      <c r="AC156" s="1"/>
      <c r="AD156" s="39"/>
      <c r="AE156" s="39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39"/>
      <c r="AV156" s="39"/>
      <c r="AW156" s="1"/>
      <c r="AX156" s="1"/>
      <c r="AY156" s="1"/>
    </row>
    <row r="157" spans="1:51" x14ac:dyDescent="0.3">
      <c r="A157" s="2" t="s">
        <v>305</v>
      </c>
      <c r="B157" s="3" t="s">
        <v>306</v>
      </c>
      <c r="C157" s="53" t="s">
        <v>740</v>
      </c>
      <c r="D157" s="53" t="s">
        <v>450</v>
      </c>
      <c r="E157" s="53"/>
      <c r="F157" s="53" t="s">
        <v>941</v>
      </c>
      <c r="G157" s="39" t="s">
        <v>450</v>
      </c>
      <c r="H157" s="39"/>
      <c r="I157" s="3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9"/>
      <c r="U157" s="39"/>
      <c r="V157" s="39"/>
      <c r="W157" s="39"/>
      <c r="X157" s="1"/>
      <c r="Y157" s="1"/>
      <c r="Z157" s="1"/>
      <c r="AA157" s="1"/>
      <c r="AB157" s="1"/>
      <c r="AC157" s="1"/>
      <c r="AD157" s="39"/>
      <c r="AE157" s="39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39"/>
      <c r="AV157" s="39"/>
      <c r="AW157" s="1"/>
      <c r="AX157" s="1"/>
      <c r="AY157" s="1"/>
    </row>
    <row r="158" spans="1:51" x14ac:dyDescent="0.3">
      <c r="A158" s="9" t="s">
        <v>307</v>
      </c>
      <c r="B158" s="10" t="s">
        <v>308</v>
      </c>
      <c r="C158" s="53" t="s">
        <v>741</v>
      </c>
      <c r="D158" s="53" t="s">
        <v>450</v>
      </c>
      <c r="E158" s="53"/>
      <c r="F158" s="53" t="s">
        <v>942</v>
      </c>
      <c r="G158" s="39" t="s">
        <v>450</v>
      </c>
      <c r="H158" s="39"/>
      <c r="I158" s="39"/>
      <c r="J158" s="1"/>
      <c r="K158" s="1"/>
      <c r="L158" s="1"/>
      <c r="M158" s="1"/>
      <c r="N158" s="1"/>
      <c r="O158" s="1"/>
      <c r="P158" s="1"/>
      <c r="Q158" s="1"/>
      <c r="R158" s="61" t="s">
        <v>468</v>
      </c>
      <c r="S158" s="1" t="s">
        <v>450</v>
      </c>
      <c r="T158" s="39"/>
      <c r="U158" s="39"/>
      <c r="V158" s="39"/>
      <c r="W158" s="39"/>
      <c r="X158" s="1"/>
      <c r="Y158" s="1"/>
      <c r="Z158" s="1"/>
      <c r="AA158" s="1"/>
      <c r="AB158" s="1"/>
      <c r="AC158" s="61" t="s">
        <v>548</v>
      </c>
      <c r="AD158" s="39" t="s">
        <v>450</v>
      </c>
      <c r="AE158" s="39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39"/>
      <c r="AV158" s="39"/>
      <c r="AW158" s="1"/>
      <c r="AX158" s="1"/>
      <c r="AY158" s="1"/>
    </row>
    <row r="159" spans="1:51" x14ac:dyDescent="0.3">
      <c r="A159" s="15" t="s">
        <v>309</v>
      </c>
      <c r="B159" s="16" t="s">
        <v>310</v>
      </c>
      <c r="C159" s="53" t="s">
        <v>742</v>
      </c>
      <c r="D159" s="53" t="s">
        <v>450</v>
      </c>
      <c r="E159" s="53"/>
      <c r="F159" s="53" t="s">
        <v>943</v>
      </c>
      <c r="G159" s="57" t="s">
        <v>481</v>
      </c>
      <c r="H159" s="39"/>
      <c r="I159" s="39"/>
      <c r="J159" s="1"/>
      <c r="K159" s="1"/>
      <c r="L159" s="1"/>
      <c r="M159" s="1"/>
      <c r="N159" s="1"/>
      <c r="O159" s="1"/>
      <c r="P159" s="1"/>
      <c r="Q159" s="1"/>
      <c r="R159" s="1" t="s">
        <v>481</v>
      </c>
      <c r="S159" s="1" t="s">
        <v>450</v>
      </c>
      <c r="T159" s="39"/>
      <c r="U159" s="39"/>
      <c r="V159" s="39"/>
      <c r="W159" s="39"/>
      <c r="X159" s="1"/>
      <c r="Y159" s="1"/>
      <c r="Z159" s="1"/>
      <c r="AA159" s="1"/>
      <c r="AB159" s="1"/>
      <c r="AC159" s="1"/>
      <c r="AD159" s="39"/>
      <c r="AE159" s="39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39"/>
      <c r="AV159" s="39"/>
      <c r="AW159" s="1"/>
      <c r="AX159" s="1"/>
      <c r="AY159" s="1"/>
    </row>
    <row r="160" spans="1:51" x14ac:dyDescent="0.3">
      <c r="A160" s="17" t="s">
        <v>311</v>
      </c>
      <c r="B160" s="18" t="s">
        <v>312</v>
      </c>
      <c r="C160" s="53" t="s">
        <v>743</v>
      </c>
      <c r="D160" s="53" t="s">
        <v>450</v>
      </c>
      <c r="E160" s="53"/>
      <c r="F160" s="53" t="s">
        <v>944</v>
      </c>
      <c r="G160" s="39" t="s">
        <v>545</v>
      </c>
      <c r="H160" s="39" t="s">
        <v>450</v>
      </c>
      <c r="I160" s="57" t="s">
        <v>582</v>
      </c>
      <c r="J160" s="1" t="s">
        <v>450</v>
      </c>
      <c r="K160" s="1"/>
      <c r="L160" s="1"/>
      <c r="M160" s="1"/>
      <c r="N160" s="1"/>
      <c r="O160" s="1"/>
      <c r="P160" s="1"/>
      <c r="Q160" s="1"/>
      <c r="R160" s="61" t="s">
        <v>582</v>
      </c>
      <c r="S160" s="1" t="s">
        <v>450</v>
      </c>
      <c r="T160" s="39"/>
      <c r="U160" s="39"/>
      <c r="V160" s="39"/>
      <c r="W160" s="39"/>
      <c r="X160" s="1"/>
      <c r="Y160" s="1"/>
      <c r="Z160" s="1"/>
      <c r="AA160" s="1"/>
      <c r="AB160" s="1"/>
      <c r="AC160" s="1"/>
      <c r="AD160" s="39"/>
      <c r="AE160" s="39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39"/>
      <c r="AV160" s="39"/>
      <c r="AW160" s="1"/>
      <c r="AX160" s="1"/>
      <c r="AY160" s="1"/>
    </row>
    <row r="161" spans="1:51" x14ac:dyDescent="0.3">
      <c r="A161" s="2" t="s">
        <v>313</v>
      </c>
      <c r="B161" s="3" t="s">
        <v>314</v>
      </c>
      <c r="C161" s="53" t="s">
        <v>744</v>
      </c>
      <c r="D161" s="53" t="s">
        <v>450</v>
      </c>
      <c r="E161" s="53"/>
      <c r="F161" s="53" t="s">
        <v>945</v>
      </c>
      <c r="G161" s="39" t="s">
        <v>450</v>
      </c>
      <c r="H161" s="39"/>
      <c r="I161" s="3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9"/>
      <c r="U161" s="39"/>
      <c r="V161" s="39"/>
      <c r="W161" s="39"/>
      <c r="X161" s="1"/>
      <c r="Y161" s="1"/>
      <c r="Z161" s="1"/>
      <c r="AA161" s="1"/>
      <c r="AB161" s="1"/>
      <c r="AC161" s="1"/>
      <c r="AD161" s="39"/>
      <c r="AE161" s="39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39"/>
      <c r="AV161" s="39"/>
      <c r="AW161" s="1"/>
      <c r="AX161" s="1"/>
      <c r="AY161" s="1"/>
    </row>
    <row r="162" spans="1:51" x14ac:dyDescent="0.3">
      <c r="A162" s="13" t="s">
        <v>315</v>
      </c>
      <c r="B162" s="14" t="s">
        <v>316</v>
      </c>
      <c r="C162" s="53" t="s">
        <v>745</v>
      </c>
      <c r="D162" s="53" t="s">
        <v>450</v>
      </c>
      <c r="E162" s="53"/>
      <c r="F162" s="53" t="s">
        <v>946</v>
      </c>
      <c r="G162" s="39" t="s">
        <v>545</v>
      </c>
      <c r="H162" s="39" t="s">
        <v>450</v>
      </c>
      <c r="I162" s="57"/>
      <c r="J162" s="1" t="s">
        <v>450</v>
      </c>
      <c r="K162" s="1"/>
      <c r="L162" s="1"/>
      <c r="M162" s="1"/>
      <c r="N162" s="1"/>
      <c r="O162" s="1"/>
      <c r="P162" s="1"/>
      <c r="Q162" s="1"/>
      <c r="R162" s="61" t="s">
        <v>541</v>
      </c>
      <c r="S162" s="1" t="s">
        <v>450</v>
      </c>
      <c r="T162" s="39"/>
      <c r="U162" s="39"/>
      <c r="V162" s="39"/>
      <c r="W162" s="39"/>
      <c r="X162" s="1"/>
      <c r="Y162" s="1"/>
      <c r="Z162" s="1"/>
      <c r="AA162" s="1"/>
      <c r="AB162" s="1"/>
      <c r="AC162" s="1"/>
      <c r="AD162" s="39"/>
      <c r="AE162" s="39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39"/>
      <c r="AV162" s="39"/>
      <c r="AW162" s="1"/>
      <c r="AX162" s="1"/>
      <c r="AY162" s="1"/>
    </row>
    <row r="163" spans="1:51" x14ac:dyDescent="0.3">
      <c r="A163" s="24" t="s">
        <v>317</v>
      </c>
      <c r="B163" s="25" t="s">
        <v>318</v>
      </c>
      <c r="C163" s="53" t="s">
        <v>746</v>
      </c>
      <c r="D163" s="53" t="s">
        <v>450</v>
      </c>
      <c r="E163" s="53"/>
      <c r="F163" s="53" t="s">
        <v>947</v>
      </c>
      <c r="G163" s="39" t="s">
        <v>450</v>
      </c>
      <c r="H163" s="39"/>
      <c r="I163" s="3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9"/>
      <c r="U163" s="39"/>
      <c r="V163" s="39"/>
      <c r="W163" s="39"/>
      <c r="X163" s="1"/>
      <c r="Y163" s="1"/>
      <c r="Z163" s="1"/>
      <c r="AA163" s="1"/>
      <c r="AB163" s="1"/>
      <c r="AC163" s="1"/>
      <c r="AD163" s="39"/>
      <c r="AE163" s="39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39"/>
      <c r="AV163" s="39"/>
      <c r="AW163" s="1"/>
      <c r="AX163" s="1"/>
      <c r="AY163" s="1"/>
    </row>
    <row r="164" spans="1:51" x14ac:dyDescent="0.3">
      <c r="A164" s="2" t="s">
        <v>319</v>
      </c>
      <c r="B164" s="3" t="s">
        <v>320</v>
      </c>
      <c r="C164" s="53" t="s">
        <v>747</v>
      </c>
      <c r="D164" s="53" t="s">
        <v>450</v>
      </c>
      <c r="E164" s="53"/>
      <c r="F164" s="53" t="s">
        <v>948</v>
      </c>
      <c r="G164" s="39" t="s">
        <v>450</v>
      </c>
      <c r="H164" s="39"/>
      <c r="I164" s="3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9"/>
      <c r="U164" s="39"/>
      <c r="V164" s="39"/>
      <c r="W164" s="39"/>
      <c r="X164" s="1"/>
      <c r="Y164" s="1"/>
      <c r="Z164" s="1"/>
      <c r="AA164" s="1"/>
      <c r="AB164" s="1"/>
      <c r="AC164" s="1"/>
      <c r="AD164" s="39"/>
      <c r="AE164" s="39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39"/>
      <c r="AV164" s="39"/>
      <c r="AW164" s="1"/>
      <c r="AX164" s="1"/>
      <c r="AY164" s="1"/>
    </row>
    <row r="165" spans="1:51" x14ac:dyDescent="0.3">
      <c r="A165" s="2" t="s">
        <v>321</v>
      </c>
      <c r="B165" s="3" t="s">
        <v>322</v>
      </c>
      <c r="C165" s="53" t="s">
        <v>748</v>
      </c>
      <c r="D165" s="53" t="s">
        <v>450</v>
      </c>
      <c r="E165" s="53"/>
      <c r="F165" s="53" t="s">
        <v>949</v>
      </c>
      <c r="G165" s="39" t="s">
        <v>450</v>
      </c>
      <c r="H165" s="39"/>
      <c r="I165" s="57"/>
      <c r="J165" s="1" t="s">
        <v>584</v>
      </c>
      <c r="K165" s="1" t="s">
        <v>450</v>
      </c>
      <c r="L165" s="1"/>
      <c r="M165" s="1"/>
      <c r="N165" s="1"/>
      <c r="O165" s="1"/>
      <c r="P165" s="1"/>
      <c r="Q165" s="1"/>
      <c r="R165" s="1" t="s">
        <v>584</v>
      </c>
      <c r="S165" s="1" t="s">
        <v>450</v>
      </c>
      <c r="T165" s="39"/>
      <c r="U165" s="39"/>
      <c r="V165" s="39"/>
      <c r="W165" s="39"/>
      <c r="X165" s="1"/>
      <c r="Y165" s="1"/>
      <c r="Z165" s="1"/>
      <c r="AA165" s="1"/>
      <c r="AB165" s="1"/>
      <c r="AC165" s="1"/>
      <c r="AD165" s="39"/>
      <c r="AE165" s="39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39"/>
      <c r="AV165" s="39"/>
      <c r="AW165" s="1"/>
      <c r="AX165" s="1"/>
      <c r="AY165" s="1"/>
    </row>
    <row r="166" spans="1:51" x14ac:dyDescent="0.3">
      <c r="A166" s="2" t="s">
        <v>323</v>
      </c>
      <c r="B166" s="3" t="s">
        <v>324</v>
      </c>
      <c r="C166" s="53" t="s">
        <v>749</v>
      </c>
      <c r="D166" s="53" t="s">
        <v>450</v>
      </c>
      <c r="E166" s="53"/>
      <c r="F166" s="53" t="s">
        <v>950</v>
      </c>
      <c r="G166" s="39" t="s">
        <v>450</v>
      </c>
      <c r="H166" s="39"/>
      <c r="I166" s="3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9"/>
      <c r="U166" s="39"/>
      <c r="V166" s="39"/>
      <c r="W166" s="39"/>
      <c r="X166" s="1"/>
      <c r="Y166" s="1"/>
      <c r="Z166" s="1"/>
      <c r="AA166" s="1"/>
      <c r="AB166" s="1"/>
      <c r="AC166" s="1"/>
      <c r="AD166" s="39"/>
      <c r="AE166" s="39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39"/>
      <c r="AV166" s="39"/>
      <c r="AW166" s="1"/>
      <c r="AX166" s="1"/>
      <c r="AY166" s="1"/>
    </row>
    <row r="167" spans="1:51" x14ac:dyDescent="0.3">
      <c r="A167" s="13" t="s">
        <v>325</v>
      </c>
      <c r="B167" s="14" t="s">
        <v>326</v>
      </c>
      <c r="C167" s="53" t="s">
        <v>750</v>
      </c>
      <c r="D167" s="53" t="s">
        <v>450</v>
      </c>
      <c r="E167" s="53"/>
      <c r="F167" s="53" t="s">
        <v>951</v>
      </c>
      <c r="G167" s="39" t="s">
        <v>450</v>
      </c>
      <c r="H167" s="39"/>
      <c r="I167" s="3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9"/>
      <c r="U167" s="39"/>
      <c r="V167" s="39"/>
      <c r="W167" s="39"/>
      <c r="X167" s="1"/>
      <c r="Y167" s="1"/>
      <c r="Z167" s="1"/>
      <c r="AA167" s="1"/>
      <c r="AB167" s="1"/>
      <c r="AC167" s="1"/>
      <c r="AD167" s="39"/>
      <c r="AE167" s="39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39"/>
      <c r="AV167" s="39"/>
      <c r="AW167" s="1"/>
      <c r="AX167" s="1"/>
      <c r="AY167" s="1"/>
    </row>
    <row r="168" spans="1:51" x14ac:dyDescent="0.3">
      <c r="A168" s="2" t="s">
        <v>327</v>
      </c>
      <c r="B168" s="3" t="s">
        <v>328</v>
      </c>
      <c r="C168" s="53" t="s">
        <v>751</v>
      </c>
      <c r="D168" s="53" t="s">
        <v>450</v>
      </c>
      <c r="E168" s="53"/>
      <c r="F168" s="53" t="s">
        <v>952</v>
      </c>
      <c r="G168" s="39" t="s">
        <v>450</v>
      </c>
      <c r="H168" s="39"/>
      <c r="I168" s="3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9"/>
      <c r="U168" s="39"/>
      <c r="V168" s="39"/>
      <c r="W168" s="39"/>
      <c r="X168" s="1"/>
      <c r="Y168" s="1"/>
      <c r="Z168" s="1"/>
      <c r="AA168" s="1"/>
      <c r="AB168" s="1"/>
      <c r="AC168" s="1"/>
      <c r="AD168" s="39"/>
      <c r="AE168" s="39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39"/>
      <c r="AV168" s="39"/>
      <c r="AW168" s="1"/>
      <c r="AX168" s="1"/>
      <c r="AY168" s="1"/>
    </row>
    <row r="169" spans="1:51" x14ac:dyDescent="0.3">
      <c r="A169" s="2" t="s">
        <v>329</v>
      </c>
      <c r="B169" s="3" t="s">
        <v>330</v>
      </c>
      <c r="C169" s="53" t="s">
        <v>752</v>
      </c>
      <c r="D169" s="53" t="s">
        <v>450</v>
      </c>
      <c r="E169" s="53"/>
      <c r="F169" s="53" t="s">
        <v>953</v>
      </c>
      <c r="G169" s="39" t="s">
        <v>450</v>
      </c>
      <c r="H169" s="39"/>
      <c r="I169" s="3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9"/>
      <c r="U169" s="39"/>
      <c r="V169" s="39"/>
      <c r="W169" s="39"/>
      <c r="X169" s="1"/>
      <c r="Y169" s="1"/>
      <c r="Z169" s="1"/>
      <c r="AA169" s="1"/>
      <c r="AB169" s="1"/>
      <c r="AC169" s="1"/>
      <c r="AD169" s="39"/>
      <c r="AE169" s="39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39"/>
      <c r="AV169" s="39"/>
      <c r="AW169" s="1"/>
      <c r="AX169" s="1"/>
      <c r="AY169" s="1"/>
    </row>
    <row r="170" spans="1:51" x14ac:dyDescent="0.3">
      <c r="A170" s="2" t="s">
        <v>331</v>
      </c>
      <c r="B170" s="3" t="s">
        <v>332</v>
      </c>
      <c r="C170" s="53" t="s">
        <v>753</v>
      </c>
      <c r="D170" s="53" t="s">
        <v>450</v>
      </c>
      <c r="E170" s="53"/>
      <c r="F170" s="53" t="s">
        <v>954</v>
      </c>
      <c r="G170" s="39" t="s">
        <v>450</v>
      </c>
      <c r="H170" s="39"/>
      <c r="I170" s="3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9"/>
      <c r="U170" s="39"/>
      <c r="V170" s="39"/>
      <c r="W170" s="39"/>
      <c r="X170" s="1"/>
      <c r="Y170" s="1"/>
      <c r="Z170" s="1"/>
      <c r="AA170" s="1"/>
      <c r="AB170" s="1"/>
      <c r="AC170" s="1"/>
      <c r="AD170" s="39"/>
      <c r="AE170" s="39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39"/>
      <c r="AV170" s="39"/>
      <c r="AW170" s="1"/>
      <c r="AX170" s="1"/>
      <c r="AY170" s="1"/>
    </row>
    <row r="171" spans="1:51" x14ac:dyDescent="0.3">
      <c r="A171" s="2" t="s">
        <v>333</v>
      </c>
      <c r="B171" s="3" t="s">
        <v>334</v>
      </c>
      <c r="C171" s="53" t="s">
        <v>754</v>
      </c>
      <c r="D171" s="53" t="s">
        <v>450</v>
      </c>
      <c r="E171" s="53"/>
      <c r="F171" s="53" t="s">
        <v>955</v>
      </c>
      <c r="G171" s="39" t="s">
        <v>450</v>
      </c>
      <c r="H171" s="39"/>
      <c r="I171" s="3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9"/>
      <c r="U171" s="39"/>
      <c r="V171" s="39"/>
      <c r="W171" s="39"/>
      <c r="X171" s="1"/>
      <c r="Y171" s="1"/>
      <c r="Z171" s="1"/>
      <c r="AA171" s="1"/>
      <c r="AB171" s="1"/>
      <c r="AC171" s="1"/>
      <c r="AD171" s="39"/>
      <c r="AE171" s="39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39"/>
      <c r="AV171" s="39"/>
      <c r="AW171" s="1"/>
      <c r="AX171" s="1"/>
      <c r="AY171" s="1"/>
    </row>
    <row r="172" spans="1:51" x14ac:dyDescent="0.3">
      <c r="A172" s="4" t="s">
        <v>335</v>
      </c>
      <c r="B172" s="5" t="s">
        <v>336</v>
      </c>
      <c r="C172" s="53" t="s">
        <v>755</v>
      </c>
      <c r="D172" s="53" t="s">
        <v>450</v>
      </c>
      <c r="E172" s="53"/>
      <c r="F172" s="53" t="s">
        <v>956</v>
      </c>
      <c r="G172" s="39" t="s">
        <v>450</v>
      </c>
      <c r="H172" s="39" t="s">
        <v>450</v>
      </c>
      <c r="I172" s="3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9"/>
      <c r="U172" s="39"/>
      <c r="V172" s="39"/>
      <c r="W172" s="39"/>
      <c r="X172" s="1"/>
      <c r="Y172" s="1"/>
      <c r="Z172" s="1"/>
      <c r="AA172" s="1"/>
      <c r="AB172" s="1"/>
      <c r="AC172" s="1"/>
      <c r="AD172" s="39"/>
      <c r="AE172" s="39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39"/>
      <c r="AV172" s="39"/>
      <c r="AW172" s="1"/>
      <c r="AX172" s="1"/>
      <c r="AY172" s="1"/>
    </row>
    <row r="173" spans="1:51" x14ac:dyDescent="0.3">
      <c r="A173" s="22" t="s">
        <v>337</v>
      </c>
      <c r="B173" s="23" t="s">
        <v>338</v>
      </c>
      <c r="C173" s="53" t="s">
        <v>756</v>
      </c>
      <c r="D173" s="53" t="s">
        <v>450</v>
      </c>
      <c r="E173" s="53"/>
      <c r="F173" s="53" t="s">
        <v>957</v>
      </c>
      <c r="G173" s="57" t="s">
        <v>542</v>
      </c>
      <c r="H173" s="39" t="s">
        <v>450</v>
      </c>
      <c r="I173" s="39"/>
      <c r="J173" s="1"/>
      <c r="K173" s="1"/>
      <c r="L173" s="1"/>
      <c r="M173" s="1"/>
      <c r="N173" s="1"/>
      <c r="O173" s="1"/>
      <c r="P173" s="1"/>
      <c r="Q173" s="1"/>
      <c r="R173" s="1"/>
      <c r="S173" s="1"/>
      <c r="U173" s="39"/>
      <c r="V173" s="39"/>
      <c r="W173" s="39"/>
      <c r="X173" s="1"/>
      <c r="Y173" s="1"/>
      <c r="Z173" s="1"/>
      <c r="AA173" s="1"/>
      <c r="AB173" s="1"/>
      <c r="AC173" s="1"/>
      <c r="AD173" s="39"/>
      <c r="AE173" s="39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39" t="s">
        <v>542</v>
      </c>
      <c r="AV173" s="39" t="s">
        <v>450</v>
      </c>
      <c r="AW173" s="1"/>
      <c r="AX173" s="1"/>
      <c r="AY173" s="1"/>
    </row>
    <row r="174" spans="1:51" x14ac:dyDescent="0.3">
      <c r="A174" s="13" t="s">
        <v>339</v>
      </c>
      <c r="B174" s="14" t="s">
        <v>340</v>
      </c>
      <c r="C174" s="53" t="s">
        <v>757</v>
      </c>
      <c r="D174" s="53" t="s">
        <v>450</v>
      </c>
      <c r="E174" s="53"/>
      <c r="F174" s="53" t="s">
        <v>958</v>
      </c>
      <c r="G174" s="39" t="s">
        <v>450</v>
      </c>
      <c r="H174" s="39"/>
      <c r="I174" s="3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9"/>
      <c r="U174" s="39"/>
      <c r="V174" s="39"/>
      <c r="W174" s="39"/>
      <c r="X174" s="1"/>
      <c r="Y174" s="1"/>
      <c r="Z174" s="1"/>
      <c r="AA174" s="1"/>
      <c r="AB174" s="1"/>
      <c r="AC174" s="1"/>
      <c r="AD174" s="39"/>
      <c r="AE174" s="39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39"/>
      <c r="AV174" s="39"/>
      <c r="AW174" s="1"/>
      <c r="AX174" s="1"/>
      <c r="AY174" s="1"/>
    </row>
    <row r="175" spans="1:51" x14ac:dyDescent="0.3">
      <c r="A175" s="2" t="s">
        <v>341</v>
      </c>
      <c r="B175" s="3" t="s">
        <v>342</v>
      </c>
      <c r="C175" s="53" t="s">
        <v>758</v>
      </c>
      <c r="D175" s="53" t="s">
        <v>450</v>
      </c>
      <c r="E175" s="53"/>
      <c r="F175" s="53" t="s">
        <v>959</v>
      </c>
      <c r="G175" s="39" t="s">
        <v>450</v>
      </c>
      <c r="H175" s="39"/>
      <c r="I175" s="3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9"/>
      <c r="U175" s="39"/>
      <c r="V175" s="39"/>
      <c r="W175" s="39"/>
      <c r="X175" s="1"/>
      <c r="Y175" s="1"/>
      <c r="Z175" s="1"/>
      <c r="AA175" s="1"/>
      <c r="AB175" s="1"/>
      <c r="AC175" s="1"/>
      <c r="AD175" s="39"/>
      <c r="AE175" s="39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39"/>
      <c r="AV175" s="39"/>
      <c r="AW175" s="1"/>
      <c r="AX175" s="1"/>
      <c r="AY175" s="1"/>
    </row>
    <row r="176" spans="1:51" x14ac:dyDescent="0.3">
      <c r="A176" s="2" t="s">
        <v>343</v>
      </c>
      <c r="B176" s="3" t="s">
        <v>344</v>
      </c>
      <c r="C176" s="53" t="s">
        <v>759</v>
      </c>
      <c r="D176" s="53" t="s">
        <v>450</v>
      </c>
      <c r="E176" s="53"/>
      <c r="F176" s="53" t="s">
        <v>960</v>
      </c>
      <c r="G176" s="39" t="s">
        <v>450</v>
      </c>
      <c r="H176" s="39"/>
      <c r="I176" s="3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9"/>
      <c r="U176" s="39"/>
      <c r="V176" s="39"/>
      <c r="W176" s="39"/>
      <c r="X176" s="1"/>
      <c r="Y176" s="1"/>
      <c r="Z176" s="1"/>
      <c r="AA176" s="1"/>
      <c r="AB176" s="1"/>
      <c r="AC176" s="1"/>
      <c r="AD176" s="39"/>
      <c r="AE176" s="39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39"/>
      <c r="AV176" s="39"/>
      <c r="AW176" s="1"/>
      <c r="AX176" s="1"/>
      <c r="AY176" s="1"/>
    </row>
    <row r="177" spans="1:51" x14ac:dyDescent="0.3">
      <c r="A177" s="4" t="s">
        <v>345</v>
      </c>
      <c r="B177" s="5" t="s">
        <v>346</v>
      </c>
      <c r="C177" s="53" t="s">
        <v>760</v>
      </c>
      <c r="D177" s="53" t="s">
        <v>450</v>
      </c>
      <c r="E177" s="53"/>
      <c r="F177" s="53" t="s">
        <v>961</v>
      </c>
      <c r="G177" s="39" t="s">
        <v>450</v>
      </c>
      <c r="H177" s="39"/>
      <c r="I177" s="3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9"/>
      <c r="U177" s="39"/>
      <c r="V177" s="39"/>
      <c r="W177" s="39"/>
      <c r="X177" s="1"/>
      <c r="Y177" s="1"/>
      <c r="Z177" s="1"/>
      <c r="AA177" s="1"/>
      <c r="AB177" s="1"/>
      <c r="AC177" s="1"/>
      <c r="AD177" s="39"/>
      <c r="AE177" s="39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39"/>
      <c r="AV177" s="39"/>
      <c r="AW177" s="1"/>
      <c r="AX177" s="1"/>
      <c r="AY177" s="1"/>
    </row>
    <row r="178" spans="1:51" x14ac:dyDescent="0.3">
      <c r="A178" s="4" t="s">
        <v>347</v>
      </c>
      <c r="B178" s="5" t="s">
        <v>348</v>
      </c>
      <c r="C178" s="53" t="s">
        <v>761</v>
      </c>
      <c r="D178" s="53" t="s">
        <v>450</v>
      </c>
      <c r="E178" s="53"/>
      <c r="F178" s="53" t="s">
        <v>962</v>
      </c>
      <c r="G178" s="39" t="s">
        <v>450</v>
      </c>
      <c r="H178" s="39"/>
      <c r="I178" s="3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9"/>
      <c r="U178" s="39"/>
      <c r="V178" s="39"/>
      <c r="W178" s="39"/>
      <c r="X178" s="1"/>
      <c r="Y178" s="1"/>
      <c r="Z178" s="1"/>
      <c r="AA178" s="1"/>
      <c r="AB178" s="1"/>
      <c r="AC178" s="1"/>
      <c r="AD178" s="39"/>
      <c r="AE178" s="39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39"/>
      <c r="AV178" s="39"/>
      <c r="AW178" s="1"/>
      <c r="AX178" s="1"/>
      <c r="AY178" s="1"/>
    </row>
    <row r="179" spans="1:51" x14ac:dyDescent="0.3">
      <c r="A179" s="4" t="s">
        <v>349</v>
      </c>
      <c r="B179" s="5" t="s">
        <v>350</v>
      </c>
      <c r="C179" s="53" t="s">
        <v>762</v>
      </c>
      <c r="D179" s="53" t="s">
        <v>450</v>
      </c>
      <c r="E179" s="53"/>
      <c r="F179" s="53" t="s">
        <v>963</v>
      </c>
      <c r="G179" s="39" t="s">
        <v>450</v>
      </c>
      <c r="H179" s="39"/>
      <c r="I179" s="3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9"/>
      <c r="U179" s="39"/>
      <c r="V179" s="39"/>
      <c r="W179" s="39"/>
      <c r="X179" s="1"/>
      <c r="Y179" s="1"/>
      <c r="Z179" s="1"/>
      <c r="AA179" s="1"/>
      <c r="AB179" s="1"/>
      <c r="AC179" s="1"/>
      <c r="AD179" s="39"/>
      <c r="AE179" s="39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39"/>
      <c r="AV179" s="39"/>
      <c r="AW179" s="1"/>
      <c r="AX179" s="1"/>
      <c r="AY179" s="1"/>
    </row>
    <row r="180" spans="1:51" x14ac:dyDescent="0.3">
      <c r="A180" s="13" t="s">
        <v>351</v>
      </c>
      <c r="B180" s="14" t="s">
        <v>352</v>
      </c>
      <c r="C180" s="53" t="s">
        <v>763</v>
      </c>
      <c r="D180" s="53" t="s">
        <v>450</v>
      </c>
      <c r="E180" s="53"/>
      <c r="F180" s="53" t="s">
        <v>964</v>
      </c>
      <c r="G180" s="39" t="s">
        <v>450</v>
      </c>
      <c r="H180" s="39"/>
      <c r="I180" s="57" t="s">
        <v>478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9"/>
      <c r="U180" s="39"/>
      <c r="V180" s="39"/>
      <c r="W180" s="39"/>
      <c r="X180" s="1"/>
      <c r="Y180" s="1"/>
      <c r="Z180" s="1"/>
      <c r="AA180" s="1"/>
      <c r="AB180" s="1"/>
      <c r="AC180" s="1"/>
      <c r="AD180" s="39"/>
      <c r="AE180" s="39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39"/>
      <c r="AV180" s="39"/>
      <c r="AW180" s="1"/>
      <c r="AX180" s="1"/>
      <c r="AY180" s="1"/>
    </row>
    <row r="181" spans="1:51" x14ac:dyDescent="0.3">
      <c r="A181" s="24" t="s">
        <v>353</v>
      </c>
      <c r="B181" s="25" t="s">
        <v>354</v>
      </c>
      <c r="C181" s="53" t="s">
        <v>764</v>
      </c>
      <c r="D181" s="53" t="s">
        <v>450</v>
      </c>
      <c r="E181" s="53"/>
      <c r="F181" s="53" t="s">
        <v>965</v>
      </c>
      <c r="G181" s="39" t="s">
        <v>450</v>
      </c>
      <c r="H181" s="39"/>
      <c r="I181" s="39"/>
      <c r="J181" s="1"/>
      <c r="K181" s="1"/>
      <c r="L181" s="1"/>
      <c r="M181" s="1"/>
      <c r="N181" s="1"/>
      <c r="O181" s="1"/>
      <c r="P181" s="1"/>
      <c r="Q181" s="1"/>
      <c r="R181" s="61" t="s">
        <v>503</v>
      </c>
      <c r="S181" s="1" t="s">
        <v>450</v>
      </c>
      <c r="T181" s="39"/>
      <c r="U181" s="39"/>
      <c r="V181" s="39"/>
      <c r="W181" s="39"/>
      <c r="X181" s="1"/>
      <c r="Y181" s="1"/>
      <c r="Z181" s="1"/>
      <c r="AA181" s="1"/>
      <c r="AB181" s="1"/>
      <c r="AC181" s="1"/>
      <c r="AD181" s="39"/>
      <c r="AE181" s="39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39"/>
      <c r="AV181" s="39"/>
      <c r="AW181" s="1"/>
      <c r="AX181" s="1"/>
      <c r="AY181" s="1"/>
    </row>
    <row r="182" spans="1:51" x14ac:dyDescent="0.3">
      <c r="A182" s="17" t="s">
        <v>355</v>
      </c>
      <c r="B182" s="18" t="s">
        <v>356</v>
      </c>
      <c r="C182" s="53" t="s">
        <v>765</v>
      </c>
      <c r="D182" s="53" t="s">
        <v>450</v>
      </c>
      <c r="E182" s="53"/>
      <c r="F182" s="53" t="s">
        <v>966</v>
      </c>
      <c r="G182" s="39" t="s">
        <v>450</v>
      </c>
      <c r="H182" s="39"/>
      <c r="I182" s="3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9"/>
      <c r="U182" s="39"/>
      <c r="V182" s="39"/>
      <c r="W182" s="39"/>
      <c r="X182" s="1"/>
      <c r="Y182" s="1"/>
      <c r="Z182" s="1"/>
      <c r="AA182" s="1"/>
      <c r="AB182" s="1"/>
      <c r="AC182" s="1"/>
      <c r="AD182" s="39"/>
      <c r="AE182" s="39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39"/>
      <c r="AV182" s="39"/>
      <c r="AW182" s="1"/>
      <c r="AX182" s="1"/>
      <c r="AY182" s="1"/>
    </row>
    <row r="183" spans="1:51" x14ac:dyDescent="0.3">
      <c r="A183" s="2" t="s">
        <v>357</v>
      </c>
      <c r="B183" s="3" t="s">
        <v>358</v>
      </c>
      <c r="C183" s="53" t="s">
        <v>766</v>
      </c>
      <c r="D183" s="53" t="s">
        <v>450</v>
      </c>
      <c r="E183" s="53"/>
      <c r="F183" s="53" t="s">
        <v>967</v>
      </c>
      <c r="G183" s="39" t="s">
        <v>450</v>
      </c>
      <c r="H183" s="39"/>
      <c r="I183" s="3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9"/>
      <c r="U183" s="39"/>
      <c r="V183" s="39"/>
      <c r="W183" s="39"/>
      <c r="X183" s="1"/>
      <c r="Y183" s="1"/>
      <c r="Z183" s="1"/>
      <c r="AA183" s="1"/>
      <c r="AB183" s="1"/>
      <c r="AC183" s="1"/>
      <c r="AD183" s="39"/>
      <c r="AE183" s="39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39"/>
      <c r="AV183" s="39"/>
      <c r="AW183" s="1"/>
      <c r="AX183" s="1"/>
      <c r="AY183" s="1"/>
    </row>
    <row r="184" spans="1:51" x14ac:dyDescent="0.3">
      <c r="A184" s="2" t="s">
        <v>359</v>
      </c>
      <c r="B184" s="3" t="s">
        <v>360</v>
      </c>
      <c r="C184" s="53" t="s">
        <v>767</v>
      </c>
      <c r="D184" s="53" t="s">
        <v>450</v>
      </c>
      <c r="E184" s="53"/>
      <c r="F184" s="53" t="s">
        <v>968</v>
      </c>
      <c r="G184" s="39" t="s">
        <v>450</v>
      </c>
      <c r="H184" s="39"/>
      <c r="I184" s="3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9"/>
      <c r="U184" s="39"/>
      <c r="V184" s="39"/>
      <c r="W184" s="39"/>
      <c r="X184" s="1"/>
      <c r="Y184" s="1"/>
      <c r="Z184" s="1"/>
      <c r="AA184" s="1"/>
      <c r="AB184" s="1"/>
      <c r="AC184" s="1"/>
      <c r="AD184" s="39"/>
      <c r="AE184" s="39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39"/>
      <c r="AV184" s="39"/>
      <c r="AW184" s="1"/>
      <c r="AX184" s="1"/>
      <c r="AY184" s="1"/>
    </row>
    <row r="185" spans="1:51" x14ac:dyDescent="0.3">
      <c r="A185" s="22" t="s">
        <v>361</v>
      </c>
      <c r="B185" s="23" t="s">
        <v>362</v>
      </c>
      <c r="C185" s="53" t="s">
        <v>768</v>
      </c>
      <c r="D185" s="53" t="s">
        <v>450</v>
      </c>
      <c r="E185" s="53"/>
      <c r="F185" s="53" t="s">
        <v>969</v>
      </c>
      <c r="G185" s="39" t="s">
        <v>450</v>
      </c>
      <c r="H185" s="39"/>
      <c r="I185" s="3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9"/>
      <c r="U185" s="39"/>
      <c r="V185" s="39"/>
      <c r="W185" s="39"/>
      <c r="X185" s="1"/>
      <c r="Y185" s="1"/>
      <c r="Z185" s="1"/>
      <c r="AA185" s="1"/>
      <c r="AB185" s="1"/>
      <c r="AC185" s="1"/>
      <c r="AD185" s="39"/>
      <c r="AE185" s="39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39"/>
      <c r="AV185" s="39"/>
      <c r="AW185" s="1"/>
      <c r="AX185" s="1"/>
      <c r="AY185" s="1"/>
    </row>
    <row r="186" spans="1:51" x14ac:dyDescent="0.3">
      <c r="A186" s="4" t="s">
        <v>363</v>
      </c>
      <c r="B186" s="5" t="s">
        <v>364</v>
      </c>
      <c r="C186" s="53" t="s">
        <v>769</v>
      </c>
      <c r="D186" s="53" t="s">
        <v>450</v>
      </c>
      <c r="E186" s="53"/>
      <c r="F186" s="53" t="s">
        <v>970</v>
      </c>
      <c r="G186" s="39" t="s">
        <v>450</v>
      </c>
      <c r="H186" s="39"/>
      <c r="I186" s="3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9"/>
      <c r="U186" s="39"/>
      <c r="V186" s="39"/>
      <c r="W186" s="39"/>
      <c r="X186" s="1"/>
      <c r="Y186" s="1"/>
      <c r="Z186" s="1"/>
      <c r="AA186" s="1"/>
      <c r="AB186" s="1"/>
      <c r="AC186" s="1"/>
      <c r="AD186" s="39"/>
      <c r="AE186" s="39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39"/>
      <c r="AV186" s="39"/>
      <c r="AW186" s="1"/>
      <c r="AX186" s="1"/>
      <c r="AY186" s="1"/>
    </row>
    <row r="187" spans="1:51" x14ac:dyDescent="0.3">
      <c r="A187" s="13" t="s">
        <v>365</v>
      </c>
      <c r="B187" s="14" t="s">
        <v>366</v>
      </c>
      <c r="C187" s="53" t="s">
        <v>770</v>
      </c>
      <c r="D187" s="53" t="s">
        <v>450</v>
      </c>
      <c r="E187" s="53"/>
      <c r="F187" s="53" t="s">
        <v>971</v>
      </c>
      <c r="G187" s="39" t="s">
        <v>545</v>
      </c>
      <c r="H187" s="39" t="s">
        <v>450</v>
      </c>
      <c r="I187" s="39"/>
      <c r="J187" s="1"/>
      <c r="K187" s="1"/>
      <c r="L187" s="1"/>
      <c r="M187" s="1"/>
      <c r="N187" s="1"/>
      <c r="O187" s="1"/>
      <c r="P187" s="1"/>
      <c r="Q187" s="1"/>
      <c r="R187" s="61" t="s">
        <v>485</v>
      </c>
      <c r="S187" s="1" t="s">
        <v>450</v>
      </c>
      <c r="T187" s="39"/>
      <c r="U187" s="39"/>
      <c r="V187" s="39"/>
      <c r="W187" s="39"/>
      <c r="X187" s="1"/>
      <c r="Y187" s="1"/>
      <c r="Z187" s="1"/>
      <c r="AA187" s="1"/>
      <c r="AB187" s="1"/>
      <c r="AC187" s="1"/>
      <c r="AD187" s="39"/>
      <c r="AE187" s="39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39"/>
      <c r="AV187" s="39"/>
      <c r="AW187" s="1"/>
      <c r="AX187" s="1"/>
      <c r="AY187" s="1"/>
    </row>
    <row r="188" spans="1:51" x14ac:dyDescent="0.3">
      <c r="A188" s="24" t="s">
        <v>367</v>
      </c>
      <c r="B188" s="23" t="s">
        <v>368</v>
      </c>
      <c r="C188" s="53" t="s">
        <v>771</v>
      </c>
      <c r="D188" s="53" t="s">
        <v>450</v>
      </c>
      <c r="E188" s="53"/>
      <c r="F188" s="53" t="s">
        <v>972</v>
      </c>
      <c r="G188" s="39" t="s">
        <v>450</v>
      </c>
      <c r="H188" s="39"/>
      <c r="I188" s="39"/>
      <c r="J188" s="1"/>
      <c r="K188" s="1"/>
      <c r="L188" s="1"/>
      <c r="M188" s="1"/>
      <c r="N188" s="1"/>
      <c r="O188" s="1"/>
      <c r="P188" s="1"/>
      <c r="Q188" s="1"/>
      <c r="R188" s="61" t="s">
        <v>491</v>
      </c>
      <c r="S188" s="1" t="s">
        <v>450</v>
      </c>
      <c r="T188" s="39"/>
      <c r="U188" s="39"/>
      <c r="V188" s="39"/>
      <c r="W188" s="39"/>
      <c r="X188" s="1"/>
      <c r="Y188" s="1"/>
      <c r="Z188" s="1"/>
      <c r="AA188" s="1"/>
      <c r="AB188" s="1"/>
      <c r="AC188" s="1"/>
      <c r="AD188" s="39"/>
      <c r="AE188" s="39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39"/>
      <c r="AV188" s="39"/>
      <c r="AW188" s="1"/>
      <c r="AX188" s="1"/>
      <c r="AY188" s="1"/>
    </row>
    <row r="189" spans="1:51" x14ac:dyDescent="0.3">
      <c r="A189" s="4" t="s">
        <v>369</v>
      </c>
      <c r="B189" s="5" t="s">
        <v>370</v>
      </c>
      <c r="C189" s="53" t="s">
        <v>772</v>
      </c>
      <c r="D189" s="53" t="s">
        <v>450</v>
      </c>
      <c r="E189" s="53"/>
      <c r="F189" s="53" t="s">
        <v>973</v>
      </c>
      <c r="G189" s="39" t="s">
        <v>450</v>
      </c>
      <c r="H189" s="39"/>
      <c r="I189" s="3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9"/>
      <c r="U189" s="39"/>
      <c r="V189" s="39"/>
      <c r="W189" s="39"/>
      <c r="X189" s="1"/>
      <c r="Y189" s="1"/>
      <c r="Z189" s="1"/>
      <c r="AA189" s="1"/>
      <c r="AB189" s="1"/>
      <c r="AC189" s="1"/>
      <c r="AD189" s="39"/>
      <c r="AE189" s="39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39"/>
      <c r="AV189" s="39"/>
      <c r="AW189" s="1"/>
      <c r="AX189" s="1"/>
      <c r="AY189" s="1"/>
    </row>
    <row r="190" spans="1:51" x14ac:dyDescent="0.3">
      <c r="A190" s="2" t="s">
        <v>371</v>
      </c>
      <c r="B190" s="3" t="s">
        <v>372</v>
      </c>
      <c r="C190" s="53" t="s">
        <v>773</v>
      </c>
      <c r="D190" s="53" t="s">
        <v>450</v>
      </c>
      <c r="E190" s="53"/>
      <c r="F190" s="53" t="s">
        <v>974</v>
      </c>
      <c r="G190" s="39" t="s">
        <v>450</v>
      </c>
      <c r="H190" s="39"/>
      <c r="I190" s="3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9"/>
      <c r="U190" s="39"/>
      <c r="V190" s="39"/>
      <c r="W190" s="39"/>
      <c r="X190" s="1"/>
      <c r="Y190" s="1"/>
      <c r="Z190" s="1"/>
      <c r="AA190" s="1"/>
      <c r="AB190" s="1"/>
      <c r="AC190" s="1"/>
      <c r="AD190" s="39"/>
      <c r="AE190" s="39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39"/>
      <c r="AV190" s="39"/>
      <c r="AW190" s="1"/>
      <c r="AX190" s="1"/>
      <c r="AY190" s="1"/>
    </row>
    <row r="191" spans="1:51" x14ac:dyDescent="0.3">
      <c r="A191" s="2" t="s">
        <v>373</v>
      </c>
      <c r="B191" s="3" t="s">
        <v>374</v>
      </c>
      <c r="C191" s="53" t="s">
        <v>774</v>
      </c>
      <c r="D191" s="53" t="s">
        <v>450</v>
      </c>
      <c r="E191" s="53"/>
      <c r="F191" s="53" t="s">
        <v>975</v>
      </c>
      <c r="G191" s="39" t="s">
        <v>450</v>
      </c>
      <c r="H191" s="39"/>
      <c r="I191" s="3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9"/>
      <c r="U191" s="39"/>
      <c r="V191" s="39"/>
      <c r="W191" s="39"/>
      <c r="X191" s="1"/>
      <c r="Y191" s="1"/>
      <c r="Z191" s="1"/>
      <c r="AA191" s="1"/>
      <c r="AB191" s="1"/>
      <c r="AC191" s="1"/>
      <c r="AD191" s="39"/>
      <c r="AE191" s="39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39"/>
      <c r="AV191" s="39"/>
      <c r="AW191" s="1"/>
      <c r="AX191" s="1"/>
      <c r="AY191" s="1"/>
    </row>
    <row r="192" spans="1:51" x14ac:dyDescent="0.3">
      <c r="A192" s="2" t="s">
        <v>375</v>
      </c>
      <c r="B192" s="3" t="s">
        <v>376</v>
      </c>
      <c r="C192" s="53" t="s">
        <v>775</v>
      </c>
      <c r="D192" s="53" t="s">
        <v>450</v>
      </c>
      <c r="E192" s="53"/>
      <c r="F192" s="53" t="s">
        <v>976</v>
      </c>
      <c r="G192" s="39" t="s">
        <v>450</v>
      </c>
      <c r="H192" s="39"/>
      <c r="I192" s="3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9"/>
      <c r="U192" s="39"/>
      <c r="V192" s="39"/>
      <c r="W192" s="39"/>
      <c r="X192" s="1"/>
      <c r="Y192" s="1"/>
      <c r="Z192" s="1"/>
      <c r="AA192" s="1"/>
      <c r="AB192" s="1"/>
      <c r="AC192" s="1"/>
      <c r="AD192" s="39"/>
      <c r="AE192" s="39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39"/>
      <c r="AV192" s="39"/>
      <c r="AW192" s="1"/>
      <c r="AX192" s="1"/>
      <c r="AY192" s="1"/>
    </row>
    <row r="193" spans="1:52" x14ac:dyDescent="0.3">
      <c r="A193" s="17" t="s">
        <v>377</v>
      </c>
      <c r="B193" s="18" t="s">
        <v>378</v>
      </c>
      <c r="C193" s="53" t="s">
        <v>776</v>
      </c>
      <c r="D193" s="53" t="s">
        <v>450</v>
      </c>
      <c r="E193" s="53"/>
      <c r="F193" s="53" t="s">
        <v>977</v>
      </c>
      <c r="G193" s="39" t="s">
        <v>450</v>
      </c>
      <c r="H193" s="39"/>
      <c r="I193" s="3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9"/>
      <c r="U193" s="39"/>
      <c r="V193" s="39"/>
      <c r="W193" s="39"/>
      <c r="X193" s="1"/>
      <c r="Y193" s="1"/>
      <c r="Z193" s="1"/>
      <c r="AA193" s="1"/>
      <c r="AB193" s="1"/>
      <c r="AC193" s="1"/>
      <c r="AD193" s="39"/>
      <c r="AE193" s="39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39"/>
      <c r="AV193" s="39"/>
      <c r="AW193" s="1"/>
      <c r="AX193" s="1"/>
      <c r="AY193" s="1"/>
    </row>
    <row r="194" spans="1:52" x14ac:dyDescent="0.3">
      <c r="A194" s="9" t="s">
        <v>379</v>
      </c>
      <c r="B194" s="10" t="s">
        <v>380</v>
      </c>
      <c r="C194" s="53" t="s">
        <v>777</v>
      </c>
      <c r="D194" s="53" t="s">
        <v>450</v>
      </c>
      <c r="E194" s="53"/>
      <c r="F194" s="53" t="s">
        <v>978</v>
      </c>
      <c r="G194" s="39" t="s">
        <v>450</v>
      </c>
      <c r="H194" s="39"/>
      <c r="I194" s="39"/>
      <c r="J194" s="1"/>
      <c r="K194" s="1"/>
      <c r="L194" s="1"/>
      <c r="M194" s="1"/>
      <c r="N194" s="1"/>
      <c r="O194" s="1"/>
      <c r="P194" s="1"/>
      <c r="Q194" s="1"/>
      <c r="R194" s="61" t="s">
        <v>583</v>
      </c>
      <c r="S194" s="1" t="s">
        <v>450</v>
      </c>
      <c r="T194" s="39"/>
      <c r="U194" s="39"/>
      <c r="V194" s="57" t="s">
        <v>549</v>
      </c>
      <c r="W194" s="39" t="s">
        <v>549</v>
      </c>
      <c r="X194" s="39" t="s">
        <v>549</v>
      </c>
      <c r="Y194" s="39" t="s">
        <v>549</v>
      </c>
      <c r="Z194" s="1" t="s">
        <v>450</v>
      </c>
      <c r="AA194" s="1"/>
      <c r="AB194" s="1"/>
      <c r="AC194" s="1"/>
      <c r="AD194" s="39"/>
      <c r="AE194" s="39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39"/>
      <c r="AV194" s="39"/>
      <c r="AW194" s="1"/>
      <c r="AX194" s="1"/>
      <c r="AY194" s="1"/>
    </row>
    <row r="195" spans="1:52" x14ac:dyDescent="0.3">
      <c r="A195" s="9" t="s">
        <v>381</v>
      </c>
      <c r="B195" s="10" t="s">
        <v>382</v>
      </c>
      <c r="C195" s="53" t="s">
        <v>778</v>
      </c>
      <c r="D195" s="53" t="s">
        <v>450</v>
      </c>
      <c r="E195" s="53"/>
      <c r="F195" s="53" t="s">
        <v>979</v>
      </c>
      <c r="G195" s="39" t="s">
        <v>450</v>
      </c>
      <c r="H195" s="39"/>
      <c r="I195" s="39"/>
      <c r="J195" s="1"/>
      <c r="K195" s="1"/>
      <c r="L195" s="1"/>
      <c r="M195" s="1"/>
      <c r="N195" s="1"/>
      <c r="O195" s="1"/>
      <c r="P195" s="1"/>
      <c r="Q195" s="1"/>
      <c r="R195" s="61" t="s">
        <v>469</v>
      </c>
      <c r="S195" s="1" t="s">
        <v>450</v>
      </c>
      <c r="T195" s="39"/>
      <c r="U195" s="39"/>
      <c r="V195" s="39"/>
      <c r="W195" s="39"/>
      <c r="X195" s="1"/>
      <c r="Y195" s="1"/>
      <c r="Z195" s="1"/>
      <c r="AA195" s="1"/>
      <c r="AB195" s="1"/>
      <c r="AC195" s="1"/>
      <c r="AD195" s="39"/>
      <c r="AE195" s="39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39"/>
      <c r="AV195" s="39"/>
      <c r="AW195" s="1"/>
      <c r="AX195" s="1"/>
      <c r="AY195" s="1"/>
    </row>
    <row r="196" spans="1:52" x14ac:dyDescent="0.3">
      <c r="A196" s="21" t="s">
        <v>383</v>
      </c>
      <c r="B196" s="18" t="s">
        <v>384</v>
      </c>
      <c r="C196" s="53" t="s">
        <v>779</v>
      </c>
      <c r="D196" s="53" t="s">
        <v>450</v>
      </c>
      <c r="E196" s="53"/>
      <c r="F196" s="53" t="s">
        <v>980</v>
      </c>
      <c r="G196" s="39" t="s">
        <v>450</v>
      </c>
      <c r="H196" s="39"/>
      <c r="I196" s="3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9"/>
      <c r="U196" s="39"/>
      <c r="V196" s="39"/>
      <c r="W196" s="39"/>
      <c r="X196" s="1"/>
      <c r="Y196" s="1"/>
      <c r="Z196" s="1"/>
      <c r="AA196" s="1"/>
      <c r="AB196" s="1"/>
      <c r="AC196" s="1"/>
      <c r="AD196" s="39"/>
      <c r="AE196" s="39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39"/>
      <c r="AV196" s="39"/>
      <c r="AW196" s="1"/>
      <c r="AX196" s="1"/>
      <c r="AY196" s="1"/>
    </row>
    <row r="197" spans="1:52" x14ac:dyDescent="0.3">
      <c r="A197" s="2" t="s">
        <v>385</v>
      </c>
      <c r="B197" s="3" t="s">
        <v>386</v>
      </c>
      <c r="C197" s="53" t="s">
        <v>780</v>
      </c>
      <c r="D197" s="53" t="s">
        <v>450</v>
      </c>
      <c r="E197" s="53"/>
      <c r="F197" s="53" t="s">
        <v>981</v>
      </c>
      <c r="G197" s="39" t="s">
        <v>450</v>
      </c>
      <c r="H197" s="39"/>
      <c r="I197" s="3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9"/>
      <c r="U197" s="39"/>
      <c r="V197" s="39"/>
      <c r="W197" s="39"/>
      <c r="X197" s="1"/>
      <c r="Y197" s="1"/>
      <c r="Z197" s="1"/>
      <c r="AA197" s="1"/>
      <c r="AB197" s="1"/>
      <c r="AC197" s="1"/>
      <c r="AD197" s="39"/>
      <c r="AE197" s="39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39"/>
      <c r="AV197" s="39"/>
      <c r="AW197" s="1"/>
      <c r="AX197" s="1"/>
      <c r="AY197" s="1"/>
    </row>
    <row r="198" spans="1:52" x14ac:dyDescent="0.3">
      <c r="A198" s="6" t="s">
        <v>387</v>
      </c>
      <c r="B198" s="3" t="s">
        <v>388</v>
      </c>
      <c r="C198" s="53" t="s">
        <v>781</v>
      </c>
      <c r="D198" s="53" t="s">
        <v>450</v>
      </c>
      <c r="E198" s="53"/>
      <c r="F198" s="53" t="s">
        <v>982</v>
      </c>
      <c r="G198" s="39" t="s">
        <v>450</v>
      </c>
      <c r="H198" s="39"/>
      <c r="I198" s="3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9"/>
      <c r="U198" s="39"/>
      <c r="V198" s="39"/>
      <c r="W198" s="39"/>
      <c r="X198" s="1"/>
      <c r="Y198" s="1"/>
      <c r="Z198" s="1"/>
      <c r="AA198" s="1"/>
      <c r="AB198" s="1"/>
      <c r="AC198" s="1"/>
      <c r="AD198" s="39"/>
      <c r="AE198" s="39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39"/>
      <c r="AV198" s="39"/>
      <c r="AW198" s="1"/>
      <c r="AX198" s="1"/>
      <c r="AY198" s="1"/>
    </row>
    <row r="199" spans="1:52" x14ac:dyDescent="0.3">
      <c r="A199" s="6" t="s">
        <v>389</v>
      </c>
      <c r="B199" s="5" t="s">
        <v>390</v>
      </c>
      <c r="C199" s="53" t="s">
        <v>782</v>
      </c>
      <c r="D199" s="53" t="s">
        <v>450</v>
      </c>
      <c r="E199" s="53"/>
      <c r="F199" s="53" t="s">
        <v>983</v>
      </c>
      <c r="G199" s="39" t="s">
        <v>545</v>
      </c>
      <c r="H199" s="39" t="s">
        <v>450</v>
      </c>
      <c r="I199" s="39"/>
      <c r="J199" s="1"/>
      <c r="K199" s="1"/>
      <c r="L199" s="1"/>
      <c r="M199" s="1"/>
      <c r="N199" s="1"/>
      <c r="O199" s="1"/>
      <c r="P199" s="1"/>
      <c r="Q199" s="1"/>
      <c r="R199" s="61" t="s">
        <v>477</v>
      </c>
      <c r="S199" s="1" t="s">
        <v>450</v>
      </c>
      <c r="T199" s="39"/>
      <c r="U199" s="39"/>
      <c r="V199" s="39"/>
      <c r="W199" s="39"/>
      <c r="X199" s="1"/>
      <c r="Y199" s="1"/>
      <c r="Z199" s="1"/>
      <c r="AA199" s="1"/>
      <c r="AB199" s="1"/>
      <c r="AC199" s="1"/>
      <c r="AD199" s="39"/>
      <c r="AE199" s="39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39"/>
      <c r="AV199" s="39"/>
      <c r="AW199" s="1"/>
      <c r="AX199" s="1"/>
      <c r="AY199" s="1"/>
    </row>
    <row r="200" spans="1:52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9"/>
      <c r="U200" s="39"/>
      <c r="V200" s="39"/>
      <c r="W200" s="39"/>
      <c r="X200" s="1"/>
      <c r="Y200" s="1"/>
      <c r="Z200" s="1"/>
      <c r="AA200" s="1"/>
      <c r="AB200" s="1"/>
      <c r="AC200" s="1"/>
      <c r="AD200" s="39"/>
      <c r="AE200" s="3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39"/>
      <c r="AV200" s="39"/>
      <c r="AW200" s="1"/>
      <c r="AX200" s="1"/>
      <c r="AY200" s="1"/>
      <c r="AZ200" t="s">
        <v>401</v>
      </c>
    </row>
  </sheetData>
  <mergeCells count="3">
    <mergeCell ref="J1:Q1"/>
    <mergeCell ref="X1:AC1"/>
    <mergeCell ref="AF1:AT1"/>
  </mergeCells>
  <phoneticPr fontId="5" type="noConversion"/>
  <hyperlinks>
    <hyperlink ref="H40" r:id="rId1" xr:uid="{CA49529C-FD58-4F4E-B701-8EF3386F963C}"/>
    <hyperlink ref="J40" r:id="rId2" xr:uid="{6DBC38FB-2A36-4B20-9DB2-95FEF03EEC4C}"/>
    <hyperlink ref="K40" r:id="rId3" xr:uid="{2BAFE3F4-BBE7-4F24-8259-8A6E3DE8B030}"/>
    <hyperlink ref="L40" r:id="rId4" xr:uid="{7C878E6F-5183-4265-87A0-329DE9FF4401}"/>
    <hyperlink ref="M40" r:id="rId5" xr:uid="{B09221C1-B3D3-4EBB-A792-70A924CF7C18}"/>
    <hyperlink ref="P40" r:id="rId6" xr:uid="{C3463590-11A0-495E-AAD6-7F7AE4FBA8B1}"/>
    <hyperlink ref="Q40" r:id="rId7" xr:uid="{663A3676-7EA1-479C-896F-52358BCB289E}"/>
    <hyperlink ref="V40" r:id="rId8" xr:uid="{9E02658A-474E-44AC-9EAA-6AC735CDE42A}"/>
    <hyperlink ref="Z40" r:id="rId9" xr:uid="{61FF1517-C468-4DE5-AAEA-F8E2FF3E4406}"/>
    <hyperlink ref="AB40" r:id="rId10" xr:uid="{A2334A5C-0421-4A6D-87F3-479A9CCCFC0F}"/>
    <hyperlink ref="AK40" r:id="rId11" xr:uid="{F8B469AF-0286-4FF1-9397-F9F18A8EA3C0}"/>
    <hyperlink ref="AM40" r:id="rId12" xr:uid="{9A11C1B5-2A75-404F-9993-6677658D7AF4}"/>
    <hyperlink ref="AP40" r:id="rId13" xr:uid="{9D1271D4-1922-4CD6-B7F7-FBFBDE83F5F3}"/>
    <hyperlink ref="R40" r:id="rId14" xr:uid="{D0AB6C37-6B9D-47EC-8D0A-77806CA20D0C}"/>
    <hyperlink ref="S40" r:id="rId15" xr:uid="{F4A25D38-9B54-4891-ADD7-5847F47D292F}"/>
    <hyperlink ref="AU126" r:id="rId16" xr:uid="{FBCEB35F-B6E2-4F67-B8B4-5877D396DE7C}"/>
    <hyperlink ref="G141" r:id="rId17" xr:uid="{8E21AC4D-2B55-4322-8500-18EF0AAA4945}"/>
    <hyperlink ref="R141" r:id="rId18" xr:uid="{6FAC770E-6808-49C7-B999-A64960D57FE6}"/>
    <hyperlink ref="R124" r:id="rId19" xr:uid="{E64D55B8-B9A9-49AC-918A-07C211BBC2C1}"/>
    <hyperlink ref="I47" r:id="rId20" xr:uid="{FA1E6221-E2E3-4FBD-BA1C-BD42AACF12E5}"/>
    <hyperlink ref="R112" r:id="rId21" xr:uid="{1F8D5255-B22D-4414-A8D8-3B049B87A6F8}"/>
    <hyperlink ref="G75" r:id="rId22" xr:uid="{93C8BDD5-3394-4E5A-A379-8D9965881980}"/>
    <hyperlink ref="I52" r:id="rId23" xr:uid="{8EC29D7F-FE80-4AEC-A920-38C5AD31E5A3}"/>
    <hyperlink ref="U77" r:id="rId24" xr:uid="{94158C5D-2AE5-4838-89A5-F5994A0947B5}"/>
    <hyperlink ref="V194" r:id="rId25" xr:uid="{E49C2CCB-EEEF-41E3-8970-33985B86D0C1}"/>
    <hyperlink ref="G71" r:id="rId26" xr:uid="{320E8A5D-8635-4291-8E2A-79B511236ADF}"/>
    <hyperlink ref="R91" r:id="rId27" xr:uid="{3E298329-6DE1-4A7D-A8F1-9DF0921CD912}"/>
    <hyperlink ref="I91" r:id="rId28" xr:uid="{DF06A26B-7E2B-448F-A798-ED6966439855}"/>
    <hyperlink ref="AH67" r:id="rId29" xr:uid="{8804E34A-94DB-42CD-A85B-D25C97850F42}"/>
    <hyperlink ref="X50" r:id="rId30" xr:uid="{480D6AED-7AEB-475C-9289-DDE2247F5777}"/>
    <hyperlink ref="AH17" r:id="rId31" xr:uid="{E4E9BB60-7D60-45B7-8D0E-BB0BA2D1A3C3}"/>
    <hyperlink ref="AH40" r:id="rId32" xr:uid="{5F6AC823-BFEA-42B8-BA13-099D0DA27D13}"/>
    <hyperlink ref="R71" r:id="rId33" xr:uid="{EA728196-FE1C-42E5-9C82-FD250C1835A3}"/>
    <hyperlink ref="G4" r:id="rId34" xr:uid="{31DF433D-CB5A-42E0-A987-7A40725262C0}"/>
    <hyperlink ref="I8" r:id="rId35" xr:uid="{1FE67250-21AF-4F1A-AF04-E9FD1CBFD1C6}"/>
    <hyperlink ref="R7" r:id="rId36" xr:uid="{FE799200-77EA-4C67-BC4F-B8500F7C3CE3}"/>
    <hyperlink ref="I7" r:id="rId37" xr:uid="{1CF8E90C-596E-415D-A0EF-01C85118CCC8}"/>
    <hyperlink ref="G9" r:id="rId38" xr:uid="{A1CDDF3D-4D08-44B3-9373-70AC9E29ACF8}"/>
    <hyperlink ref="R10" r:id="rId39" xr:uid="{886C616C-C655-40BD-B991-3C037C076855}"/>
    <hyperlink ref="I13" r:id="rId40" xr:uid="{4EF2A8BD-E9D9-4AA8-B44D-88B7538951B6}"/>
    <hyperlink ref="G14" r:id="rId41" xr:uid="{61A33352-CDCE-4586-A702-7BDC8375D716}"/>
    <hyperlink ref="S14" r:id="rId42" xr:uid="{13729220-372D-454B-90AE-08C5F3D0299A}"/>
    <hyperlink ref="G15" r:id="rId43" xr:uid="{C5BF788C-3174-4458-A7CB-A20FA51F23E5}"/>
    <hyperlink ref="AU15" r:id="rId44" xr:uid="{4A5FD3AC-960D-47C9-BBFD-D00722160A69}"/>
    <hyperlink ref="R16" r:id="rId45" xr:uid="{11DE76DE-9025-4E50-B374-F1980CA7A383}"/>
    <hyperlink ref="R17" r:id="rId46" xr:uid="{F4BFB341-F958-4CE6-B04C-EEEA25FD2D24}"/>
    <hyperlink ref="T17" r:id="rId47" xr:uid="{7CB09F53-32DA-4979-B080-57DD08C337E2}"/>
    <hyperlink ref="G18" r:id="rId48" xr:uid="{C2AB6AE9-1414-4668-8F91-5684DDD98221}"/>
    <hyperlink ref="I18" r:id="rId49" xr:uid="{12DB9781-D6F5-40AC-90B8-C662B8ECBF28}"/>
    <hyperlink ref="R19" r:id="rId50" xr:uid="{E54FE318-12B6-4CCE-A0C8-7127EB4203D1}"/>
    <hyperlink ref="R18" r:id="rId51" xr:uid="{0204FA94-47F2-4701-AF02-6279704D4679}"/>
    <hyperlink ref="G22" r:id="rId52" location="panel-11" xr:uid="{58FC13E0-1CDE-4F7C-AE58-9969256E8C11}"/>
    <hyperlink ref="J23" r:id="rId53" xr:uid="{C8515039-302B-4BF4-B06A-E35F7D46954D}"/>
    <hyperlink ref="R27" r:id="rId54" xr:uid="{E03A4965-93E6-4233-AFA7-0A38E07B8B32}"/>
    <hyperlink ref="I30" r:id="rId55" xr:uid="{6D55235C-13BC-438D-856E-2B0C08582A78}"/>
    <hyperlink ref="R31" r:id="rId56" xr:uid="{52E29D2E-A5FF-440D-A8DD-9260EC6C7825}"/>
    <hyperlink ref="R32" r:id="rId57" xr:uid="{9F9F0AFE-26ED-410B-B6EA-89A4056ED188}"/>
    <hyperlink ref="R34" r:id="rId58" xr:uid="{66E29756-F941-48E8-B9A5-02122B728BE2}"/>
    <hyperlink ref="I36" r:id="rId59" xr:uid="{9F1061AC-3CEF-4696-84A6-7283AF10BDCC}"/>
    <hyperlink ref="I37" r:id="rId60" xr:uid="{3E42D593-FDEC-44BC-BE9A-85F481852D6D}"/>
    <hyperlink ref="I39" r:id="rId61" xr:uid="{9A7CD856-3E1A-4507-B3F8-B700F31C6DEF}"/>
    <hyperlink ref="R39" r:id="rId62" xr:uid="{AA8090A2-F13B-4653-9EB6-FA7363E59CFB}"/>
    <hyperlink ref="T40" r:id="rId63" xr:uid="{3DD74096-1C0F-4804-9D5B-4BB29142B7BC}"/>
    <hyperlink ref="R44" r:id="rId64" xr:uid="{1971B456-C2F8-4E07-ADF5-DA1BB3C20AAD}"/>
    <hyperlink ref="I34" r:id="rId65" xr:uid="{DA2277A5-2221-4CC6-AA6C-CE1297E64A67}"/>
    <hyperlink ref="G47" r:id="rId66" xr:uid="{561C168C-4A09-434D-ADD7-65E14A64D2B4}"/>
    <hyperlink ref="I48" r:id="rId67" xr:uid="{F43C270C-040D-487C-AFE7-CB8FB82C8F7D}"/>
    <hyperlink ref="J50" r:id="rId68" xr:uid="{5D09E5C5-B4FB-4091-AFDE-4F8B1E52CA58}"/>
    <hyperlink ref="I51" r:id="rId69" xr:uid="{8A53D3F2-C3BC-4FA8-BF56-E858EC502448}"/>
    <hyperlink ref="R53" r:id="rId70" xr:uid="{8A43C60E-0F5B-4FA4-9D69-F26167768156}"/>
    <hyperlink ref="G54" r:id="rId71" xr:uid="{28EC551B-0BEA-41AE-BC90-6C13AAB206ED}"/>
    <hyperlink ref="R55" r:id="rId72" xr:uid="{7BE04A44-F041-4160-B4CF-A8404DF30378}"/>
    <hyperlink ref="I57" r:id="rId73" xr:uid="{4C94BBBD-C40A-4B14-A873-D7DFE83A2766}"/>
    <hyperlink ref="I60" r:id="rId74" xr:uid="{865F8B28-C7D6-4A52-AEEA-7B166B4A4620}"/>
    <hyperlink ref="I61" r:id="rId75" xr:uid="{EEB715CA-71DE-4982-8463-A12F49FF8D27}"/>
    <hyperlink ref="I62" r:id="rId76" xr:uid="{7BD4EF34-53CF-4AE0-9E9A-1AE9C5D5896F}"/>
    <hyperlink ref="I64" r:id="rId77" xr:uid="{55A04A7D-172D-466A-A190-DE8106E637AD}"/>
    <hyperlink ref="R67" r:id="rId78" xr:uid="{1694953C-CFBC-4E70-BE7B-0388E30E6469}"/>
    <hyperlink ref="G67" r:id="rId79" xr:uid="{6EFF25FD-977D-4FBA-873A-CC6021526215}"/>
    <hyperlink ref="I67" r:id="rId80" xr:uid="{8B9A39CE-E92A-4B8F-A586-E8B67F9A529A}"/>
    <hyperlink ref="Z67" r:id="rId81" xr:uid="{BD471B38-3983-41E7-8F85-FF1A0B1E53B1}"/>
    <hyperlink ref="I68" r:id="rId82" xr:uid="{EBAAD3C2-BF58-4075-9F93-2FFF26D50E6A}"/>
    <hyperlink ref="I70" r:id="rId83" xr:uid="{41FBFA1F-E81E-45E2-A717-A42C137FC6AA}"/>
    <hyperlink ref="J72" r:id="rId84" xr:uid="{72B2527F-DCDC-4092-B2B4-76A8D8A7F871}"/>
    <hyperlink ref="N72" r:id="rId85" xr:uid="{E9A79025-EDA9-4D8E-83A9-E09664F27ABB}"/>
    <hyperlink ref="P72" r:id="rId86" xr:uid="{7533986E-DA74-42F7-9264-16D16E2B9CC0}"/>
    <hyperlink ref="R72" r:id="rId87" xr:uid="{A166FB5F-E258-443F-8C8D-C4768C5AF45F}"/>
    <hyperlink ref="I74" r:id="rId88" xr:uid="{DB58FDC0-161B-4E17-9D63-03A352090096}"/>
    <hyperlink ref="I77" r:id="rId89" xr:uid="{1E95053F-278F-479F-9C9B-356E72EC7DEC}"/>
    <hyperlink ref="R77" r:id="rId90" xr:uid="{1B535740-5342-4293-9914-1A7008100A8F}"/>
    <hyperlink ref="R84" r:id="rId91" xr:uid="{EBC91328-0318-4985-93A0-4DD7940D27EA}"/>
    <hyperlink ref="I90" r:id="rId92" xr:uid="{8854A7A3-ED11-4F36-B4BF-3993436BA2BC}"/>
    <hyperlink ref="I95" r:id="rId93" xr:uid="{A77D67B6-52BD-45AD-92C4-54F8FF0C659F}"/>
    <hyperlink ref="R95" r:id="rId94" xr:uid="{345C467C-4013-4658-B967-653A54A3D917}"/>
    <hyperlink ref="R100" r:id="rId95" xr:uid="{056879DF-1F2E-401F-8B27-D2206A94762F}"/>
    <hyperlink ref="AB104" r:id="rId96" xr:uid="{3091733F-DB8A-48C5-AB9E-7977C5C3B152}"/>
    <hyperlink ref="R103" r:id="rId97" xr:uid="{5E9B6723-86D8-41B1-8901-C19DB2F455DB}"/>
    <hyperlink ref="R105" r:id="rId98" xr:uid="{FDA30698-4301-4320-BC2A-5FE3FB19FA2C}"/>
    <hyperlink ref="I107" r:id="rId99" xr:uid="{FE4078EA-4DB9-4706-AF5E-6D39ED7253CF}"/>
    <hyperlink ref="G111" r:id="rId100" xr:uid="{AE356AA0-6962-4FE0-AAA4-DA038F47D4DE}"/>
    <hyperlink ref="R113" r:id="rId101" location="general_results" xr:uid="{F741A07C-D513-49A9-88DB-A9DF03985A0F}"/>
    <hyperlink ref="I115" r:id="rId102" xr:uid="{22668A3D-61F3-4356-BAAB-1E167E3D46E0}"/>
    <hyperlink ref="R118" r:id="rId103" xr:uid="{4EFDF193-FFE7-4292-AC10-3361C80567FD}"/>
    <hyperlink ref="I124" r:id="rId104" xr:uid="{4D65C9F0-1095-476A-AC9A-42CAE93F42D3}"/>
    <hyperlink ref="G126" r:id="rId105" xr:uid="{846FB2F5-0BAC-4F75-8D6C-6B1E1E3A8F81}"/>
    <hyperlink ref="T126" r:id="rId106" xr:uid="{3FD970E1-6421-49A6-8DC8-6B869531ADCE}"/>
    <hyperlink ref="X126" r:id="rId107" xr:uid="{D7967735-FF40-4B9A-A01B-EF5304A2722D}"/>
    <hyperlink ref="G130" r:id="rId108" xr:uid="{444FEB98-BB6B-4C40-ABA2-79FEE9C408BD}"/>
    <hyperlink ref="G132" r:id="rId109" xr:uid="{DADEF251-3620-4B1B-9752-0C297E11DD27}"/>
    <hyperlink ref="R137" r:id="rId110" xr:uid="{2ECBD80C-D6D2-424E-B9A7-027EC0359274}"/>
    <hyperlink ref="I138" r:id="rId111" xr:uid="{16A9DED6-65EC-4F6B-A722-5EAA613DD192}"/>
    <hyperlink ref="R140" r:id="rId112" xr:uid="{4AB70B84-EBED-4971-B948-16CAE1A1888D}"/>
    <hyperlink ref="I143" r:id="rId113" xr:uid="{505A7C4B-21FD-4143-A67D-9D3B126703B4}"/>
    <hyperlink ref="G152" r:id="rId114" xr:uid="{EF37FA26-1500-49EC-AA3F-38E6973936F9}"/>
    <hyperlink ref="J152" r:id="rId115" xr:uid="{346CF625-CD5A-44EB-B531-EA0D1A13E351}"/>
    <hyperlink ref="R152" r:id="rId116" xr:uid="{10E58B49-D9EF-4095-B54B-6E64E0E39549}"/>
    <hyperlink ref="I154" r:id="rId117" xr:uid="{AEA2B003-76ED-4FC4-9562-B9B8AF3C6D38}"/>
    <hyperlink ref="R154" r:id="rId118" xr:uid="{E4763948-9A9C-4E34-9707-ADAACC9C698C}"/>
    <hyperlink ref="R158" r:id="rId119" xr:uid="{73E04902-B704-4367-8140-8BA6948C15B7}"/>
    <hyperlink ref="AC158" r:id="rId120" xr:uid="{EA816720-81ED-4463-BCF4-9F8EE7F2268E}"/>
    <hyperlink ref="G159" r:id="rId121" xr:uid="{69C199FF-E203-49BF-9909-F622A7018426}"/>
    <hyperlink ref="R160" r:id="rId122" xr:uid="{B62D6ED0-D4B3-4567-9771-860B0CD5D3D8}"/>
    <hyperlink ref="I160" r:id="rId123" xr:uid="{28F2AB74-D93B-43BD-B2B2-B252BDA98132}"/>
    <hyperlink ref="R162" r:id="rId124" xr:uid="{931E0D0D-9E15-406D-95E7-55E24FC38977}"/>
    <hyperlink ref="R194" r:id="rId125" xr:uid="{FBBD2C01-21F4-4AD3-969F-271FF25A02F0}"/>
    <hyperlink ref="G173" r:id="rId126" xr:uid="{8AAF3E12-607A-4A54-97A2-ACF1F72AE96C}"/>
    <hyperlink ref="I180" r:id="rId127" xr:uid="{5E20DB05-AAAC-4A14-9DCB-F2F89B07C372}"/>
    <hyperlink ref="R181" r:id="rId128" xr:uid="{5C9E407B-C2BF-40A0-AAEC-9492C6B870C5}"/>
    <hyperlink ref="R187" r:id="rId129" xr:uid="{9E622850-678E-4F26-8103-76F87D400701}"/>
    <hyperlink ref="R188" r:id="rId130" xr:uid="{5AB5C072-A5F5-44B2-A03C-23913BA5E576}"/>
    <hyperlink ref="R195" r:id="rId131" xr:uid="{3BE2BE54-F090-4CBF-BAD6-BC2CDA3456F9}"/>
    <hyperlink ref="R199" r:id="rId132" xr:uid="{3D79D8CA-0642-4C56-B7C3-ABB02CEE570E}"/>
    <hyperlink ref="F36" r:id="rId133" xr:uid="{848DA4FE-4E42-44D1-9269-249BB6DB313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92" t="s">
        <v>408</v>
      </c>
      <c r="G1" s="93"/>
      <c r="H1" s="93"/>
      <c r="I1" s="93"/>
      <c r="J1" s="93"/>
      <c r="K1" s="93"/>
      <c r="L1" s="93"/>
      <c r="M1" s="94"/>
      <c r="N1" s="37"/>
      <c r="O1" s="37"/>
      <c r="P1" s="42" t="s">
        <v>442</v>
      </c>
      <c r="Q1" s="42" t="s">
        <v>443</v>
      </c>
      <c r="R1" s="42"/>
      <c r="S1" s="41"/>
      <c r="T1" s="92" t="s">
        <v>409</v>
      </c>
      <c r="U1" s="93"/>
      <c r="V1" s="93"/>
      <c r="W1" s="93"/>
      <c r="X1" s="93"/>
      <c r="Y1" s="94"/>
      <c r="Z1" s="38"/>
      <c r="AA1" s="38"/>
      <c r="AB1" s="92" t="s">
        <v>410</v>
      </c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4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2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2025-11-20T14:01:07Z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