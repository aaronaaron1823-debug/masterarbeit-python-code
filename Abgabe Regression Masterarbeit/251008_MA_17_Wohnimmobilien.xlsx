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83569FDA-AEA3-45AA-88C6-CA20435C601F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90" i="2"/>
  <c r="M191" i="2"/>
  <c r="M192" i="2"/>
  <c r="M193" i="2"/>
  <c r="M194" i="2"/>
  <c r="M195" i="2"/>
  <c r="M196" i="2"/>
  <c r="M197" i="2"/>
  <c r="M19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0" i="2"/>
  <c r="J191" i="2"/>
  <c r="J192" i="2"/>
  <c r="J193" i="2"/>
  <c r="J194" i="2"/>
  <c r="J195" i="2"/>
  <c r="J196" i="2"/>
  <c r="J197" i="2"/>
  <c r="J19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91" i="2"/>
  <c r="E192" i="2"/>
  <c r="E193" i="2"/>
  <c r="E194" i="2"/>
  <c r="E195" i="2"/>
  <c r="E196" i="2"/>
  <c r="E197" i="2"/>
  <c r="E198" i="2"/>
  <c r="N196" i="2" l="1"/>
  <c r="N45" i="2"/>
  <c r="N2" i="2"/>
  <c r="N3" i="2"/>
  <c r="N4" i="2"/>
  <c r="N5" i="2"/>
  <c r="N29" i="2"/>
  <c r="N102" i="2"/>
  <c r="N174" i="2"/>
  <c r="N6" i="2"/>
  <c r="N7" i="2"/>
  <c r="N8" i="2"/>
  <c r="N9" i="2"/>
  <c r="N10" i="2"/>
  <c r="N11" i="2"/>
  <c r="N105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99" i="2"/>
  <c r="N30" i="2"/>
  <c r="N31" i="2"/>
  <c r="N32" i="2"/>
  <c r="N33" i="2"/>
  <c r="N34" i="2"/>
  <c r="N35" i="2"/>
  <c r="N44" i="2"/>
  <c r="N198" i="2"/>
  <c r="N38" i="2"/>
  <c r="N39" i="2"/>
  <c r="N40" i="2"/>
  <c r="N41" i="2"/>
  <c r="N42" i="2"/>
  <c r="N43" i="2"/>
  <c r="N109" i="2"/>
  <c r="N46" i="2"/>
  <c r="N98" i="2"/>
  <c r="N158" i="2"/>
  <c r="N49" i="2"/>
  <c r="N50" i="2"/>
  <c r="N51" i="2"/>
  <c r="N129" i="2"/>
  <c r="N53" i="2"/>
  <c r="N69" i="2"/>
  <c r="N55" i="2"/>
  <c r="N56" i="2"/>
  <c r="N57" i="2"/>
  <c r="N58" i="2"/>
  <c r="N59" i="2"/>
  <c r="N60" i="2"/>
  <c r="N61" i="2"/>
  <c r="N62" i="2"/>
  <c r="N63" i="2"/>
  <c r="N64" i="2"/>
  <c r="N93" i="2"/>
  <c r="N66" i="2"/>
  <c r="N67" i="2"/>
  <c r="N47" i="2"/>
  <c r="N128" i="2"/>
  <c r="N70" i="2"/>
  <c r="N71" i="2"/>
  <c r="N72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12" i="2"/>
  <c r="N94" i="2"/>
  <c r="N95" i="2"/>
  <c r="N96" i="2"/>
  <c r="N97" i="2"/>
  <c r="N150" i="2"/>
  <c r="N36" i="2"/>
  <c r="N100" i="2"/>
  <c r="N101" i="2"/>
  <c r="N103" i="2"/>
  <c r="N104" i="2"/>
  <c r="N65" i="2"/>
  <c r="N106" i="2"/>
  <c r="N107" i="2"/>
  <c r="N108" i="2"/>
  <c r="N130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49" i="2"/>
  <c r="N125" i="2"/>
  <c r="N126" i="2"/>
  <c r="N127" i="2"/>
  <c r="N185" i="2"/>
  <c r="N54" i="2"/>
  <c r="N28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52" i="2"/>
  <c r="N124" i="2"/>
  <c r="N151" i="2"/>
  <c r="N152" i="2"/>
  <c r="N153" i="2"/>
  <c r="N154" i="2"/>
  <c r="N155" i="2"/>
  <c r="N156" i="2"/>
  <c r="N157" i="2"/>
  <c r="N160" i="2"/>
  <c r="N159" i="2"/>
  <c r="N171" i="2"/>
  <c r="N161" i="2"/>
  <c r="N162" i="2"/>
  <c r="N163" i="2"/>
  <c r="N164" i="2"/>
  <c r="N165" i="2"/>
  <c r="N166" i="2"/>
  <c r="N167" i="2"/>
  <c r="N168" i="2"/>
  <c r="N169" i="2"/>
  <c r="N170" i="2"/>
  <c r="N68" i="2"/>
  <c r="N172" i="2"/>
  <c r="N173" i="2"/>
  <c r="N175" i="2"/>
  <c r="N176" i="2"/>
  <c r="N177" i="2"/>
  <c r="N178" i="2"/>
  <c r="N179" i="2"/>
  <c r="N180" i="2"/>
  <c r="N181" i="2"/>
  <c r="N182" i="2"/>
  <c r="N183" i="2"/>
  <c r="N184" i="2"/>
  <c r="N48" i="2"/>
  <c r="N186" i="2"/>
  <c r="N187" i="2"/>
  <c r="N188" i="2"/>
  <c r="N190" i="2"/>
  <c r="N191" i="2"/>
  <c r="N192" i="2"/>
  <c r="N193" i="2"/>
  <c r="N194" i="2"/>
  <c r="N195" i="2"/>
  <c r="N197" i="2"/>
  <c r="N37" i="2"/>
  <c r="L73" i="2"/>
  <c r="P44" i="2"/>
  <c r="W66" i="2"/>
  <c r="Z39" i="6"/>
  <c r="AM37" i="2"/>
  <c r="AV37" i="2"/>
  <c r="M73" i="2" l="1"/>
  <c r="N73" i="2" s="1"/>
</calcChain>
</file>

<file path=xl/sharedStrings.xml><?xml version="1.0" encoding="utf-8"?>
<sst xmlns="http://schemas.openxmlformats.org/spreadsheetml/2006/main" count="2952" uniqueCount="1001">
  <si>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</si>
  <si>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</si>
  <si>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</si>
  <si>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</si>
  <si>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</si>
  <si>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</si>
  <si>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</si>
  <si>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</si>
  <si>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</si>
  <si>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</si>
  <si>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</si>
  <si>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</si>
  <si>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</si>
  <si>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</si>
  <si>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</si>
  <si>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</si>
  <si>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</si>
  <si>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</si>
  <si>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</si>
  <si>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</si>
  <si>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</si>
  <si>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</si>
  <si>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</si>
  <si>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</si>
  <si>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</si>
  <si>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</si>
  <si>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</si>
  <si>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</si>
  <si>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</si>
  <si>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</si>
  <si>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</si>
  <si>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</si>
  <si>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</si>
  <si>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</si>
  <si>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</si>
  <si>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</si>
  <si>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</si>
  <si>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</si>
  <si>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</si>
  <si>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</si>
  <si>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</si>
  <si>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</si>
  <si>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</si>
  <si>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</si>
  <si>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</si>
  <si>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</si>
  <si>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</si>
  <si>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</si>
  <si>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</si>
  <si>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</si>
  <si>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</si>
  <si>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</si>
  <si>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</si>
  <si>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</si>
  <si>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</si>
  <si>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</si>
  <si>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</si>
  <si>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</si>
  <si>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</si>
  <si>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</si>
  <si>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</si>
  <si>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</si>
  <si>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</si>
  <si>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</si>
  <si>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</si>
  <si>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</si>
  <si>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</si>
  <si>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</si>
  <si>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</si>
  <si>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</si>
  <si>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</si>
  <si>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</si>
  <si>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</si>
  <si>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</si>
  <si>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</si>
  <si>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</si>
  <si>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</si>
  <si>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</si>
  <si>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</si>
  <si>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</si>
  <si>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</si>
  <si>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</si>
  <si>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</si>
  <si>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</si>
  <si>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</si>
  <si>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</si>
  <si>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</si>
  <si>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</si>
  <si>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</si>
  <si>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</si>
  <si>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</si>
  <si>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</si>
  <si>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</si>
  <si>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</si>
  <si>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</si>
  <si>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</si>
  <si>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</si>
  <si>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</si>
  <si>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</si>
  <si>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</si>
  <si>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</si>
  <si>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</si>
  <si>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</si>
  <si>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</si>
  <si>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</si>
  <si>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</si>
  <si>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</si>
  <si>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</si>
  <si>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</si>
  <si>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</si>
  <si>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</si>
  <si>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</si>
  <si>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</si>
  <si>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</si>
  <si>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</si>
  <si>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</si>
  <si>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</si>
  <si>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</si>
  <si>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</si>
  <si>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</si>
  <si>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</si>
  <si>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</si>
  <si>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</si>
  <si>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</si>
  <si>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</si>
  <si>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</si>
  <si>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</si>
  <si>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</si>
  <si>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</si>
  <si>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</si>
  <si>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</si>
  <si>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</si>
  <si>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</si>
  <si>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</si>
  <si>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</si>
  <si>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</si>
  <si>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</si>
  <si>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</si>
  <si>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</si>
  <si>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</si>
  <si>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</si>
  <si>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</si>
  <si>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</si>
  <si>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</si>
  <si>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</si>
  <si>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</si>
  <si>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</si>
  <si>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</si>
  <si>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</si>
  <si>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</si>
  <si>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</si>
  <si>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</si>
  <si>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</si>
  <si>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</si>
  <si>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</si>
  <si>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</si>
  <si>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</si>
  <si>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</si>
  <si>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</si>
  <si>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</si>
  <si>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</si>
  <si>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</si>
  <si>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</si>
  <si>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</si>
  <si>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</si>
  <si>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</si>
  <si>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</si>
  <si>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</si>
  <si>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</si>
  <si>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</si>
  <si>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</si>
  <si>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</si>
  <si>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</si>
  <si>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</si>
  <si>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</si>
  <si>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</si>
  <si>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</si>
  <si>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</si>
  <si>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</si>
  <si>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</si>
  <si>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</si>
  <si>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</si>
  <si>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</si>
  <si>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</si>
  <si>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</si>
  <si>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</si>
  <si>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</si>
  <si>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</si>
  <si>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</si>
  <si>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</si>
  <si>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</si>
  <si>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</si>
  <si>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</si>
  <si>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</si>
  <si>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</si>
  <si>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</si>
  <si>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</si>
  <si>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</si>
  <si>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</si>
  <si>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</si>
  <si>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</si>
  <si>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</si>
  <si>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</si>
  <si>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</si>
  <si>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</si>
  <si>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</si>
  <si>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</si>
  <si>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</si>
  <si>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</si>
  <si>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</si>
  <si>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</si>
  <si>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</si>
  <si>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</si>
  <si>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</si>
  <si>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</si>
  <si>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</si>
  <si>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</si>
  <si>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</si>
  <si>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</si>
  <si>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</si>
  <si>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</si>
  <si>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</si>
  <si>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</si>
  <si>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</si>
  <si>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</si>
  <si>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</si>
  <si>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</si>
  <si>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</si>
  <si>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</si>
  <si>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</si>
  <si>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</si>
  <si>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</si>
  <si>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</si>
  <si>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</si>
  <si>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</si>
  <si>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</si>
  <si>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</si>
  <si>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</si>
  <si>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</si>
  <si>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</si>
  <si>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</si>
  <si>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</si>
  <si>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</si>
  <si>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</si>
  <si>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</si>
  <si>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</si>
  <si>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</si>
  <si>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</si>
  <si>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</si>
  <si>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</si>
  <si>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</si>
  <si>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</si>
  <si>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</si>
  <si>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</si>
  <si>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</si>
  <si>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</si>
  <si>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</si>
  <si>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</si>
  <si>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</si>
  <si>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</si>
  <si>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</si>
  <si>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</si>
  <si>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</si>
  <si>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</si>
  <si>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</si>
  <si>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</si>
  <si>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</si>
  <si>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</si>
  <si>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</si>
  <si>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</si>
  <si>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</si>
  <si>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</si>
  <si>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</si>
  <si>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</si>
  <si>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</si>
  <si>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</si>
  <si>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</si>
  <si>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</si>
  <si>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</si>
  <si>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</si>
  <si>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</si>
  <si>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</si>
  <si>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</si>
  <si>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</si>
  <si>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</si>
  <si>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</si>
  <si>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</si>
  <si>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</si>
  <si>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</si>
  <si>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</si>
  <si>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</si>
  <si>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</si>
  <si>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</si>
  <si>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</si>
  <si>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</si>
  <si>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</si>
  <si>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</si>
  <si>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</si>
  <si>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</si>
  <si>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</si>
  <si>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</si>
  <si>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</si>
  <si>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</si>
  <si>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</si>
  <si>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</si>
  <si>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</si>
  <si>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</si>
  <si>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</si>
  <si>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</si>
  <si>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</si>
  <si>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</si>
  <si>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</si>
  <si>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</si>
  <si>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</si>
  <si>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</si>
  <si>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</si>
  <si>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</si>
  <si>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</si>
  <si>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</si>
  <si>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</si>
  <si>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</si>
  <si>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</si>
  <si>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</si>
  <si>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</si>
  <si>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</si>
  <si>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</si>
  <si>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</si>
  <si>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</si>
  <si>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</si>
  <si>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</si>
  <si>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</si>
  <si>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</si>
  <si>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</si>
  <si>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</si>
  <si>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</si>
  <si>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</si>
  <si>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</si>
  <si>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</si>
  <si>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</si>
  <si>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</si>
  <si>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</si>
  <si>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</si>
  <si>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</si>
  <si>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</si>
  <si>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</si>
  <si>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</si>
  <si>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</si>
  <si>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</si>
  <si>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</si>
  <si>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</si>
  <si>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</si>
  <si>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</si>
  <si>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</si>
  <si>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</si>
  <si>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</si>
  <si>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</si>
  <si>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</si>
  <si>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</si>
  <si>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</si>
  <si>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</si>
  <si>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</si>
  <si>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</si>
  <si>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</si>
  <si>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</si>
  <si>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</si>
  <si>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</si>
  <si>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</si>
  <si>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</si>
  <si>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</si>
  <si>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</si>
  <si>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</si>
  <si>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</si>
  <si>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</si>
  <si>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</si>
  <si>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</si>
  <si>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</si>
  <si>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</si>
  <si>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</si>
  <si>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</si>
  <si>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</si>
  <si>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</si>
  <si>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</si>
  <si>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</si>
  <si>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</si>
  <si>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</si>
  <si>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</si>
  <si>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</si>
  <si>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</si>
  <si>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</si>
  <si>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</si>
  <si>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</si>
  <si>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</si>
  <si>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</si>
  <si>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</si>
  <si>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</si>
  <si>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</si>
  <si>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</si>
  <si>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</si>
  <si>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</si>
  <si>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</si>
  <si>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</si>
  <si>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</si>
  <si>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</si>
  <si>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</si>
  <si>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</si>
  <si>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</si>
  <si>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</si>
  <si>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</si>
  <si>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</si>
  <si>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</si>
  <si>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</si>
  <si>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</si>
  <si>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</si>
  <si>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</si>
  <si>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</si>
  <si>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</si>
  <si>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</si>
  <si>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</si>
  <si>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</si>
  <si>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</si>
  <si>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</si>
  <si>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</si>
  <si>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</si>
  <si>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</si>
  <si>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</si>
  <si>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</si>
  <si>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</si>
  <si>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</si>
  <si>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</si>
  <si>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</si>
  <si>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</si>
  <si>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</si>
  <si>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</si>
  <si>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</si>
  <si>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</si>
  <si>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</si>
  <si>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</si>
  <si>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</si>
  <si>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</si>
  <si>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</si>
  <si>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</si>
  <si>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</si>
  <si>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</si>
  <si>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</si>
  <si>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</si>
  <si>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</si>
  <si>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</si>
  <si>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</si>
  <si>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</si>
  <si>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</si>
  <si>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</si>
  <si>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</si>
  <si>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</si>
  <si>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</si>
  <si>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</si>
  <si>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</si>
  <si>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</si>
  <si>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</si>
  <si>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</si>
  <si>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</si>
  <si>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</si>
  <si>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</si>
  <si>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</si>
  <si>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</si>
  <si>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</si>
  <si>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</si>
  <si>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</si>
  <si>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</si>
  <si>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</si>
  <si>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</si>
  <si>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</si>
  <si>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</si>
  <si>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</si>
  <si>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</si>
  <si>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</si>
  <si>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</si>
  <si>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</si>
  <si>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</si>
  <si>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</si>
  <si>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</si>
  <si>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</si>
  <si>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</si>
  <si>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</si>
  <si>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</si>
  <si>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</si>
  <si>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</si>
  <si>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</si>
  <si>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</si>
  <si>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</si>
  <si>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</si>
  <si>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</si>
  <si>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</si>
  <si>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</si>
  <si>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</si>
  <si>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</si>
  <si>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</si>
  <si>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</si>
  <si>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</si>
  <si>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</si>
  <si>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</si>
  <si>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</si>
  <si>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</si>
  <si>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</si>
  <si>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</si>
  <si>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</si>
  <si>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</si>
  <si>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</si>
  <si>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</si>
  <si>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</si>
  <si>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</si>
  <si>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</si>
  <si>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</si>
  <si>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</si>
  <si>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</si>
  <si>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</si>
  <si>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</si>
  <si>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</si>
  <si>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</si>
  <si>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</si>
  <si>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</si>
  <si>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</si>
  <si>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</si>
  <si>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</si>
  <si>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</si>
  <si>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</si>
  <si>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</si>
  <si>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</si>
  <si>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</si>
  <si>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</si>
  <si>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</si>
  <si>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</si>
  <si>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</si>
  <si>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</si>
  <si>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</si>
  <si>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</si>
  <si>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</si>
  <si>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</si>
  <si>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</si>
  <si>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</si>
  <si>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</si>
  <si>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</si>
  <si>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</si>
  <si>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</si>
  <si>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</si>
  <si>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</si>
  <si>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</si>
  <si>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</si>
  <si>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</si>
  <si>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</si>
  <si>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</si>
  <si>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</si>
  <si>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</si>
  <si>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</si>
  <si>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</si>
  <si>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</si>
  <si>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</si>
  <si>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</si>
  <si>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</si>
  <si>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</si>
  <si>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</si>
  <si>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</si>
  <si>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</si>
  <si>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</si>
  <si>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</si>
  <si>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</si>
  <si>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</si>
  <si>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</si>
  <si>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</si>
  <si>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</si>
  <si>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</si>
  <si>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</si>
  <si>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</si>
  <si>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</si>
  <si>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</si>
  <si>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</si>
  <si>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</si>
  <si>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</si>
  <si>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</si>
  <si>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</si>
  <si>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</si>
  <si>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</si>
  <si>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</si>
  <si>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</si>
  <si>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</si>
  <si>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</si>
  <si>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</si>
  <si>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</si>
  <si>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</si>
  <si>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</si>
  <si>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</si>
  <si>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</si>
  <si>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</si>
  <si>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</si>
  <si>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</si>
  <si>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</si>
  <si>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</si>
  <si>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</si>
  <si>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</si>
  <si>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</si>
  <si>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</si>
  <si>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</si>
  <si>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</si>
  <si>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</si>
  <si>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</si>
  <si>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</si>
  <si>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</si>
  <si>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</si>
  <si>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</si>
  <si>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</si>
  <si>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</si>
  <si>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</si>
  <si>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</si>
  <si>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</si>
  <si>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</si>
  <si>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</si>
  <si>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</si>
  <si>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</si>
  <si>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</si>
  <si>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</si>
  <si>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</si>
  <si>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</si>
  <si>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</si>
  <si>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</si>
  <si>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</si>
  <si>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</si>
  <si>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</si>
  <si>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</si>
  <si>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</si>
  <si>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</si>
  <si>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</si>
  <si>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</si>
  <si>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</si>
  <si>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</si>
  <si>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</si>
  <si>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</si>
  <si>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</si>
  <si>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</si>
  <si>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</si>
  <si>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</si>
  <si>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</si>
  <si>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</si>
  <si>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</si>
  <si>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</si>
  <si>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</si>
  <si>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</si>
  <si>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</si>
  <si>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</si>
  <si>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</si>
  <si>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</si>
  <si>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</si>
  <si>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</si>
  <si>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</si>
  <si>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</si>
  <si>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</si>
  <si>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</si>
  <si>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</si>
  <si>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</si>
  <si>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</si>
  <si>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</si>
  <si>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</si>
  <si>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</si>
  <si>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</si>
  <si>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</si>
  <si>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</si>
  <si>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</si>
  <si>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</si>
  <si>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</si>
  <si>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</si>
  <si>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</si>
  <si>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</si>
  <si>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</si>
  <si>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</si>
  <si>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</si>
  <si>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</si>
  <si>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</si>
  <si>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</si>
  <si>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</si>
  <si>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</si>
  <si>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</si>
  <si>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</si>
  <si>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</si>
  <si>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</si>
  <si>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</si>
  <si>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</si>
  <si>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</si>
  <si>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</si>
  <si>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</si>
  <si>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</si>
  <si>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</si>
  <si>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</si>
  <si>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</si>
  <si>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</si>
  <si>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</si>
  <si>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</si>
  <si>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</si>
  <si>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</si>
  <si>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</si>
  <si>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</si>
  <si>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</si>
  <si>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</si>
  <si>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</si>
  <si>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</si>
  <si>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</si>
  <si>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</si>
  <si>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</si>
  <si>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</si>
  <si>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</si>
  <si>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</si>
  <si>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</si>
  <si>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</si>
  <si>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</si>
  <si>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</si>
  <si>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</si>
  <si>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</si>
  <si>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</si>
  <si>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</si>
  <si>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</si>
  <si>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</si>
  <si>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</si>
  <si>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</si>
  <si>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</si>
  <si>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</si>
  <si>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</si>
  <si>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</si>
  <si>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</si>
  <si>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</si>
  <si>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</si>
  <si>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</si>
  <si>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</si>
  <si>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</si>
  <si>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</si>
  <si>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</si>
  <si>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</si>
  <si>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</si>
  <si>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</si>
  <si>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</si>
  <si>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</si>
  <si>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</si>
  <si>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</si>
  <si>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</si>
  <si>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</si>
  <si>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</si>
  <si>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</si>
  <si>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</si>
  <si>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</si>
  <si>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</si>
  <si>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</si>
  <si>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</si>
  <si>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</si>
  <si>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</si>
  <si>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</si>
  <si>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</si>
  <si>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</si>
  <si>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</si>
  <si>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</si>
  <si>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</si>
  <si>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</si>
  <si>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</si>
  <si>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</si>
  <si>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</si>
  <si>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</si>
  <si>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</si>
  <si>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</si>
  <si>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</si>
  <si>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</si>
  <si>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</si>
  <si>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</si>
  <si>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</si>
  <si>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</si>
  <si>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</si>
  <si>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</si>
  <si>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</si>
  <si>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</si>
  <si>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</si>
  <si>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</si>
  <si>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</si>
  <si>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</si>
  <si>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</si>
  <si>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</si>
  <si>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</si>
  <si>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</si>
  <si>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</si>
  <si>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</si>
  <si>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</si>
  <si>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</si>
  <si>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</si>
  <si>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</si>
  <si>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</si>
  <si>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</si>
  <si>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</si>
  <si>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</si>
  <si>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</si>
  <si>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</si>
  <si>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</si>
  <si>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</si>
  <si>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</si>
  <si>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</si>
  <si>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</si>
  <si>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</si>
  <si>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</si>
  <si>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</si>
  <si>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</si>
  <si>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</si>
  <si>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</si>
  <si>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</si>
  <si>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</si>
  <si>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</si>
  <si>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</si>
  <si>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</si>
  <si>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</si>
  <si>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</si>
  <si>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</si>
  <si>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</si>
  <si>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</si>
  <si>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</si>
  <si>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</si>
  <si>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</si>
  <si>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</si>
  <si>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</si>
  <si>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</si>
  <si>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</si>
  <si>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</si>
  <si>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</si>
  <si>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</si>
  <si>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</si>
  <si>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</si>
  <si>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</si>
  <si>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</si>
  <si>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</si>
  <si>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</si>
  <si>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</si>
  <si>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</si>
  <si>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</si>
  <si>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</si>
  <si>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</si>
  <si>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</si>
  <si>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</si>
  <si>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</si>
  <si>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</si>
  <si>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</si>
  <si>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</si>
  <si>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</si>
  <si>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</si>
  <si>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</si>
  <si>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</si>
  <si>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</si>
  <si>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</si>
  <si>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</si>
  <si>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</si>
  <si>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</si>
  <si>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</si>
  <si>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</si>
  <si>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</si>
  <si>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</si>
  <si>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</si>
  <si>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</si>
  <si>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</si>
  <si>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</si>
  <si>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</si>
  <si>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</si>
  <si>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</si>
  <si>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</si>
  <si>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</si>
  <si>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</si>
  <si>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</si>
  <si>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</si>
  <si>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</si>
  <si>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</si>
  <si>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</si>
  <si>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</si>
  <si>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</si>
  <si>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</si>
  <si>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</si>
  <si>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</si>
  <si>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</si>
  <si>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</si>
  <si>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</si>
  <si>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</si>
  <si>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</si>
  <si>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</si>
  <si>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</si>
  <si>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</si>
  <si>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</si>
  <si>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</si>
  <si>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</si>
  <si>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</si>
  <si>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</si>
  <si>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</si>
  <si>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</si>
  <si>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</si>
  <si>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</si>
  <si>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</si>
  <si>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</si>
  <si>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</si>
  <si>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</si>
  <si>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</si>
  <si>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</si>
  <si>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</si>
  <si>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</si>
  <si>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</si>
  <si>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</si>
  <si>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</si>
  <si>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</si>
  <si>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</si>
  <si>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</si>
  <si>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</si>
  <si>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</si>
  <si>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</si>
  <si>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</si>
  <si>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</si>
  <si>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</si>
  <si>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</si>
  <si>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</si>
  <si>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</si>
  <si>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</si>
  <si>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</si>
  <si>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</si>
  <si>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</si>
  <si>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</si>
  <si>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</si>
  <si>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</si>
  <si>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</si>
  <si>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</si>
  <si>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</si>
  <si>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</si>
  <si>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</si>
  <si>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</si>
  <si>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</si>
  <si>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</si>
  <si>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</si>
  <si>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</si>
  <si>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</si>
  <si>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</si>
  <si>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</si>
  <si>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</si>
  <si>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</si>
  <si>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</si>
  <si>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</si>
  <si>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</si>
  <si>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</si>
  <si>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</si>
  <si>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</si>
  <si>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</si>
  <si>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</si>
  <si>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</si>
  <si>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</si>
  <si>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</si>
  <si>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</si>
  <si>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</si>
  <si>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</si>
  <si>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</si>
  <si>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</si>
  <si>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</si>
  <si>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</si>
  <si>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</si>
  <si>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</si>
  <si>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</si>
  <si>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</si>
  <si>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</si>
  <si>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</si>
  <si>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</si>
  <si>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</si>
  <si>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</si>
  <si>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</si>
  <si>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</si>
  <si>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</si>
  <si>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</si>
  <si>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</si>
  <si>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</si>
  <si>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</si>
  <si>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</si>
  <si>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</si>
  <si>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</si>
  <si>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</si>
  <si>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</si>
  <si>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</si>
  <si>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</si>
  <si>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</si>
  <si>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</si>
  <si>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</si>
  <si>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</si>
  <si>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</si>
  <si>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</si>
  <si>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qkm</t>
  </si>
  <si>
    <t>Wohnimmobilien Anzahl geschätzt</t>
  </si>
  <si>
    <t>Differenz</t>
  </si>
  <si>
    <t>OECD</t>
  </si>
  <si>
    <t>lic</t>
  </si>
  <si>
    <t>umic</t>
  </si>
  <si>
    <t>hic</t>
  </si>
  <si>
    <t>lmic</t>
  </si>
  <si>
    <t>WEB</t>
  </si>
  <si>
    <t>https://www.oecd.org/content/dam/oecd/en/data/datasets/affordable-housing-database/hm1-1-housing-stock-and-construction.pdf?</t>
  </si>
  <si>
    <t>Strom (mrd.)</t>
  </si>
  <si>
    <t>Strom</t>
  </si>
  <si>
    <t>https://www.indexmundi.com/de/andorra/elektrizitat_produktion.html</t>
  </si>
  <si>
    <t>bip pro kopf</t>
  </si>
  <si>
    <t>Strom pro Kopf</t>
  </si>
  <si>
    <t>https://www.cia.gov/the-world-factbook/field/electricity/</t>
  </si>
  <si>
    <t>Doppelhaushälte m²</t>
  </si>
  <si>
    <t>Haushalt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</si>
</sst>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9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0" fillId="7" borderId="0" xfId="0" applyNumberFormat="1" applyFill="1"/>
    <xf numFmtId="164" fontId="0" fillId="7" borderId="0" xfId="0" applyNumberFormat="1" applyFill="1"/>
    <xf numFmtId="3" fontId="0" fillId="0" borderId="6" xfId="0" applyNumberFormat="1" applyBorder="1"/>
    <xf numFmtId="164" fontId="10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4" fontId="10" fillId="7" borderId="6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3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3" fontId="0" fillId="7" borderId="0" xfId="0" applyNumberFormat="1" applyFill="1"/>
    <xf numFmtId="3" fontId="8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3" fontId="0" fillId="8" borderId="1" xfId="0" applyNumberFormat="1" applyFill="1" applyBorder="1"/>
    <xf numFmtId="164" fontId="0" fillId="0" borderId="1" xfId="0" applyNumberFormat="1" applyBorder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4" fontId="0" fillId="7" borderId="4" xfId="0" applyNumberFormat="1" applyFill="1" applyBorder="1"/>
  </cellXfs>
  <cellStyles count="3">
    <cellStyle name="Link" xfId="1" builtinId="8"/>
    <cellStyle name="Normal_Feuil1" xfId="2" xr:uid="{A9BC57F5-4B71-4911-8BFA-E1F238F686C1}"/>
    <cellStyle name="Standard" xfId="0" builtinId="0"/>
  </cellStyles>
  <dxfs count="116"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H198" totalsRowShown="0" headerRowDxfId="115" tableBorderDxfId="114">
  <autoFilter ref="A1:BH198" xr:uid="{E0119C3F-1B42-43A6-9635-5187C65FCD4F}">
    <filterColumn colId="11">
      <customFilters>
        <customFilter operator="notEqual" val=" "/>
      </customFilters>
    </filterColumn>
  </autoFilter>
  <sortState xmlns:xlrd2="http://schemas.microsoft.com/office/spreadsheetml/2017/richdata2" ref="A2:BH198">
    <sortCondition ref="C1:C198"/>
  </sortState>
  <tableColumns count="60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13" totalsRowDxfId="112"/>
    <tableColumn id="59" xr3:uid="{DEC0ACBA-2B4C-44BB-BE4E-A7792CE8214E}" name="bip pro kopf" dataDxfId="111" totalsRowDxfId="110">
      <calculatedColumnFormula>Tabelle2[[#This Row],[BIP (mrd.)]]*1000000000/Tabelle2[[#This Row],[Bevölkerung]]</calculatedColumnFormula>
    </tableColumn>
    <tableColumn id="5" xr3:uid="{C3AEADA4-3838-47AA-923D-D2B2A327E30E}" name="Urbanisierung" dataDxfId="109" totalsRowDxfId="108"/>
    <tableColumn id="6" xr3:uid="{0734A605-E46A-4DE9-B516-3F9F59107D37}" name="Fläche qkm" dataDxfId="107" totalsRowDxfId="106"/>
    <tableColumn id="7" xr3:uid="{D500DF5B-6513-46BE-A1F2-F130F16C7011}" name="Bevölkerung" dataDxfId="105" totalsRowDxfId="104"/>
    <tableColumn id="61" xr3:uid="{DFD9C8F1-6F1F-4A28-81DD-F75FD29A8E1D}" name="Strom (mrd.)" dataDxfId="103" totalsRowDxfId="102"/>
    <tableColumn id="62" xr3:uid="{206D1337-2D4B-437E-A225-E34C2773A969}" name="Strom pro Kopf" dataDxfId="101" totalsRowDxfId="100">
      <calculatedColumnFormula>Tabelle2[[#This Row],[Strom (mrd.)]]*1000000000/Tabelle2[[#This Row],[Bevölkerung]]</calculatedColumnFormula>
    </tableColumn>
    <tableColumn id="11" xr3:uid="{9F8FA339-4D89-4747-AE38-D06E62D990EC}" name="Haushalt" dataDxfId="0" totalsRowDxfId="1"/>
    <tableColumn id="8" xr3:uid="{AC907340-165C-45DF-A8F0-B20CDE3F818A}" name="Wohnimmobilien Anzahl" dataDxfId="99" totalsRowDxfId="98"/>
    <tableColumn id="54" xr3:uid="{8AC8BBEC-FA45-40C0-B3D6-46AEF0E148FC}" name="Wohnimmobilien Anzahl geschätzt" dataDxfId="97" totalsRowDxfId="96">
      <calculatedColumnFormula>Tabelle2[[#This Row],[Wohnimmobilien Anzahl]]/Tabelle2[[#This Row],[Bevölkerung]]</calculatedColumnFormula>
    </tableColumn>
    <tableColumn id="55" xr3:uid="{7E3C9CCB-5330-43A7-BDA0-449D200A5943}" name="Differenz" dataDxfId="95" totalsRowDxfId="94">
      <calculatedColumnFormula>M2-L2</calculatedColumnFormula>
    </tableColumn>
    <tableColumn id="9" xr3:uid="{4FDE721C-751B-4224-BFC7-85B25C2488DF}" name="Wohnimmobilien m²" dataDxfId="93" totalsRowDxfId="92"/>
    <tableColumn id="10" xr3:uid="{DD740787-DE43-4D44-BA14-B4CD75735006}" name="belegte Wohnungen" dataDxfId="91" totalsRowDxfId="90"/>
    <tableColumn id="12" xr3:uid="{93F587CB-47B3-4ECD-BD59-4205478F5A54}" name="Einfamilienhäuser Anzahl" dataDxfId="89" totalsRowDxfId="88"/>
    <tableColumn id="13" xr3:uid="{88750D6A-2A07-4837-8380-E2DD19FCC907}" name="Einfamilienhäuser m²" dataDxfId="87" totalsRowDxfId="86"/>
    <tableColumn id="14" xr3:uid="{5A621866-23CB-4386-8923-AB41012FF484}" name="Doppelhaushälfte Anzahl" dataDxfId="85" totalsRowDxfId="84"/>
    <tableColumn id="15" xr3:uid="{9D552733-FBBC-468D-97F6-0AC7F808C6AB}" name="Doppelhaushälte m²" dataDxfId="83" totalsRowDxfId="82"/>
    <tableColumn id="16" xr3:uid="{C007E3A8-FD2F-444F-952F-84D64B4F7076}" name="Reihenhäuser Anzahl" dataDxfId="81" totalsRowDxfId="80"/>
    <tableColumn id="17" xr3:uid="{AA61783E-5AEE-4D66-A3FA-0605690E7F77}" name="Reihenhäuser m²" dataDxfId="79" totalsRowDxfId="78"/>
    <tableColumn id="18" xr3:uid="{2C8EA87F-5D61-4C2A-8581-6A28DF602669}" name="Mehrfamilienhäuser Anzahl" dataDxfId="77" totalsRowDxfId="76"/>
    <tableColumn id="19" xr3:uid="{B56CAD76-083D-4F1E-ACDE-84C5E739AB0C}" name="Mehrfamilienhäuser m²" dataDxfId="75" totalsRowDxfId="74"/>
    <tableColumn id="57" xr3:uid="{35EE7235-EB3B-41FA-969E-FA1B7082229B}" name="OECD" dataDxfId="73" totalsRowDxfId="72"/>
    <tableColumn id="56" xr3:uid="{7C98B506-FADC-4450-8ED0-82B0BFE956B8}" name="WEB" dataDxfId="71" totalsRowDxfId="70"/>
    <tableColumn id="20" xr3:uid="{8D325019-2320-4075-90D9-3E79D9DB8D01}" name="Wohneinheiten Anzahl" dataDxfId="69" totalsRowDxfId="68"/>
    <tableColumn id="21" xr3:uid="{6C7A233B-128B-4271-9103-C3ACB30F6B66}" name="Wohneinheiten m²" dataDxfId="67" totalsRowDxfId="66"/>
    <tableColumn id="22" xr3:uid="{F65297CF-5E53-44DA-B1F0-08EB95047B89}" name="Nicht Wohngebäude Anzahl" dataDxfId="65" totalsRowDxfId="64"/>
    <tableColumn id="23" xr3:uid="{C9A0547F-8FFA-43DF-8FCE-129C24118F33}" name="Nicht Wohngebäude m²" dataDxfId="63" totalsRowDxfId="62"/>
    <tableColumn id="24" xr3:uid="{95EA6F45-68D6-4AC1-AEB8-4501D2DF0565}" name="Gewerbeimmobilien Anzahl" dataDxfId="61" totalsRowDxfId="60"/>
    <tableColumn id="25" xr3:uid="{9F8DF859-CFB1-4009-88FC-78D33AF24F73}" name="Gewerbeimmobilien m²" dataDxfId="59" totalsRowDxfId="58"/>
    <tableColumn id="26" xr3:uid="{5E1C3AEE-8CBC-4ED7-8069-EC705C57CC55}" name="Büroimmobilien Anzahl" dataDxfId="57" totalsRowDxfId="56"/>
    <tableColumn id="27" xr3:uid="{593289FF-2248-487D-94B6-DC7382499D17}" name="Büroimmobilien m²" dataDxfId="55" totalsRowDxfId="54"/>
    <tableColumn id="28" xr3:uid="{7194B89F-E06D-44A5-9F49-C825195B1B01}" name="Handelsimmobilien Anzahl" dataDxfId="53" totalsRowDxfId="52"/>
    <tableColumn id="29" xr3:uid="{AE26C104-46F3-4E43-8A25-731AE5DC8A1F}" name="Handelsimmobilien m²" dataDxfId="51" totalsRowDxfId="50"/>
    <tableColumn id="30" xr3:uid="{ADB9AB1A-1162-448F-BC6E-051B8E6059E3}" name="Produktionsgebäude Anzahl" dataDxfId="49" totalsRowDxfId="48"/>
    <tableColumn id="31" xr3:uid="{43BCAC50-4F36-4A97-80E1-2195479FDC3D}" name="Produktionsgebäude m²" dataDxfId="47" totalsRowDxfId="46"/>
    <tableColumn id="32" xr3:uid="{FDA2AB14-0A41-4AE9-A9D1-3E3B7BAB6A27}" name="Sonderimmobilien Anzahl" dataDxfId="45" totalsRowDxfId="44"/>
    <tableColumn id="33" xr3:uid="{4117298C-1D38-4E56-ACA8-C2B028F53B31}" name="Sonderimmobilien m²" dataDxfId="43" totalsRowDxfId="42"/>
    <tableColumn id="34" xr3:uid="{6E91DAE8-5D89-4CE2-BBD1-4A0DB750C6B0}" name="öffentliche Verwaltungsgebäude Anzahl" dataDxfId="41" totalsRowDxfId="40"/>
    <tableColumn id="35" xr3:uid="{3942EEFB-DD2A-4A9F-9D4B-D80C8EB065EC}" name="öffentliche Verwaltungsgebäude m²" dataDxfId="39" totalsRowDxfId="38"/>
    <tableColumn id="36" xr3:uid="{ADE404DC-5EA8-48C7-B1F0-A7B9097D34C2}" name="Büro incl. Verwaltungsgebäude" dataDxfId="37" totalsRowDxfId="36"/>
    <tableColumn id="37" xr3:uid="{836108AB-AD58-45E9-A9DD-DD41D27DFC8A}" name="Seniorenimmobilien Anzahl" dataDxfId="35" totalsRowDxfId="34"/>
    <tableColumn id="38" xr3:uid="{CFC8B2C7-AFD0-4BDF-8771-40180752253F}" name="Seniorenimmobilien m²" dataDxfId="33" totalsRowDxfId="32"/>
    <tableColumn id="39" xr3:uid="{0F20B2C7-6CE3-4FC4-BCDB-9CC94CB815AA}" name="Gesundheit und Pflege Anzahl" dataDxfId="31" totalsRowDxfId="30"/>
    <tableColumn id="40" xr3:uid="{1F61A020-A6DA-4789-BAF5-66F3124DC4E4}" name="Gesundheit und Pflege m²" dataDxfId="29" totalsRowDxfId="28"/>
    <tableColumn id="41" xr3:uid="{BCEF1BF1-A0D4-4F2C-95A0-7ED0A3FDBDB5}" name="Sport- und Freizeitimmobilien Anzahl" dataDxfId="27" totalsRowDxfId="26"/>
    <tableColumn id="42" xr3:uid="{C8E486EB-9F66-4B1F-B216-B998AFA1E137}" name="Sport- und Freizeitimmobilien m²" dataDxfId="25" totalsRowDxfId="24"/>
    <tableColumn id="43" xr3:uid="{279C9568-B9C7-483F-81E2-01CB578236F5}" name="Hotels/Pensionen Anzahl" dataDxfId="23" totalsRowDxfId="22"/>
    <tableColumn id="44" xr3:uid="{2441026D-0ED1-4CA0-BE9A-4BF190D1B30D}" name="Hotels/Pensionen m²" dataDxfId="21" totalsRowDxfId="20"/>
    <tableColumn id="45" xr3:uid="{DB1D8910-4589-4F87-A6AE-40565096F621}" name="Restaurants/Gaststätten Anzahl" dataDxfId="19" totalsRowDxfId="18"/>
    <tableColumn id="46" xr3:uid="{9302B388-05FC-4809-B36A-A3F30CE8599C}" name="Restaurants/Gaststätten m²" dataDxfId="17" totalsRowDxfId="16"/>
    <tableColumn id="47" xr3:uid="{6BA44A1C-1A9F-4E99-8262-F4453614C343}" name="Garagen Anzahl" dataDxfId="15" totalsRowDxfId="14"/>
    <tableColumn id="48" xr3:uid="{8F1D267F-CED9-4D38-A668-BE28A5D7AC3E}" name="Garagen m²" dataDxfId="13" totalsRowDxfId="12"/>
    <tableColumn id="49" xr3:uid="{12D16D33-64BA-4198-86B9-A13F712B48CE}" name="Immobilien gesamt Anzahl" dataDxfId="11" totalsRowDxfId="10"/>
    <tableColumn id="50" xr3:uid="{DC1B7C9B-6D5C-4097-9D62-6E93375A87B9}" name="Immobilien gesamt m²" dataDxfId="9" totalsRowDxfId="8"/>
    <tableColumn id="51" xr3:uid="{D4D73227-CBB4-4005-B485-85EAAC6649E0}" name="Quelle" dataDxfId="7" totalsRowDxfId="6"/>
    <tableColumn id="52" xr3:uid="{353AD1B1-34F8-49E3-9BB9-CF0C2FD82E3D}" name="Datentransparenz" dataDxfId="5" totalsRowDxfId="4"/>
    <tableColumn id="53" xr3:uid="{E8A7EDB3-75C0-44C9-81B3-B0D55182CFBA}" name="Kommentar" dataDxfId="3" totalsRow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134" Type="http://schemas.openxmlformats.org/officeDocument/2006/relationships/hyperlink" Target="https://data.worldbank.org/indicator/SP.POP.TOTL?end=2024&amp;start=1969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M199"/>
  <sheetViews>
    <sheetView tabSelected="1" topLeftCell="B1" zoomScale="85" zoomScaleNormal="85" workbookViewId="0">
      <pane ySplit="2" topLeftCell="A44" activePane="bottomLeft" state="frozen"/>
      <selection pane="bottomLeft" activeCell="K88" sqref="K88"/>
    </sheetView>
  </sheetViews>
  <sheetFormatPr baseColWidth="10" defaultRowHeight="14.4" x14ac:dyDescent="0.3"/>
  <cols>
    <col min="2" max="2" width="7.59765625" customWidth="1"/>
    <col min="3" max="3" width="37.09765625" customWidth="1"/>
    <col min="4" max="5" width="16.8984375" style="67" hidden="1" customWidth="1"/>
    <col min="6" max="6" width="15.59765625" style="67" hidden="1" customWidth="1"/>
    <col min="7" max="7" width="14.8984375" style="40" hidden="1" customWidth="1"/>
    <col min="8" max="10" width="17.59765625" style="66" hidden="1" customWidth="1"/>
    <col min="11" max="11" width="17.59765625" style="66" customWidth="1"/>
    <col min="12" max="12" width="26.19921875" style="40" customWidth="1"/>
    <col min="13" max="14" width="31.69921875" style="40" customWidth="1"/>
    <col min="15" max="16" width="22" style="40" customWidth="1"/>
    <col min="17" max="17" width="22.296875" customWidth="1"/>
    <col min="18" max="18" width="18.09765625" customWidth="1"/>
    <col min="19" max="19" width="23.09765625" customWidth="1"/>
    <col min="20" max="22" width="18.09765625" customWidth="1"/>
    <col min="23" max="23" width="22.69921875" customWidth="1"/>
    <col min="24" max="24" width="21.19921875" customWidth="1"/>
    <col min="25" max="26" width="21.19921875" hidden="1" customWidth="1"/>
    <col min="27" max="28" width="21.19921875" customWidth="1"/>
    <col min="29" max="29" width="32.296875" style="40" customWidth="1"/>
    <col min="30" max="30" width="29.59765625" style="40" customWidth="1"/>
    <col min="31" max="31" width="30.69921875" style="40" customWidth="1"/>
    <col min="32" max="32" width="25.19921875" style="40" customWidth="1"/>
    <col min="33" max="34" width="20.09765625" customWidth="1"/>
    <col min="35" max="37" width="27" customWidth="1"/>
    <col min="38" max="38" width="20.8984375" customWidth="1"/>
    <col min="39" max="39" width="25.19921875" style="40" customWidth="1"/>
    <col min="40" max="40" width="20.8984375" style="40" customWidth="1"/>
    <col min="41" max="41" width="33.09765625" customWidth="1"/>
    <col min="42" max="43" width="30.69921875" customWidth="1"/>
    <col min="44" max="44" width="24" customWidth="1"/>
    <col min="45" max="45" width="20.3984375" customWidth="1"/>
    <col min="46" max="46" width="24.8984375" customWidth="1"/>
    <col min="47" max="47" width="23.5" customWidth="1"/>
    <col min="48" max="48" width="33.5" customWidth="1"/>
    <col min="49" max="50" width="27.796875" customWidth="1"/>
    <col min="51" max="51" width="20" customWidth="1"/>
    <col min="52" max="54" width="29.59765625" customWidth="1"/>
    <col min="55" max="55" width="24.59765625" customWidth="1"/>
    <col min="56" max="56" width="28.5" style="40" customWidth="1"/>
    <col min="57" max="57" width="24.69921875" style="40" customWidth="1"/>
    <col min="59" max="59" width="20.69921875" customWidth="1"/>
    <col min="60" max="60" width="13.8984375" customWidth="1"/>
    <col min="63" max="63" width="17.8984375" style="8" customWidth="1"/>
  </cols>
  <sheetData>
    <row r="1" spans="1:65" x14ac:dyDescent="0.3">
      <c r="A1" t="s">
        <v>587</v>
      </c>
      <c r="B1" s="36" t="s">
        <v>0</v>
      </c>
      <c r="C1" s="36" t="s">
        <v>411</v>
      </c>
      <c r="D1" s="69" t="s">
        <v>787</v>
      </c>
      <c r="E1" s="69" t="s">
        <v>996</v>
      </c>
      <c r="F1" s="69" t="s">
        <v>584</v>
      </c>
      <c r="G1" s="70" t="s">
        <v>983</v>
      </c>
      <c r="H1" s="71" t="s">
        <v>586</v>
      </c>
      <c r="I1" s="75" t="s">
        <v>993</v>
      </c>
      <c r="J1" s="75" t="s">
        <v>997</v>
      </c>
      <c r="K1" s="74" t="s">
        <v>1000</v>
      </c>
      <c r="L1" s="70" t="s">
        <v>444</v>
      </c>
      <c r="M1" s="70" t="s">
        <v>984</v>
      </c>
      <c r="N1" s="70" t="s">
        <v>985</v>
      </c>
      <c r="O1" s="70" t="s">
        <v>445</v>
      </c>
      <c r="P1" s="72" t="s">
        <v>470</v>
      </c>
      <c r="Q1" s="73" t="s">
        <v>412</v>
      </c>
      <c r="R1" s="74" t="s">
        <v>413</v>
      </c>
      <c r="S1" s="74" t="s">
        <v>414</v>
      </c>
      <c r="T1" s="74" t="s">
        <v>999</v>
      </c>
      <c r="U1" s="74" t="s">
        <v>416</v>
      </c>
      <c r="V1" s="74" t="s">
        <v>417</v>
      </c>
      <c r="W1" s="74" t="s">
        <v>418</v>
      </c>
      <c r="X1" s="75" t="s">
        <v>419</v>
      </c>
      <c r="Y1" s="75" t="s">
        <v>986</v>
      </c>
      <c r="Z1" s="75" t="s">
        <v>991</v>
      </c>
      <c r="AA1" s="75" t="s">
        <v>458</v>
      </c>
      <c r="AB1" s="75" t="s">
        <v>459</v>
      </c>
      <c r="AC1" s="76" t="s">
        <v>442</v>
      </c>
      <c r="AD1" s="76" t="s">
        <v>443</v>
      </c>
      <c r="AE1" s="76" t="s">
        <v>405</v>
      </c>
      <c r="AF1" s="70" t="s">
        <v>404</v>
      </c>
      <c r="AG1" s="73" t="s">
        <v>420</v>
      </c>
      <c r="AH1" s="74" t="s">
        <v>421</v>
      </c>
      <c r="AI1" s="74" t="s">
        <v>422</v>
      </c>
      <c r="AJ1" s="74" t="s">
        <v>423</v>
      </c>
      <c r="AK1" s="74" t="s">
        <v>451</v>
      </c>
      <c r="AL1" s="75" t="s">
        <v>452</v>
      </c>
      <c r="AM1" s="77" t="s">
        <v>407</v>
      </c>
      <c r="AN1" s="77" t="s">
        <v>406</v>
      </c>
      <c r="AO1" s="73" t="s">
        <v>427</v>
      </c>
      <c r="AP1" s="74" t="s">
        <v>426</v>
      </c>
      <c r="AQ1" s="74" t="s">
        <v>556</v>
      </c>
      <c r="AR1" s="74" t="s">
        <v>428</v>
      </c>
      <c r="AS1" s="74" t="s">
        <v>429</v>
      </c>
      <c r="AT1" s="74" t="s">
        <v>453</v>
      </c>
      <c r="AU1" s="74" t="s">
        <v>454</v>
      </c>
      <c r="AV1" s="74" t="s">
        <v>432</v>
      </c>
      <c r="AW1" s="74" t="s">
        <v>433</v>
      </c>
      <c r="AX1" s="74" t="s">
        <v>434</v>
      </c>
      <c r="AY1" s="74" t="s">
        <v>435</v>
      </c>
      <c r="AZ1" s="74" t="s">
        <v>436</v>
      </c>
      <c r="BA1" s="74" t="s">
        <v>437</v>
      </c>
      <c r="BB1" s="74" t="s">
        <v>438</v>
      </c>
      <c r="BC1" s="75" t="s">
        <v>439</v>
      </c>
      <c r="BD1" s="76" t="s">
        <v>393</v>
      </c>
      <c r="BE1" s="76" t="s">
        <v>403</v>
      </c>
      <c r="BF1" s="78" t="s">
        <v>391</v>
      </c>
      <c r="BG1" s="78" t="s">
        <v>440</v>
      </c>
      <c r="BH1" s="73" t="s">
        <v>392</v>
      </c>
      <c r="BI1" s="32" t="s">
        <v>401</v>
      </c>
      <c r="BJ1" s="7"/>
      <c r="BK1" s="33"/>
      <c r="BL1" s="33"/>
      <c r="BM1" s="33"/>
    </row>
    <row r="2" spans="1:65" hidden="1" x14ac:dyDescent="0.3">
      <c r="B2" s="82" t="s">
        <v>1</v>
      </c>
      <c r="C2" s="83" t="s">
        <v>2</v>
      </c>
      <c r="D2" s="63">
        <v>17.248000000000001</v>
      </c>
      <c r="E2" s="63">
        <f>Tabelle2[[#This Row],[BIP (mrd.)]]*1000000000/Tabelle2[[#This Row],[Bevölkerung]]</f>
        <v>404431.77312428004</v>
      </c>
      <c r="F2" s="63">
        <v>0.255</v>
      </c>
      <c r="G2" s="53">
        <v>652870</v>
      </c>
      <c r="H2" s="65">
        <v>42647.49</v>
      </c>
      <c r="I2" s="88">
        <v>6.468</v>
      </c>
      <c r="J2" s="88">
        <f>Tabelle2[[#This Row],[Strom (mrd.)]]*1000000000/Tabelle2[[#This Row],[Bevölkerung]]</f>
        <v>151661.914921605</v>
      </c>
      <c r="K2" s="92"/>
      <c r="L2" s="79"/>
      <c r="M2" s="79">
        <f>Tabelle2[[#This Row],[Wohnimmobilien Anzahl]]/Tabelle2[[#This Row],[Bevölkerung]]</f>
        <v>0</v>
      </c>
      <c r="N2" s="79">
        <f t="shared" ref="N2:N33" si="0">M2-L2</f>
        <v>0</v>
      </c>
      <c r="O2" s="79"/>
      <c r="P2" s="79"/>
      <c r="Q2" s="80"/>
      <c r="R2" s="80"/>
      <c r="S2" s="80"/>
      <c r="T2" s="80"/>
      <c r="U2" s="80"/>
      <c r="V2" s="80"/>
      <c r="W2" s="80"/>
      <c r="X2" s="80"/>
      <c r="Y2" s="80"/>
      <c r="Z2" s="80">
        <v>0</v>
      </c>
      <c r="AA2" s="80"/>
      <c r="AB2" s="80"/>
      <c r="AC2" s="79"/>
      <c r="AD2" s="79"/>
      <c r="AE2" s="79"/>
      <c r="AF2" s="79"/>
      <c r="AG2" s="80"/>
      <c r="AH2" s="80"/>
      <c r="AI2" s="80"/>
      <c r="AJ2" s="80"/>
      <c r="AK2" s="80"/>
      <c r="AL2" s="80"/>
      <c r="AM2" s="79"/>
      <c r="AN2" s="79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79"/>
      <c r="BE2" s="79"/>
      <c r="BF2" s="80"/>
      <c r="BG2" s="80"/>
      <c r="BH2" s="81"/>
      <c r="BK2" s="33"/>
    </row>
    <row r="3" spans="1:65" hidden="1" x14ac:dyDescent="0.3">
      <c r="B3" s="24" t="s">
        <v>3</v>
      </c>
      <c r="C3" s="23" t="s">
        <v>4</v>
      </c>
      <c r="D3" s="63">
        <v>347.34199999999998</v>
      </c>
      <c r="E3" s="63">
        <f>Tabelle2[[#This Row],[BIP (mrd.)]]*1000000000/Tabelle2[[#This Row],[Bevölkerung]]</f>
        <v>2980497.5636327504</v>
      </c>
      <c r="F3" s="63">
        <v>0.42699999999999999</v>
      </c>
      <c r="G3" s="53">
        <v>1001450</v>
      </c>
      <c r="H3" s="65">
        <v>116538.26</v>
      </c>
      <c r="I3" s="88"/>
      <c r="J3" s="88">
        <f>Tabelle2[[#This Row],[Strom (mrd.)]]*1000000000/Tabelle2[[#This Row],[Bevölkerung]]</f>
        <v>0</v>
      </c>
      <c r="K3" s="65"/>
      <c r="L3" s="53"/>
      <c r="M3" s="53">
        <f>Tabelle2[[#This Row],[Wohnimmobilien Anzahl]]/Tabelle2[[#This Row],[Bevölkerung]]</f>
        <v>0</v>
      </c>
      <c r="N3" s="53">
        <f t="shared" si="0"/>
        <v>0</v>
      </c>
      <c r="O3" s="53"/>
      <c r="P3" s="53"/>
      <c r="Q3" s="54"/>
      <c r="R3" s="54"/>
      <c r="S3" s="54"/>
      <c r="T3" s="54"/>
      <c r="U3" s="54"/>
      <c r="V3" s="54"/>
      <c r="W3" s="54"/>
      <c r="X3" s="54"/>
      <c r="Y3" s="54">
        <v>0</v>
      </c>
      <c r="Z3" s="54" t="s">
        <v>987</v>
      </c>
      <c r="AA3" s="54"/>
      <c r="AB3" s="54"/>
      <c r="AC3" s="53"/>
      <c r="AD3" s="53"/>
      <c r="AE3" s="53"/>
      <c r="AF3" s="53"/>
      <c r="AG3" s="54"/>
      <c r="AH3" s="54"/>
      <c r="AI3" s="54"/>
      <c r="AJ3" s="54"/>
      <c r="AK3" s="54"/>
      <c r="AL3" s="54"/>
      <c r="AM3" s="53"/>
      <c r="AN3" s="53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3"/>
      <c r="BE3" s="53"/>
      <c r="BF3" s="54"/>
      <c r="BG3" s="54"/>
      <c r="BH3" s="68"/>
      <c r="BK3" s="33"/>
    </row>
    <row r="4" spans="1:65" hidden="1" x14ac:dyDescent="0.3">
      <c r="B4" s="4" t="s">
        <v>5</v>
      </c>
      <c r="C4" s="5" t="s">
        <v>6</v>
      </c>
      <c r="D4" s="63">
        <v>28.372</v>
      </c>
      <c r="E4" s="63">
        <f>Tabelle2[[#This Row],[BIP (mrd.)]]*1000000000/Tabelle2[[#This Row],[Bevölkerung]]</f>
        <v>10453.940132113898</v>
      </c>
      <c r="F4" s="63">
        <v>0.60299999999999998</v>
      </c>
      <c r="G4" s="53">
        <v>28750</v>
      </c>
      <c r="H4" s="65">
        <v>2714000.62</v>
      </c>
      <c r="I4" s="88">
        <v>7.49</v>
      </c>
      <c r="J4" s="88">
        <f>Tabelle2[[#This Row],[Strom (mrd.)]]*1000000000/Tabelle2[[#This Row],[Bevölkerung]]</f>
        <v>2759.7635552492984</v>
      </c>
      <c r="K4" s="65">
        <v>3.88</v>
      </c>
      <c r="L4" s="53"/>
      <c r="M4" s="53">
        <f>Tabelle2[[#This Row],[Wohnimmobilien Anzahl]]/Tabelle2[[#This Row],[Bevölkerung]]</f>
        <v>0</v>
      </c>
      <c r="N4" s="53">
        <f t="shared" si="0"/>
        <v>0</v>
      </c>
      <c r="O4" s="53"/>
      <c r="P4" s="53">
        <v>726325</v>
      </c>
      <c r="Q4" s="54">
        <v>508643</v>
      </c>
      <c r="R4" s="54"/>
      <c r="S4" s="54"/>
      <c r="T4" s="54"/>
      <c r="U4" s="54"/>
      <c r="V4" s="54"/>
      <c r="W4" s="54">
        <v>431858</v>
      </c>
      <c r="X4" s="54"/>
      <c r="Y4" s="54">
        <v>0</v>
      </c>
      <c r="Z4" s="54" t="s">
        <v>988</v>
      </c>
      <c r="AA4" s="54">
        <v>1082529</v>
      </c>
      <c r="AB4" s="54"/>
      <c r="AC4" s="53"/>
      <c r="AD4" s="53"/>
      <c r="AE4" s="53"/>
      <c r="AF4" s="53"/>
      <c r="AG4" s="54"/>
      <c r="AH4" s="54"/>
      <c r="AI4" s="54"/>
      <c r="AJ4" s="54"/>
      <c r="AK4" s="54"/>
      <c r="AL4" s="54"/>
      <c r="AM4" s="53"/>
      <c r="AN4" s="53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3"/>
      <c r="BE4" s="53"/>
      <c r="BF4" s="54"/>
      <c r="BG4" s="54"/>
      <c r="BH4" s="68"/>
      <c r="BK4" s="33"/>
    </row>
    <row r="5" spans="1:65" hidden="1" x14ac:dyDescent="0.3">
      <c r="B5" s="22" t="s">
        <v>7</v>
      </c>
      <c r="C5" s="23" t="s">
        <v>8</v>
      </c>
      <c r="D5" s="63">
        <v>268.88499999999999</v>
      </c>
      <c r="E5" s="63">
        <f>Tabelle2[[#This Row],[BIP (mrd.)]]*1000000000/Tabelle2[[#This Row],[Bevölkerung]]</f>
        <v>5743.6877476707132</v>
      </c>
      <c r="F5" s="63">
        <v>0.72599999999999998</v>
      </c>
      <c r="G5" s="53">
        <v>238174</v>
      </c>
      <c r="H5" s="65">
        <v>46814000.310000002</v>
      </c>
      <c r="I5" s="88">
        <v>85.686999999999998</v>
      </c>
      <c r="J5" s="88">
        <f>Tabelle2[[#This Row],[Strom (mrd.)]]*1000000000/Tabelle2[[#This Row],[Bevölkerung]]</f>
        <v>1830.3712443411139</v>
      </c>
      <c r="K5" s="65">
        <v>4.7</v>
      </c>
      <c r="L5" s="53"/>
      <c r="M5" s="53">
        <f>Tabelle2[[#This Row],[Wohnimmobilien Anzahl]]/Tabelle2[[#This Row],[Bevölkerung]]</f>
        <v>0</v>
      </c>
      <c r="N5" s="53">
        <f t="shared" si="0"/>
        <v>0</v>
      </c>
      <c r="O5" s="53"/>
      <c r="P5" s="53">
        <v>5304344</v>
      </c>
      <c r="Q5" s="54"/>
      <c r="R5" s="54"/>
      <c r="S5" s="54"/>
      <c r="T5" s="54"/>
      <c r="U5" s="54"/>
      <c r="V5" s="54"/>
      <c r="W5" s="54"/>
      <c r="X5" s="54"/>
      <c r="Y5" s="54">
        <v>0</v>
      </c>
      <c r="Z5" s="54" t="s">
        <v>988</v>
      </c>
      <c r="AA5" s="54">
        <v>6686124</v>
      </c>
      <c r="AB5" s="54"/>
      <c r="AC5" s="53"/>
      <c r="AD5" s="53"/>
      <c r="AE5" s="53"/>
      <c r="AF5" s="53"/>
      <c r="AG5" s="54"/>
      <c r="AH5" s="54"/>
      <c r="AI5" s="54"/>
      <c r="AJ5" s="54"/>
      <c r="AK5" s="54"/>
      <c r="AL5" s="54"/>
      <c r="AM5" s="53"/>
      <c r="AN5" s="53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3"/>
      <c r="BE5" s="53"/>
      <c r="BF5" s="54"/>
      <c r="BG5" s="54"/>
      <c r="BH5" s="68"/>
      <c r="BK5" s="33"/>
    </row>
    <row r="6" spans="1:65" x14ac:dyDescent="0.3">
      <c r="A6" t="s">
        <v>588</v>
      </c>
      <c r="B6" s="4" t="s">
        <v>9</v>
      </c>
      <c r="C6" s="5" t="s">
        <v>10</v>
      </c>
      <c r="D6" s="63">
        <v>4.0350000000000001</v>
      </c>
      <c r="E6" s="63">
        <f>Tabelle2[[#This Row],[BIP (mrd.)]]*1000000000/Tabelle2[[#This Row],[Bevölkerung]]</f>
        <v>49243.348791798875</v>
      </c>
      <c r="F6" s="63">
        <v>0.88100000000000001</v>
      </c>
      <c r="G6" s="53">
        <v>470</v>
      </c>
      <c r="H6" s="63">
        <v>81940</v>
      </c>
      <c r="I6" s="88">
        <v>9.9479999999999999E-2</v>
      </c>
      <c r="J6" s="88">
        <f>Tabelle2[[#This Row],[Strom (mrd.)]]*1000000000/Tabelle2[[#This Row],[Bevölkerung]]</f>
        <v>1214.0590676104466</v>
      </c>
      <c r="K6" s="63">
        <v>2.6</v>
      </c>
      <c r="L6" s="53">
        <v>3442</v>
      </c>
      <c r="M6" s="63">
        <f>Tabelle2[[#This Row],[Wohnimmobilien Anzahl]]/Tabelle2[[#This Row],[Bevölkerung]]</f>
        <v>4.2006346106907497E-2</v>
      </c>
      <c r="N6" s="53">
        <f t="shared" si="0"/>
        <v>-3441.957993653893</v>
      </c>
      <c r="O6" s="53"/>
      <c r="P6" s="53"/>
      <c r="Q6" s="54"/>
      <c r="R6" s="54"/>
      <c r="S6" s="54"/>
      <c r="T6" s="54"/>
      <c r="U6" s="54"/>
      <c r="V6" s="54"/>
      <c r="W6" s="54"/>
      <c r="X6" s="54"/>
      <c r="Y6" s="54">
        <v>0</v>
      </c>
      <c r="Z6" s="54" t="s">
        <v>989</v>
      </c>
      <c r="AA6" s="54">
        <v>41215</v>
      </c>
      <c r="AB6" s="54"/>
      <c r="AC6" s="53"/>
      <c r="AD6" s="53"/>
      <c r="AE6" s="53"/>
      <c r="AF6" s="53"/>
      <c r="AG6" s="54"/>
      <c r="AH6" s="54"/>
      <c r="AI6" s="54"/>
      <c r="AJ6" s="54"/>
      <c r="AK6" s="54"/>
      <c r="AL6" s="54"/>
      <c r="AM6" s="53"/>
      <c r="AN6" s="53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3"/>
      <c r="BE6" s="53"/>
      <c r="BF6" s="54"/>
      <c r="BG6" s="54"/>
      <c r="BH6" s="68"/>
      <c r="BK6" s="33"/>
    </row>
    <row r="7" spans="1:65" hidden="1" x14ac:dyDescent="0.3">
      <c r="B7" s="22" t="s">
        <v>11</v>
      </c>
      <c r="C7" s="23" t="s">
        <v>12</v>
      </c>
      <c r="D7" s="63">
        <v>113.343</v>
      </c>
      <c r="E7" s="63">
        <f>Tabelle2[[#This Row],[BIP (mrd.)]]*1000000000/Tabelle2[[#This Row],[Bevölkerung]]</f>
        <v>2991.6974279315364</v>
      </c>
      <c r="F7" s="63">
        <v>0.65500000000000003</v>
      </c>
      <c r="G7" s="53">
        <v>1246700</v>
      </c>
      <c r="H7" s="63">
        <v>37885850</v>
      </c>
      <c r="I7" s="88">
        <v>16.213999999999999</v>
      </c>
      <c r="J7" s="88">
        <f>Tabelle2[[#This Row],[Strom (mrd.)]]*1000000000/Tabelle2[[#This Row],[Bevölkerung]]</f>
        <v>427.96980930875242</v>
      </c>
      <c r="K7" s="63">
        <v>6.45</v>
      </c>
      <c r="L7" s="53"/>
      <c r="M7" s="53">
        <f>Tabelle2[[#This Row],[Wohnimmobilien Anzahl]]/Tabelle2[[#This Row],[Bevölkerung]]</f>
        <v>0</v>
      </c>
      <c r="N7" s="53">
        <f t="shared" si="0"/>
        <v>0</v>
      </c>
      <c r="O7" s="53"/>
      <c r="P7" s="53"/>
      <c r="Q7" s="54"/>
      <c r="R7" s="54"/>
      <c r="S7" s="54"/>
      <c r="T7" s="54"/>
      <c r="U7" s="54"/>
      <c r="V7" s="54"/>
      <c r="W7" s="54"/>
      <c r="X7" s="54"/>
      <c r="Y7" s="54">
        <v>0</v>
      </c>
      <c r="Z7" s="54" t="s">
        <v>990</v>
      </c>
      <c r="AA7" s="54">
        <v>5544834</v>
      </c>
      <c r="AB7" s="54"/>
      <c r="AC7" s="53"/>
      <c r="AD7" s="53"/>
      <c r="AE7" s="53"/>
      <c r="AF7" s="53"/>
      <c r="AG7" s="54"/>
      <c r="AH7" s="54"/>
      <c r="AI7" s="54"/>
      <c r="AJ7" s="54"/>
      <c r="AK7" s="54"/>
      <c r="AL7" s="54"/>
      <c r="AM7" s="53"/>
      <c r="AN7" s="53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3"/>
      <c r="BE7" s="53"/>
      <c r="BF7" s="54"/>
      <c r="BG7" s="54"/>
      <c r="BH7" s="68"/>
      <c r="BK7" s="33"/>
    </row>
    <row r="8" spans="1:65" hidden="1" x14ac:dyDescent="0.3">
      <c r="B8" s="4" t="s">
        <v>13</v>
      </c>
      <c r="C8" s="5" t="s">
        <v>14</v>
      </c>
      <c r="D8" s="63">
        <v>2.3730000000000001E-3</v>
      </c>
      <c r="E8" s="63">
        <f>Tabelle2[[#This Row],[BIP (mrd.)]]*1000000000/Tabelle2[[#This Row],[Bevölkerung]]</f>
        <v>25.30660125839821</v>
      </c>
      <c r="F8" s="63">
        <v>0.246</v>
      </c>
      <c r="G8" s="53">
        <v>440</v>
      </c>
      <c r="H8" s="63">
        <v>93770</v>
      </c>
      <c r="I8" s="88">
        <v>0.32292300000000002</v>
      </c>
      <c r="J8" s="88">
        <f>Tabelle2[[#This Row],[Strom (mrd.)]]*1000000000/Tabelle2[[#This Row],[Bevölkerung]]</f>
        <v>3443.777327503466</v>
      </c>
      <c r="K8" s="63"/>
      <c r="L8" s="53"/>
      <c r="M8" s="53">
        <f>Tabelle2[[#This Row],[Wohnimmobilien Anzahl]]/Tabelle2[[#This Row],[Bevölkerung]]</f>
        <v>0</v>
      </c>
      <c r="N8" s="53">
        <f t="shared" si="0"/>
        <v>0</v>
      </c>
      <c r="O8" s="53"/>
      <c r="P8" s="53">
        <v>30213</v>
      </c>
      <c r="Q8" s="54" t="s">
        <v>450</v>
      </c>
      <c r="R8" s="54"/>
      <c r="S8" s="54" t="s">
        <v>450</v>
      </c>
      <c r="T8" s="54"/>
      <c r="U8" s="54"/>
      <c r="V8" s="54"/>
      <c r="W8" s="54"/>
      <c r="X8" s="54"/>
      <c r="Y8" s="54"/>
      <c r="Z8" s="54">
        <v>0</v>
      </c>
      <c r="AA8" s="1"/>
      <c r="AB8" s="54"/>
      <c r="AC8" s="53"/>
      <c r="AD8" s="53"/>
      <c r="AE8" s="53"/>
      <c r="AF8" s="53"/>
      <c r="AG8" s="54"/>
      <c r="AH8" s="54"/>
      <c r="AI8" s="54"/>
      <c r="AJ8" s="54"/>
      <c r="AK8" s="54"/>
      <c r="AL8" s="54"/>
      <c r="AM8" s="53"/>
      <c r="AN8" s="53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3"/>
      <c r="BE8" s="53"/>
      <c r="BF8" s="54"/>
      <c r="BG8" s="54"/>
      <c r="BH8" s="68"/>
      <c r="BK8" s="33"/>
    </row>
    <row r="9" spans="1:65" hidden="1" x14ac:dyDescent="0.3">
      <c r="B9" s="4" t="s">
        <v>15</v>
      </c>
      <c r="C9" s="5" t="s">
        <v>16</v>
      </c>
      <c r="D9" s="63">
        <v>1.2683999999999997E-2</v>
      </c>
      <c r="E9" s="63">
        <f>Tabelle2[[#This Row],[BIP (mrd.)]]*1000000000/Tabelle2[[#This Row],[Bevölkerung]]</f>
        <v>6.7021748779405224</v>
      </c>
      <c r="F9" s="63">
        <v>0.72099999999999997</v>
      </c>
      <c r="G9" s="53">
        <v>28050</v>
      </c>
      <c r="H9" s="63">
        <v>1892520</v>
      </c>
      <c r="I9" s="88"/>
      <c r="J9" s="88">
        <f>Tabelle2[[#This Row],[Strom (mrd.)]]*1000000000/Tabelle2[[#This Row],[Bevölkerung]]</f>
        <v>0</v>
      </c>
      <c r="K9" s="67"/>
      <c r="L9" s="53"/>
      <c r="M9" s="53">
        <f>Tabelle2[[#This Row],[Wohnimmobilien Anzahl]]/Tabelle2[[#This Row],[Bevölkerung]]</f>
        <v>0</v>
      </c>
      <c r="N9" s="53">
        <f t="shared" si="0"/>
        <v>0</v>
      </c>
      <c r="O9" s="53"/>
      <c r="P9" s="53"/>
      <c r="Q9" s="54"/>
      <c r="R9" s="54"/>
      <c r="S9" s="54"/>
      <c r="T9" s="54"/>
      <c r="U9" s="54"/>
      <c r="V9" s="54"/>
      <c r="W9" s="54"/>
      <c r="X9" s="54"/>
      <c r="Y9" s="54"/>
      <c r="Z9" s="54">
        <v>0</v>
      </c>
      <c r="AA9" s="54"/>
      <c r="AB9" s="54"/>
      <c r="AC9" s="53"/>
      <c r="AD9" s="53"/>
      <c r="AE9" s="53"/>
      <c r="AF9" s="53"/>
      <c r="AG9" s="54"/>
      <c r="AH9" s="54"/>
      <c r="AI9" s="54"/>
      <c r="AJ9" s="54"/>
      <c r="AK9" s="54"/>
      <c r="AL9" s="54"/>
      <c r="AM9" s="53"/>
      <c r="AN9" s="53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3"/>
      <c r="BE9" s="53"/>
      <c r="BF9" s="54"/>
      <c r="BG9" s="54"/>
      <c r="BH9" s="68"/>
      <c r="BK9" s="33"/>
    </row>
    <row r="10" spans="1:65" hidden="1" x14ac:dyDescent="0.3">
      <c r="B10" s="19" t="s">
        <v>17</v>
      </c>
      <c r="C10" s="20" t="s">
        <v>18</v>
      </c>
      <c r="D10" s="63">
        <v>683.53300000000002</v>
      </c>
      <c r="E10" s="63">
        <f>Tabelle2[[#This Row],[BIP (mrd.)]]*1000000000/Tabelle2[[#This Row],[Bevölkerung]]</f>
        <v>14958.215307369372</v>
      </c>
      <c r="F10" s="63">
        <v>0.91900000000000004</v>
      </c>
      <c r="G10" s="53">
        <v>2780400</v>
      </c>
      <c r="H10" s="63">
        <v>45696160</v>
      </c>
      <c r="I10" s="88">
        <v>114.667</v>
      </c>
      <c r="J10" s="88">
        <f>Tabelle2[[#This Row],[Strom (mrd.)]]*1000000000/Tabelle2[[#This Row],[Bevölkerung]]</f>
        <v>2509.3355765561046</v>
      </c>
      <c r="K10" s="67">
        <v>3.1</v>
      </c>
      <c r="L10" s="53"/>
      <c r="M10" s="53">
        <f>Tabelle2[[#This Row],[Wohnimmobilien Anzahl]]/Tabelle2[[#This Row],[Bevölkerung]]</f>
        <v>0</v>
      </c>
      <c r="N10" s="53">
        <f t="shared" si="0"/>
        <v>0</v>
      </c>
      <c r="O10" s="53"/>
      <c r="P10" s="53">
        <v>15699016</v>
      </c>
      <c r="Q10" s="54"/>
      <c r="R10" s="54"/>
      <c r="S10" s="54"/>
      <c r="T10" s="54"/>
      <c r="U10" s="54"/>
      <c r="V10" s="54"/>
      <c r="W10" s="54"/>
      <c r="X10" s="54"/>
      <c r="Y10" s="54">
        <v>0</v>
      </c>
      <c r="Z10" s="54" t="s">
        <v>988</v>
      </c>
      <c r="AA10" s="54">
        <v>17794949</v>
      </c>
      <c r="AB10" s="54"/>
      <c r="AC10" s="53"/>
      <c r="AD10" s="53"/>
      <c r="AE10" s="53"/>
      <c r="AF10" s="53"/>
      <c r="AG10" s="54"/>
      <c r="AH10" s="54"/>
      <c r="AI10" s="54"/>
      <c r="AJ10" s="54"/>
      <c r="AK10" s="54"/>
      <c r="AL10" s="54"/>
      <c r="AM10" s="53"/>
      <c r="AN10" s="53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3"/>
      <c r="BE10" s="53"/>
      <c r="BF10" s="54"/>
      <c r="BG10" s="54"/>
      <c r="BH10" s="68"/>
      <c r="BK10" s="33"/>
    </row>
    <row r="11" spans="1:65" x14ac:dyDescent="0.3">
      <c r="A11" t="s">
        <v>588</v>
      </c>
      <c r="B11" s="4" t="s">
        <v>19</v>
      </c>
      <c r="C11" s="5" t="s">
        <v>20</v>
      </c>
      <c r="D11" s="63">
        <v>2.6257999999999997E-2</v>
      </c>
      <c r="E11" s="63">
        <f>Tabelle2[[#This Row],[BIP (mrd.)]]*1000000000/Tabelle2[[#This Row],[Bevölkerung]]</f>
        <v>8.6560079116532052</v>
      </c>
      <c r="F11" s="63">
        <v>0.63100000000000001</v>
      </c>
      <c r="G11" s="53">
        <v>29740</v>
      </c>
      <c r="H11" s="63">
        <v>3033500</v>
      </c>
      <c r="I11" s="88">
        <v>7.0119999999999996</v>
      </c>
      <c r="J11" s="88">
        <f>Tabelle2[[#This Row],[Strom (mrd.)]]*1000000000/Tabelle2[[#This Row],[Bevölkerung]]</f>
        <v>2311.5213449810449</v>
      </c>
      <c r="K11" s="67">
        <v>4.54</v>
      </c>
      <c r="L11" s="53">
        <v>437023</v>
      </c>
      <c r="M11" s="63">
        <f>Tabelle2[[#This Row],[Wohnimmobilien Anzahl]]/Tabelle2[[#This Row],[Bevölkerung]]</f>
        <v>0.14406560079116532</v>
      </c>
      <c r="N11" s="53">
        <f t="shared" si="0"/>
        <v>-437022.85593439918</v>
      </c>
      <c r="O11" s="53">
        <v>78394950</v>
      </c>
      <c r="P11" s="53"/>
      <c r="Q11" s="54"/>
      <c r="R11" s="54"/>
      <c r="S11" s="54"/>
      <c r="T11" s="54"/>
      <c r="U11" s="54"/>
      <c r="V11" s="54"/>
      <c r="W11" s="54"/>
      <c r="X11" s="54"/>
      <c r="Y11" s="56">
        <v>0</v>
      </c>
      <c r="Z11" s="56" t="s">
        <v>988</v>
      </c>
      <c r="AB11" s="54">
        <v>108680579</v>
      </c>
      <c r="AC11" s="53"/>
      <c r="AD11" s="53"/>
      <c r="AE11" s="53"/>
      <c r="AF11" s="53"/>
      <c r="AG11" s="54"/>
      <c r="AH11" s="54"/>
      <c r="AI11" s="54"/>
      <c r="AJ11" s="54"/>
      <c r="AK11" s="54"/>
      <c r="AL11" s="54"/>
      <c r="AM11" s="53"/>
      <c r="AN11" s="53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3"/>
      <c r="BE11" s="53"/>
      <c r="BF11" s="54"/>
      <c r="BG11" s="54"/>
      <c r="BH11" s="68"/>
    </row>
    <row r="12" spans="1:65" x14ac:dyDescent="0.3">
      <c r="A12" t="s">
        <v>588</v>
      </c>
      <c r="B12" s="4" t="s">
        <v>21</v>
      </c>
      <c r="C12" s="5" t="s">
        <v>22</v>
      </c>
      <c r="D12" s="63">
        <v>7.8870000000000005</v>
      </c>
      <c r="E12" s="63">
        <f>Tabelle2[[#This Row],[BIP (mrd.)]]*1000000000/Tabelle2[[#This Row],[Bevölkerung]]</f>
        <v>773.01930342992398</v>
      </c>
      <c r="F12" s="63">
        <v>0.55700000000000005</v>
      </c>
      <c r="G12" s="53">
        <v>86600</v>
      </c>
      <c r="H12" s="63">
        <v>10202850</v>
      </c>
      <c r="I12" s="88">
        <v>23.856999999999999</v>
      </c>
      <c r="J12" s="88">
        <f>Tabelle2[[#This Row],[Strom (mrd.)]]*1000000000/Tabelle2[[#This Row],[Bevölkerung]]</f>
        <v>2338.2682289752374</v>
      </c>
      <c r="K12" s="67">
        <v>3.78</v>
      </c>
      <c r="L12" s="53">
        <v>1705300</v>
      </c>
      <c r="M12" s="63">
        <f>Tabelle2[[#This Row],[Wohnimmobilien Anzahl]]/Tabelle2[[#This Row],[Bevölkerung]]</f>
        <v>0.1671395737465512</v>
      </c>
      <c r="N12" s="53">
        <f t="shared" si="0"/>
        <v>-1705299.8328604263</v>
      </c>
      <c r="O12" s="53"/>
      <c r="P12" s="53"/>
      <c r="Q12" s="54"/>
      <c r="R12" s="54"/>
      <c r="S12" s="54"/>
      <c r="T12" s="54"/>
      <c r="U12" s="54"/>
      <c r="V12" s="54"/>
      <c r="W12" s="54"/>
      <c r="X12" s="54"/>
      <c r="Y12" s="54"/>
      <c r="Z12" s="54">
        <v>0</v>
      </c>
      <c r="AA12" s="54"/>
      <c r="AB12" s="54"/>
      <c r="AC12" s="53"/>
      <c r="AD12" s="53"/>
      <c r="AE12" s="53"/>
      <c r="AF12" s="53"/>
      <c r="AG12" s="54"/>
      <c r="AH12" s="54"/>
      <c r="AI12" s="54"/>
      <c r="AJ12" s="54"/>
      <c r="AK12" s="54"/>
      <c r="AL12" s="54"/>
      <c r="AM12" s="53"/>
      <c r="AN12" s="53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3"/>
      <c r="BE12" s="53"/>
      <c r="BF12" s="54"/>
      <c r="BG12" s="54"/>
      <c r="BH12" s="68"/>
    </row>
    <row r="13" spans="1:65" hidden="1" x14ac:dyDescent="0.3">
      <c r="B13" s="24" t="s">
        <v>23</v>
      </c>
      <c r="C13" s="25" t="s">
        <v>24</v>
      </c>
      <c r="D13" s="63">
        <v>117.45699999999999</v>
      </c>
      <c r="E13" s="63">
        <f>Tabelle2[[#This Row],[BIP (mrd.)]]*1000000000/Tabelle2[[#This Row],[Bevölkerung]]</f>
        <v>889.42302413520792</v>
      </c>
      <c r="F13" s="63">
        <v>0.20799999999999999</v>
      </c>
      <c r="G13" s="53">
        <v>1136240</v>
      </c>
      <c r="H13" s="63">
        <v>132059769.99999999</v>
      </c>
      <c r="I13" s="88">
        <v>12.298</v>
      </c>
      <c r="J13" s="88">
        <f>Tabelle2[[#This Row],[Strom (mrd.)]]*1000000000/Tabelle2[[#This Row],[Bevölkerung]]</f>
        <v>93.124499611047341</v>
      </c>
      <c r="K13" s="67">
        <v>4.8</v>
      </c>
      <c r="L13" s="53"/>
      <c r="M13" s="53">
        <f>Tabelle2[[#This Row],[Wohnimmobilien Anzahl]]/Tabelle2[[#This Row],[Bevölkerung]]</f>
        <v>0</v>
      </c>
      <c r="N13" s="53">
        <f t="shared" si="0"/>
        <v>0</v>
      </c>
      <c r="O13" s="53"/>
      <c r="P13" s="53"/>
      <c r="Q13" s="54"/>
      <c r="R13" s="54"/>
      <c r="S13" s="54"/>
      <c r="T13" s="54"/>
      <c r="U13" s="54"/>
      <c r="V13" s="54"/>
      <c r="W13" s="54"/>
      <c r="X13" s="54"/>
      <c r="Y13" s="54">
        <v>0</v>
      </c>
      <c r="Z13" s="54" t="s">
        <v>987</v>
      </c>
      <c r="AA13" s="54">
        <v>15103182</v>
      </c>
      <c r="AB13" s="54"/>
      <c r="AC13" s="53"/>
      <c r="AD13" s="53"/>
      <c r="AE13" s="53"/>
      <c r="AF13" s="53"/>
      <c r="AG13" s="54"/>
      <c r="AH13" s="54"/>
      <c r="AI13" s="54"/>
      <c r="AJ13" s="54"/>
      <c r="AK13" s="54"/>
      <c r="AL13" s="54"/>
      <c r="AM13" s="53"/>
      <c r="AN13" s="53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3"/>
      <c r="BE13" s="53"/>
      <c r="BF13" s="54"/>
      <c r="BG13" s="54"/>
      <c r="BH13" s="68"/>
    </row>
    <row r="14" spans="1:65" hidden="1" x14ac:dyDescent="0.3">
      <c r="B14" s="11" t="s">
        <v>25</v>
      </c>
      <c r="C14" s="12" t="s">
        <v>26</v>
      </c>
      <c r="D14" s="63">
        <v>1771.681</v>
      </c>
      <c r="E14" s="63">
        <f>Tabelle2[[#This Row],[BIP (mrd.)]]*1000000000/Tabelle2[[#This Row],[Bevölkerung]]</f>
        <v>65123.814501920802</v>
      </c>
      <c r="F14" s="63">
        <v>0.86</v>
      </c>
      <c r="G14" s="53">
        <v>7741220</v>
      </c>
      <c r="H14" s="63">
        <v>27204810</v>
      </c>
      <c r="I14" s="88">
        <v>267.81799999999998</v>
      </c>
      <c r="J14" s="88">
        <f>Tabelle2[[#This Row],[Strom (mrd.)]]*1000000000/Tabelle2[[#This Row],[Bevölkerung]]</f>
        <v>9844.509114380875</v>
      </c>
      <c r="K14" s="67">
        <v>2.5</v>
      </c>
      <c r="L14" s="53"/>
      <c r="M14" s="53">
        <f>Tabelle2[[#This Row],[Wohnimmobilien Anzahl]]/Tabelle2[[#This Row],[Bevölkerung]]</f>
        <v>0</v>
      </c>
      <c r="N14" s="53">
        <f t="shared" si="0"/>
        <v>0</v>
      </c>
      <c r="O14" s="53"/>
      <c r="P14" s="53">
        <v>9808428</v>
      </c>
      <c r="Q14" s="54">
        <v>7003310</v>
      </c>
      <c r="R14" s="86"/>
      <c r="S14" s="54"/>
      <c r="T14" s="54"/>
      <c r="U14" s="54"/>
      <c r="V14" s="54"/>
      <c r="W14" s="54"/>
      <c r="X14" s="54"/>
      <c r="Y14" s="56">
        <v>1</v>
      </c>
      <c r="Z14" s="56" t="s">
        <v>989</v>
      </c>
      <c r="AA14" s="56">
        <v>10852208</v>
      </c>
      <c r="AB14" s="54"/>
      <c r="AC14" s="53">
        <v>1047421</v>
      </c>
      <c r="AD14" s="53"/>
      <c r="AE14" s="53"/>
      <c r="AF14" s="53"/>
      <c r="AG14" s="1"/>
      <c r="AH14" s="54"/>
      <c r="AI14" s="54"/>
      <c r="AJ14" s="54"/>
      <c r="AK14" s="54">
        <v>146728</v>
      </c>
      <c r="AL14" s="54"/>
      <c r="AM14" s="53"/>
      <c r="AN14" s="53"/>
      <c r="AO14" s="54"/>
      <c r="AP14" s="54"/>
      <c r="AQ14" s="54">
        <v>127295</v>
      </c>
      <c r="AR14" s="54"/>
      <c r="AS14" s="54"/>
      <c r="AT14" s="54">
        <v>22752</v>
      </c>
      <c r="AU14" s="54"/>
      <c r="AV14" s="54"/>
      <c r="AW14" s="54"/>
      <c r="AX14" s="54"/>
      <c r="AY14" s="54">
        <v>9035</v>
      </c>
      <c r="AZ14" s="54"/>
      <c r="BA14" s="54"/>
      <c r="BB14" s="54"/>
      <c r="BC14" s="54"/>
      <c r="BD14" s="53"/>
      <c r="BE14" s="53"/>
      <c r="BF14" s="54"/>
      <c r="BG14" s="54"/>
      <c r="BH14" s="68"/>
    </row>
    <row r="15" spans="1:65" x14ac:dyDescent="0.3">
      <c r="A15" t="s">
        <v>588</v>
      </c>
      <c r="B15" s="4" t="s">
        <v>27</v>
      </c>
      <c r="C15" s="5" t="s">
        <v>28</v>
      </c>
      <c r="D15" s="63">
        <v>15.178000000000001</v>
      </c>
      <c r="E15" s="63">
        <f>Tabelle2[[#This Row],[BIP (mrd.)]]*1000000000/Tabelle2[[#This Row],[Bevölkerung]]</f>
        <v>37823.963317384369</v>
      </c>
      <c r="F15" s="63">
        <v>0.83</v>
      </c>
      <c r="G15" s="53">
        <v>13880</v>
      </c>
      <c r="H15" s="63">
        <v>401280</v>
      </c>
      <c r="I15" s="88">
        <v>2.036</v>
      </c>
      <c r="J15" s="88">
        <f>Tabelle2[[#This Row],[Strom (mrd.)]]*1000000000/Tabelle2[[#This Row],[Bevölkerung]]</f>
        <v>5073.7639553429026</v>
      </c>
      <c r="K15" s="67">
        <v>3.5</v>
      </c>
      <c r="L15" s="53">
        <v>96863</v>
      </c>
      <c r="M15" s="63">
        <f>Tabelle2[[#This Row],[Wohnimmobilien Anzahl]]/Tabelle2[[#This Row],[Bevölkerung]]</f>
        <v>0.2413850677830941</v>
      </c>
      <c r="N15" s="53">
        <f t="shared" si="0"/>
        <v>-96862.758614932216</v>
      </c>
      <c r="O15" s="53"/>
      <c r="P15" s="53">
        <v>102493</v>
      </c>
      <c r="Q15" s="54"/>
      <c r="R15" s="54"/>
      <c r="S15" s="54"/>
      <c r="T15" s="54"/>
      <c r="U15" s="54"/>
      <c r="V15" s="54"/>
      <c r="W15" s="54"/>
      <c r="X15" s="54"/>
      <c r="Y15" s="54">
        <v>0</v>
      </c>
      <c r="Z15" s="54" t="s">
        <v>989</v>
      </c>
      <c r="AA15" s="54">
        <v>126493</v>
      </c>
      <c r="AB15" s="54"/>
      <c r="AC15" s="53"/>
      <c r="AD15" s="53"/>
      <c r="AE15" s="53"/>
      <c r="AF15" s="53"/>
      <c r="AG15" s="54"/>
      <c r="AH15" s="54"/>
      <c r="AI15" s="54"/>
      <c r="AJ15" s="54"/>
      <c r="AK15" s="54"/>
      <c r="AL15" s="54"/>
      <c r="AM15" s="53"/>
      <c r="AN15" s="53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3"/>
      <c r="BE15" s="53"/>
      <c r="BF15" s="54"/>
      <c r="BG15" s="54"/>
      <c r="BH15" s="68"/>
    </row>
    <row r="16" spans="1:65" hidden="1" x14ac:dyDescent="0.3">
      <c r="B16" s="24" t="s">
        <v>29</v>
      </c>
      <c r="C16" s="25" t="s">
        <v>30</v>
      </c>
      <c r="D16" s="63">
        <v>47.829000000000001</v>
      </c>
      <c r="E16" s="63">
        <f>Tabelle2[[#This Row],[BIP (mrd.)]]*1000000000/Tabelle2[[#This Row],[Bevölkerung]]</f>
        <v>30106.31534554061</v>
      </c>
      <c r="F16" s="63">
        <v>0.89300000000000002</v>
      </c>
      <c r="G16" s="53">
        <v>800</v>
      </c>
      <c r="H16" s="63">
        <v>1588670</v>
      </c>
      <c r="I16" s="88">
        <v>35.090000000000003</v>
      </c>
      <c r="J16" s="88">
        <f>Tabelle2[[#This Row],[Strom (mrd.)]]*1000000000/Tabelle2[[#This Row],[Bevölkerung]]</f>
        <v>22087.658229840054</v>
      </c>
      <c r="K16" s="67">
        <v>4.7</v>
      </c>
      <c r="L16" s="53"/>
      <c r="M16" s="53">
        <f>Tabelle2[[#This Row],[Wohnimmobilien Anzahl]]/Tabelle2[[#This Row],[Bevölkerung]]</f>
        <v>0</v>
      </c>
      <c r="N16" s="53">
        <f t="shared" si="0"/>
        <v>0</v>
      </c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>
        <v>0</v>
      </c>
      <c r="Z16" s="54" t="s">
        <v>989</v>
      </c>
      <c r="AA16" s="54">
        <v>387126</v>
      </c>
      <c r="AB16" s="54"/>
      <c r="AC16" s="53"/>
      <c r="AD16" s="53"/>
      <c r="AE16" s="53"/>
      <c r="AF16" s="53"/>
      <c r="AG16" s="54"/>
      <c r="AH16" s="54"/>
      <c r="AI16" s="54"/>
      <c r="AJ16" s="54"/>
      <c r="AK16" s="54"/>
      <c r="AL16" s="54"/>
      <c r="AM16" s="53"/>
      <c r="AN16" s="53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3"/>
      <c r="BE16" s="53"/>
      <c r="BF16" s="54"/>
      <c r="BG16" s="54"/>
      <c r="BH16" s="68"/>
    </row>
    <row r="17" spans="1:60" hidden="1" x14ac:dyDescent="0.3">
      <c r="B17" s="4" t="s">
        <v>31</v>
      </c>
      <c r="C17" s="5" t="s">
        <v>32</v>
      </c>
      <c r="D17" s="63">
        <v>0.46721800000000002</v>
      </c>
      <c r="E17" s="63">
        <f>Tabelle2[[#This Row],[BIP (mrd.)]]*1000000000/Tabelle2[[#This Row],[Bevölkerung]]</f>
        <v>2.691931591619289</v>
      </c>
      <c r="F17" s="63">
        <v>0.36599999999999999</v>
      </c>
      <c r="G17" s="53">
        <v>147570</v>
      </c>
      <c r="H17" s="63">
        <v>173562360</v>
      </c>
      <c r="I17" s="88"/>
      <c r="J17" s="88">
        <f>Tabelle2[[#This Row],[Strom (mrd.)]]*1000000000/Tabelle2[[#This Row],[Bevölkerung]]</f>
        <v>0</v>
      </c>
      <c r="K17" s="67"/>
      <c r="L17" s="53"/>
      <c r="M17" s="53">
        <f>Tabelle2[[#This Row],[Wohnimmobilien Anzahl]]/Tabelle2[[#This Row],[Bevölkerung]]</f>
        <v>0</v>
      </c>
      <c r="N17" s="53">
        <f t="shared" si="0"/>
        <v>0</v>
      </c>
      <c r="O17" s="53"/>
      <c r="P17" s="53"/>
      <c r="Q17" s="54"/>
      <c r="R17" s="56"/>
      <c r="S17" s="54"/>
      <c r="T17" s="54"/>
      <c r="U17" s="54"/>
      <c r="V17" s="54"/>
      <c r="W17" s="54"/>
      <c r="X17" s="54"/>
      <c r="Y17" s="54"/>
      <c r="Z17" s="54">
        <v>0</v>
      </c>
      <c r="AA17" s="54"/>
      <c r="AB17" s="54"/>
      <c r="AC17" s="53"/>
      <c r="AD17" s="53"/>
      <c r="AE17" s="53"/>
      <c r="AF17" s="53"/>
      <c r="AG17" s="56"/>
      <c r="AH17" s="54"/>
      <c r="AI17" s="54"/>
      <c r="AJ17" s="54"/>
      <c r="AK17" s="54"/>
      <c r="AL17" s="54"/>
      <c r="AM17" s="53"/>
      <c r="AN17" s="53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3"/>
      <c r="BE17" s="53"/>
      <c r="BF17" s="54"/>
      <c r="BG17" s="54"/>
      <c r="BH17" s="68"/>
    </row>
    <row r="18" spans="1:60" hidden="1" x14ac:dyDescent="0.3">
      <c r="B18" s="4" t="s">
        <v>33</v>
      </c>
      <c r="C18" s="5" t="s">
        <v>34</v>
      </c>
      <c r="D18" s="63">
        <v>7.5519999999999988E-3</v>
      </c>
      <c r="E18" s="63">
        <f>Tabelle2[[#This Row],[BIP (mrd.)]]*1000000000/Tabelle2[[#This Row],[Bevölkerung]]</f>
        <v>26.735582539738729</v>
      </c>
      <c r="F18" s="63">
        <v>0.311</v>
      </c>
      <c r="G18" s="53">
        <v>430</v>
      </c>
      <c r="H18" s="63">
        <v>282470</v>
      </c>
      <c r="I18" s="88"/>
      <c r="J18" s="88">
        <f>Tabelle2[[#This Row],[Strom (mrd.)]]*1000000000/Tabelle2[[#This Row],[Bevölkerung]]</f>
        <v>0</v>
      </c>
      <c r="K18" s="67"/>
      <c r="L18" s="53"/>
      <c r="M18" s="53">
        <f>Tabelle2[[#This Row],[Wohnimmobilien Anzahl]]/Tabelle2[[#This Row],[Bevölkerung]]</f>
        <v>0</v>
      </c>
      <c r="N18" s="53">
        <f t="shared" si="0"/>
        <v>0</v>
      </c>
      <c r="O18" s="55"/>
      <c r="P18" s="55"/>
      <c r="Q18" s="54"/>
      <c r="R18" s="54"/>
      <c r="S18" s="54"/>
      <c r="T18" s="54"/>
      <c r="U18" s="54"/>
      <c r="V18" s="54"/>
      <c r="W18" s="54"/>
      <c r="X18" s="54"/>
      <c r="Y18" s="54"/>
      <c r="Z18" s="54">
        <v>0</v>
      </c>
      <c r="AA18" s="54"/>
      <c r="AB18" s="54"/>
      <c r="AC18" s="53"/>
      <c r="AD18" s="53"/>
      <c r="AE18" s="53"/>
      <c r="AF18" s="53"/>
      <c r="AG18" s="54"/>
      <c r="AH18" s="54"/>
      <c r="AI18" s="54"/>
      <c r="AJ18" s="54"/>
      <c r="AK18" s="54"/>
      <c r="AL18" s="54"/>
      <c r="AM18" s="53"/>
      <c r="AN18" s="53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3"/>
      <c r="BE18" s="53"/>
      <c r="BF18" s="54"/>
      <c r="BG18" s="54"/>
      <c r="BH18" s="68"/>
    </row>
    <row r="19" spans="1:60" x14ac:dyDescent="0.3">
      <c r="A19" t="s">
        <v>589</v>
      </c>
      <c r="B19" s="11" t="s">
        <v>35</v>
      </c>
      <c r="C19" s="12" t="s">
        <v>36</v>
      </c>
      <c r="D19" s="63">
        <v>684.86400000000003</v>
      </c>
      <c r="E19" s="63">
        <f>Tabelle2[[#This Row],[BIP (mrd.)]]*1000000000/Tabelle2[[#This Row],[Bevölkerung]]</f>
        <v>57663.823037104143</v>
      </c>
      <c r="F19" s="63">
        <v>0.98</v>
      </c>
      <c r="G19" s="53">
        <v>30689</v>
      </c>
      <c r="H19" s="63">
        <v>11876840</v>
      </c>
      <c r="I19" s="88">
        <v>74.537000000000006</v>
      </c>
      <c r="J19" s="88">
        <f>Tabelle2[[#This Row],[Strom (mrd.)]]*1000000000/Tabelle2[[#This Row],[Bevölkerung]]</f>
        <v>6275.8275770322743</v>
      </c>
      <c r="K19" s="67">
        <v>2.2999999999999998</v>
      </c>
      <c r="L19" s="53">
        <v>3876177</v>
      </c>
      <c r="M19" s="63">
        <f>Tabelle2[[#This Row],[Wohnimmobilien Anzahl]]/Tabelle2[[#This Row],[Bevölkerung]]</f>
        <v>0.32636433596815312</v>
      </c>
      <c r="N19" s="53">
        <f t="shared" si="0"/>
        <v>-3876176.6736356639</v>
      </c>
      <c r="O19" s="53"/>
      <c r="P19" s="53"/>
      <c r="Q19" s="54">
        <v>1437107</v>
      </c>
      <c r="R19" s="54"/>
      <c r="S19" s="54"/>
      <c r="T19" s="54"/>
      <c r="U19" s="54">
        <v>1183673</v>
      </c>
      <c r="V19" s="54"/>
      <c r="W19" s="54"/>
      <c r="X19" s="54"/>
      <c r="Y19" s="54">
        <v>1</v>
      </c>
      <c r="Z19" s="54" t="s">
        <v>989</v>
      </c>
      <c r="AA19" s="54">
        <v>5783434</v>
      </c>
      <c r="AB19" s="54"/>
      <c r="AC19" s="53"/>
      <c r="AD19" s="53"/>
      <c r="AE19" s="53"/>
      <c r="AF19" s="53"/>
      <c r="AG19" s="54"/>
      <c r="AH19" s="54"/>
      <c r="AI19" s="54"/>
      <c r="AJ19" s="54"/>
      <c r="AK19" s="54"/>
      <c r="AL19" s="54"/>
      <c r="AM19" s="53"/>
      <c r="AN19" s="53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3">
        <v>4649265</v>
      </c>
      <c r="BE19" s="53"/>
      <c r="BF19" s="54"/>
      <c r="BG19" s="54"/>
      <c r="BH19" s="68"/>
    </row>
    <row r="20" spans="1:60" hidden="1" x14ac:dyDescent="0.3">
      <c r="B20" s="4" t="s">
        <v>37</v>
      </c>
      <c r="C20" s="5" t="s">
        <v>38</v>
      </c>
      <c r="D20" s="63">
        <v>3.6110000000000002</v>
      </c>
      <c r="E20" s="63">
        <f>Tabelle2[[#This Row],[BIP (mrd.)]]*1000000000/Tabelle2[[#This Row],[Bevölkerung]]</f>
        <v>8658.0190375716302</v>
      </c>
      <c r="F20" s="63">
        <v>0.45700000000000002</v>
      </c>
      <c r="G20" s="53">
        <v>22966</v>
      </c>
      <c r="H20" s="63">
        <v>417070</v>
      </c>
      <c r="I20" s="88">
        <v>0.59538899999999995</v>
      </c>
      <c r="J20" s="88">
        <f>Tabelle2[[#This Row],[Strom (mrd.)]]*1000000000/Tabelle2[[#This Row],[Bevölkerung]]</f>
        <v>1427.5517299254323</v>
      </c>
      <c r="K20" s="67">
        <v>3.6</v>
      </c>
      <c r="L20" s="53"/>
      <c r="M20" s="53">
        <f>Tabelle2[[#This Row],[Wohnimmobilien Anzahl]]/Tabelle2[[#This Row],[Bevölkerung]]</f>
        <v>0</v>
      </c>
      <c r="N20" s="53">
        <f t="shared" si="0"/>
        <v>0</v>
      </c>
      <c r="O20" s="53"/>
      <c r="P20" s="53"/>
      <c r="Q20" s="54">
        <v>97176</v>
      </c>
      <c r="R20" s="54"/>
      <c r="S20" s="54">
        <v>1396</v>
      </c>
      <c r="T20" s="54"/>
      <c r="U20" s="54"/>
      <c r="V20" s="54"/>
      <c r="W20" s="54"/>
      <c r="X20" s="54"/>
      <c r="Y20" s="54">
        <v>0</v>
      </c>
      <c r="Z20" s="54" t="s">
        <v>988</v>
      </c>
      <c r="AA20" s="54">
        <v>110718</v>
      </c>
      <c r="AB20" s="54"/>
      <c r="AC20" s="53"/>
      <c r="AD20" s="53"/>
      <c r="AE20" s="53"/>
      <c r="AF20" s="53"/>
      <c r="AG20" s="54"/>
      <c r="AH20" s="54"/>
      <c r="AI20" s="54"/>
      <c r="AJ20" s="54"/>
      <c r="AK20" s="54"/>
      <c r="AL20" s="54"/>
      <c r="AM20" s="53"/>
      <c r="AN20" s="53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3"/>
      <c r="BE20" s="53"/>
      <c r="BF20" s="54"/>
      <c r="BG20" s="54"/>
      <c r="BH20" s="68"/>
    </row>
    <row r="21" spans="1:60" hidden="1" x14ac:dyDescent="0.3">
      <c r="B21" s="4" t="s">
        <v>39</v>
      </c>
      <c r="C21" s="5" t="s">
        <v>40</v>
      </c>
      <c r="D21" s="63">
        <v>2.2235999999999999E-2</v>
      </c>
      <c r="E21" s="63">
        <f>Tabelle2[[#This Row],[BIP (mrd.)]]*1000000000/Tabelle2[[#This Row],[Bevölkerung]]</f>
        <v>1.5374701301000089</v>
      </c>
      <c r="F21" s="63">
        <v>0.47299999999999998</v>
      </c>
      <c r="G21" s="53">
        <v>114760</v>
      </c>
      <c r="H21" s="63">
        <v>14462720</v>
      </c>
      <c r="I21" s="88"/>
      <c r="J21" s="88">
        <f>Tabelle2[[#This Row],[Strom (mrd.)]]*1000000000/Tabelle2[[#This Row],[Bevölkerung]]</f>
        <v>0</v>
      </c>
      <c r="K21" s="67"/>
      <c r="L21" s="53"/>
      <c r="M21" s="53">
        <f>Tabelle2[[#This Row],[Wohnimmobilien Anzahl]]/Tabelle2[[#This Row],[Bevölkerung]]</f>
        <v>0</v>
      </c>
      <c r="N21" s="53">
        <f t="shared" si="0"/>
        <v>0</v>
      </c>
      <c r="O21" s="53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>
        <v>0</v>
      </c>
      <c r="AA21" s="54"/>
      <c r="AB21" s="54"/>
      <c r="AC21" s="53"/>
      <c r="AD21" s="53"/>
      <c r="AE21" s="53"/>
      <c r="AF21" s="53"/>
      <c r="AG21" s="54"/>
      <c r="AH21" s="54"/>
      <c r="AI21" s="54"/>
      <c r="AJ21" s="54"/>
      <c r="AK21" s="54"/>
      <c r="AL21" s="54"/>
      <c r="AM21" s="53"/>
      <c r="AN21" s="53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3"/>
      <c r="BE21" s="53"/>
      <c r="BF21" s="54"/>
      <c r="BG21" s="54"/>
      <c r="BH21" s="68"/>
    </row>
    <row r="22" spans="1:60" hidden="1" x14ac:dyDescent="0.3">
      <c r="B22" s="4" t="s">
        <v>41</v>
      </c>
      <c r="C22" s="5" t="s">
        <v>42</v>
      </c>
      <c r="D22" s="63">
        <v>3.4220000000000001E-3</v>
      </c>
      <c r="E22" s="63">
        <f>Tabelle2[[#This Row],[BIP (mrd.)]]*1000000000/Tabelle2[[#This Row],[Bevölkerung]]</f>
        <v>4.3233272690519504</v>
      </c>
      <c r="F22" s="63">
        <v>0.40899999999999997</v>
      </c>
      <c r="G22" s="53">
        <v>38390</v>
      </c>
      <c r="H22" s="63">
        <v>791520</v>
      </c>
      <c r="I22" s="88"/>
      <c r="J22" s="88">
        <f>Tabelle2[[#This Row],[Strom (mrd.)]]*1000000000/Tabelle2[[#This Row],[Bevölkerung]]</f>
        <v>0</v>
      </c>
      <c r="K22" s="67"/>
      <c r="L22" s="53"/>
      <c r="M22" s="53">
        <f>Tabelle2[[#This Row],[Wohnimmobilien Anzahl]]/Tabelle2[[#This Row],[Bevölkerung]]</f>
        <v>0</v>
      </c>
      <c r="N22" s="53">
        <f t="shared" si="0"/>
        <v>0</v>
      </c>
      <c r="O22" s="53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>
        <v>0</v>
      </c>
      <c r="AA22" s="54"/>
      <c r="AB22" s="54"/>
      <c r="AC22" s="53"/>
      <c r="AD22" s="53"/>
      <c r="AE22" s="53"/>
      <c r="AF22" s="53"/>
      <c r="AG22" s="54"/>
      <c r="AH22" s="54"/>
      <c r="AI22" s="54"/>
      <c r="AJ22" s="54"/>
      <c r="AK22" s="54"/>
      <c r="AL22" s="54"/>
      <c r="AM22" s="53"/>
      <c r="AN22" s="53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3"/>
      <c r="BE22" s="53"/>
      <c r="BF22" s="54"/>
      <c r="BG22" s="54"/>
      <c r="BH22" s="68"/>
    </row>
    <row r="23" spans="1:60" hidden="1" x14ac:dyDescent="0.3">
      <c r="B23" s="4" t="s">
        <v>43</v>
      </c>
      <c r="C23" s="5" t="s">
        <v>44</v>
      </c>
      <c r="D23" s="63">
        <v>5.6338999999999993E-2</v>
      </c>
      <c r="E23" s="63">
        <f>Tabelle2[[#This Row],[BIP (mrd.)]]*1000000000/Tabelle2[[#This Row],[Bevölkerung]]</f>
        <v>4.5385924152442696</v>
      </c>
      <c r="F23" s="63">
        <v>0.69399999999999995</v>
      </c>
      <c r="G23" s="53">
        <v>1098580</v>
      </c>
      <c r="H23" s="63">
        <v>12413320</v>
      </c>
      <c r="I23" s="88"/>
      <c r="J23" s="88">
        <f>Tabelle2[[#This Row],[Strom (mrd.)]]*1000000000/Tabelle2[[#This Row],[Bevölkerung]]</f>
        <v>0</v>
      </c>
      <c r="K23" s="67"/>
      <c r="L23" s="53"/>
      <c r="M23" s="53">
        <f>Tabelle2[[#This Row],[Wohnimmobilien Anzahl]]/Tabelle2[[#This Row],[Bevölkerung]]</f>
        <v>0</v>
      </c>
      <c r="N23" s="53">
        <f t="shared" si="0"/>
        <v>0</v>
      </c>
      <c r="O23" s="53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>
        <v>0</v>
      </c>
      <c r="AA23" s="54"/>
      <c r="AB23" s="54"/>
      <c r="AC23" s="53"/>
      <c r="AD23" s="53"/>
      <c r="AE23" s="53"/>
      <c r="AF23" s="53"/>
      <c r="AG23" s="54"/>
      <c r="AH23" s="54"/>
      <c r="AI23" s="54"/>
      <c r="AJ23" s="54"/>
      <c r="AK23" s="54"/>
      <c r="AL23" s="54"/>
      <c r="AM23" s="53"/>
      <c r="AN23" s="53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3"/>
      <c r="BE23" s="53"/>
      <c r="BF23" s="54"/>
      <c r="BG23" s="54"/>
      <c r="BH23" s="68"/>
    </row>
    <row r="24" spans="1:60" hidden="1" x14ac:dyDescent="0.3">
      <c r="B24" s="4" t="s">
        <v>45</v>
      </c>
      <c r="C24" s="5" t="s">
        <v>46</v>
      </c>
      <c r="D24" s="63">
        <v>28.806999999999999</v>
      </c>
      <c r="E24" s="63">
        <f>Tabelle2[[#This Row],[BIP (mrd.)]]*1000000000/Tabelle2[[#This Row],[Bevölkerung]]</f>
        <v>9103.895077822548</v>
      </c>
      <c r="F24" s="63">
        <v>0.48199999999999998</v>
      </c>
      <c r="G24" s="53">
        <v>51210</v>
      </c>
      <c r="H24" s="63">
        <v>3164250</v>
      </c>
      <c r="I24" s="88">
        <v>12.867000000000001</v>
      </c>
      <c r="J24" s="88">
        <f>Tabelle2[[#This Row],[Strom (mrd.)]]*1000000000/Tabelle2[[#This Row],[Bevölkerung]]</f>
        <v>4066.3664375444419</v>
      </c>
      <c r="K24" s="67">
        <v>2.5</v>
      </c>
      <c r="L24" s="53"/>
      <c r="M24" s="53">
        <f>Tabelle2[[#This Row],[Wohnimmobilien Anzahl]]/Tabelle2[[#This Row],[Bevölkerung]]</f>
        <v>0</v>
      </c>
      <c r="N24" s="53">
        <f t="shared" si="0"/>
        <v>0</v>
      </c>
      <c r="O24" s="53"/>
      <c r="P24" s="53"/>
      <c r="Q24" s="54"/>
      <c r="R24" s="54"/>
      <c r="S24" s="54"/>
      <c r="T24" s="54"/>
      <c r="U24" s="54"/>
      <c r="V24" s="54"/>
      <c r="W24" s="54"/>
      <c r="X24" s="54"/>
      <c r="Y24" s="54">
        <v>0</v>
      </c>
      <c r="Z24" s="54" t="s">
        <v>988</v>
      </c>
      <c r="AA24" s="54">
        <v>1617308</v>
      </c>
      <c r="AB24" s="54"/>
      <c r="AC24" s="53"/>
      <c r="AD24" s="53"/>
      <c r="AE24" s="53"/>
      <c r="AF24" s="53"/>
      <c r="AG24" s="54"/>
      <c r="AH24" s="54"/>
      <c r="AI24" s="54"/>
      <c r="AJ24" s="54"/>
      <c r="AK24" s="54"/>
      <c r="AL24" s="54"/>
      <c r="AM24" s="53"/>
      <c r="AN24" s="53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3"/>
      <c r="BE24" s="53"/>
      <c r="BF24" s="54"/>
      <c r="BG24" s="54"/>
      <c r="BH24" s="68"/>
    </row>
    <row r="25" spans="1:60" hidden="1" x14ac:dyDescent="0.3">
      <c r="B25" s="24" t="s">
        <v>47</v>
      </c>
      <c r="C25" s="25" t="s">
        <v>48</v>
      </c>
      <c r="D25" s="63">
        <v>1.9399999999999997E-2</v>
      </c>
      <c r="E25" s="63">
        <f>Tabelle2[[#This Row],[BIP (mrd.)]]*1000000000/Tabelle2[[#This Row],[Bevölkerung]]</f>
        <v>7.6949316579007894</v>
      </c>
      <c r="F25" s="63">
        <v>0.69399999999999995</v>
      </c>
      <c r="G25" s="53">
        <v>581730</v>
      </c>
      <c r="H25" s="63">
        <v>2521140</v>
      </c>
      <c r="I25" s="88"/>
      <c r="J25" s="88">
        <f>Tabelle2[[#This Row],[Strom (mrd.)]]*1000000000/Tabelle2[[#This Row],[Bevölkerung]]</f>
        <v>0</v>
      </c>
      <c r="K25" s="67"/>
      <c r="L25" s="53"/>
      <c r="M25" s="53">
        <f>Tabelle2[[#This Row],[Wohnimmobilien Anzahl]]/Tabelle2[[#This Row],[Bevölkerung]]</f>
        <v>0</v>
      </c>
      <c r="N25" s="53">
        <f t="shared" si="0"/>
        <v>0</v>
      </c>
      <c r="O25" s="53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>
        <v>0</v>
      </c>
      <c r="AA25" s="54"/>
      <c r="AB25" s="54"/>
      <c r="AC25" s="53"/>
      <c r="AD25" s="53"/>
      <c r="AE25" s="53"/>
      <c r="AF25" s="53"/>
      <c r="AG25" s="54"/>
      <c r="AH25" s="54"/>
      <c r="AI25" s="54"/>
      <c r="AJ25" s="54"/>
      <c r="AK25" s="54"/>
      <c r="AL25" s="54"/>
      <c r="AM25" s="53"/>
      <c r="AN25" s="53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3"/>
      <c r="BE25" s="53"/>
      <c r="BF25" s="54"/>
      <c r="BG25" s="54"/>
      <c r="BH25" s="68"/>
    </row>
    <row r="26" spans="1:60" hidden="1" x14ac:dyDescent="0.3">
      <c r="B26" s="19" t="s">
        <v>49</v>
      </c>
      <c r="C26" s="20" t="s">
        <v>50</v>
      </c>
      <c r="D26" s="63">
        <v>2125.9580000000001</v>
      </c>
      <c r="E26" s="63">
        <f>Tabelle2[[#This Row],[BIP (mrd.)]]*1000000000/Tabelle2[[#This Row],[Bevölkerung]]</f>
        <v>10028.171416439271</v>
      </c>
      <c r="F26" s="63">
        <v>0.86599999999999999</v>
      </c>
      <c r="G26" s="53">
        <v>8510420</v>
      </c>
      <c r="H26" s="63">
        <v>211998570</v>
      </c>
      <c r="I26" s="88">
        <v>608.45100000000002</v>
      </c>
      <c r="J26" s="88">
        <f>Tabelle2[[#This Row],[Strom (mrd.)]]*1000000000/Tabelle2[[#This Row],[Bevölkerung]]</f>
        <v>2870.0712462352931</v>
      </c>
      <c r="K26" s="67">
        <v>2.8</v>
      </c>
      <c r="L26" s="53"/>
      <c r="M26" s="53">
        <f>Tabelle2[[#This Row],[Wohnimmobilien Anzahl]]/Tabelle2[[#This Row],[Bevölkerung]]</f>
        <v>0</v>
      </c>
      <c r="N26" s="53">
        <f t="shared" si="0"/>
        <v>0</v>
      </c>
      <c r="O26" s="53"/>
      <c r="P26" s="53"/>
      <c r="Q26" s="54"/>
      <c r="R26" s="54"/>
      <c r="S26" s="54"/>
      <c r="T26" s="54"/>
      <c r="U26" s="54"/>
      <c r="V26" s="54"/>
      <c r="W26" s="54"/>
      <c r="X26" s="54"/>
      <c r="Y26" s="54">
        <v>0</v>
      </c>
      <c r="Z26" s="54">
        <v>0</v>
      </c>
      <c r="AA26" s="87">
        <v>72079514</v>
      </c>
      <c r="AB26" s="54"/>
      <c r="AC26" s="53"/>
      <c r="AD26" s="53"/>
      <c r="AE26" s="53"/>
      <c r="AF26" s="53"/>
      <c r="AG26" s="54"/>
      <c r="AH26" s="54"/>
      <c r="AI26" s="54"/>
      <c r="AJ26" s="54"/>
      <c r="AK26" s="54"/>
      <c r="AL26" s="54"/>
      <c r="AM26" s="53"/>
      <c r="AN26" s="53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3"/>
      <c r="BE26" s="53"/>
      <c r="BF26" s="54"/>
      <c r="BG26" s="54"/>
      <c r="BH26" s="68"/>
    </row>
    <row r="27" spans="1:60" hidden="1" x14ac:dyDescent="0.3">
      <c r="B27" s="4" t="s">
        <v>51</v>
      </c>
      <c r="C27" s="5" t="s">
        <v>52</v>
      </c>
      <c r="D27" s="63">
        <v>1.6007E-2</v>
      </c>
      <c r="E27" s="63">
        <f>Tabelle2[[#This Row],[BIP (mrd.)]]*1000000000/Tabelle2[[#This Row],[Bevölkerung]]</f>
        <v>34.593274550484097</v>
      </c>
      <c r="F27" s="63">
        <v>0.77600000000000002</v>
      </c>
      <c r="G27" s="53">
        <v>5770</v>
      </c>
      <c r="H27" s="63">
        <v>462720</v>
      </c>
      <c r="I27" s="88"/>
      <c r="J27" s="88">
        <f>Tabelle2[[#This Row],[Strom (mrd.)]]*1000000000/Tabelle2[[#This Row],[Bevölkerung]]</f>
        <v>0</v>
      </c>
      <c r="K27" s="67"/>
      <c r="L27" s="53"/>
      <c r="M27" s="53">
        <f>Tabelle2[[#This Row],[Wohnimmobilien Anzahl]]/Tabelle2[[#This Row],[Bevölkerung]]</f>
        <v>0</v>
      </c>
      <c r="N27" s="53">
        <f t="shared" si="0"/>
        <v>0</v>
      </c>
      <c r="O27" s="53"/>
      <c r="P27" s="53">
        <v>83810</v>
      </c>
      <c r="Q27" s="54"/>
      <c r="R27" s="54"/>
      <c r="S27" s="54"/>
      <c r="T27" s="54"/>
      <c r="U27" s="54"/>
      <c r="V27" s="54"/>
      <c r="W27" s="54"/>
      <c r="X27" s="54"/>
      <c r="Y27" s="54"/>
      <c r="Z27" s="54">
        <v>0</v>
      </c>
      <c r="AA27" s="54"/>
      <c r="AB27" s="54"/>
      <c r="AC27" s="53"/>
      <c r="AD27" s="53"/>
      <c r="AE27" s="53"/>
      <c r="AF27" s="53"/>
      <c r="AG27" s="54"/>
      <c r="AH27" s="54"/>
      <c r="AI27" s="54"/>
      <c r="AJ27" s="54"/>
      <c r="AK27" s="54"/>
      <c r="AL27" s="54"/>
      <c r="AM27" s="53"/>
      <c r="AN27" s="53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3"/>
      <c r="BE27" s="53"/>
      <c r="BF27" s="54"/>
      <c r="BG27" s="54"/>
      <c r="BH27" s="68"/>
    </row>
    <row r="28" spans="1:60" x14ac:dyDescent="0.3">
      <c r="A28" t="s">
        <v>588</v>
      </c>
      <c r="B28" s="19" t="s">
        <v>53</v>
      </c>
      <c r="C28" s="20" t="s">
        <v>54</v>
      </c>
      <c r="D28" s="63">
        <v>117.00700000000001</v>
      </c>
      <c r="E28" s="63">
        <f>Tabelle2[[#This Row],[BIP (mrd.)]]*1000000000/Tabelle2[[#This Row],[Bevölkerung]]</f>
        <v>18156.46835920346</v>
      </c>
      <c r="F28" s="63">
        <v>0.75</v>
      </c>
      <c r="G28" s="53">
        <v>110997</v>
      </c>
      <c r="H28" s="63">
        <v>6444370</v>
      </c>
      <c r="I28" s="88">
        <v>34.220999999999997</v>
      </c>
      <c r="J28" s="88">
        <f>Tabelle2[[#This Row],[Strom (mrd.)]]*1000000000/Tabelle2[[#This Row],[Bevölkerung]]</f>
        <v>5310.2165145700819</v>
      </c>
      <c r="K28" s="67">
        <v>2.2000000000000002</v>
      </c>
      <c r="L28" s="53">
        <v>3860000</v>
      </c>
      <c r="M28" s="63">
        <f>Tabelle2[[#This Row],[Wohnimmobilien Anzahl]]/Tabelle2[[#This Row],[Bevölkerung]]</f>
        <v>0.59897243640573095</v>
      </c>
      <c r="N28" s="53">
        <f t="shared" si="0"/>
        <v>-3859999.4010275635</v>
      </c>
      <c r="O28" s="53"/>
      <c r="P28" s="53"/>
      <c r="Q28" s="54"/>
      <c r="R28" s="54"/>
      <c r="S28" s="54"/>
      <c r="T28" s="54"/>
      <c r="U28" s="54"/>
      <c r="V28" s="54"/>
      <c r="W28" s="54"/>
      <c r="X28" s="54"/>
      <c r="Y28" s="54">
        <v>0</v>
      </c>
      <c r="Z28" s="54" t="s">
        <v>989</v>
      </c>
      <c r="AA28" s="54">
        <v>4324193</v>
      </c>
      <c r="AB28" s="54">
        <v>239441812</v>
      </c>
      <c r="AC28" s="53"/>
      <c r="AD28" s="53"/>
      <c r="AE28" s="53"/>
      <c r="AF28" s="53"/>
      <c r="AG28" s="54"/>
      <c r="AH28" s="54"/>
      <c r="AI28" s="54"/>
      <c r="AJ28" s="54"/>
      <c r="AK28" s="54"/>
      <c r="AL28" s="54"/>
      <c r="AM28" s="53"/>
      <c r="AN28" s="53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3"/>
      <c r="BE28" s="53"/>
      <c r="BF28" s="54"/>
      <c r="BG28" s="54"/>
      <c r="BH28" s="68"/>
    </row>
    <row r="29" spans="1:60" hidden="1" x14ac:dyDescent="0.3">
      <c r="B29" s="4" t="s">
        <v>55</v>
      </c>
      <c r="C29" s="5" t="s">
        <v>56</v>
      </c>
      <c r="D29" s="63">
        <v>27.056000000000001</v>
      </c>
      <c r="E29" s="63">
        <f>Tabelle2[[#This Row],[BIP (mrd.)]]*1000000000/Tabelle2[[#This Row],[Bevölkerung]]</f>
        <v>1148.9342547681877</v>
      </c>
      <c r="F29" s="63">
        <v>0.29399999999999998</v>
      </c>
      <c r="G29" s="53">
        <v>274200</v>
      </c>
      <c r="H29" s="63">
        <v>23548780</v>
      </c>
      <c r="I29" s="88">
        <v>3.0960000000000001</v>
      </c>
      <c r="J29" s="88">
        <f>Tabelle2[[#This Row],[Strom (mrd.)]]*1000000000/Tabelle2[[#This Row],[Bevölkerung]]</f>
        <v>131.47177900511196</v>
      </c>
      <c r="K29" s="67">
        <v>6.27</v>
      </c>
      <c r="L29" s="53"/>
      <c r="M29" s="53">
        <f>Tabelle2[[#This Row],[Wohnimmobilien Anzahl]]/Tabelle2[[#This Row],[Bevölkerung]]</f>
        <v>0</v>
      </c>
      <c r="N29" s="53">
        <f t="shared" si="0"/>
        <v>0</v>
      </c>
      <c r="O29" s="53"/>
      <c r="P29" s="53"/>
      <c r="Q29" s="54"/>
      <c r="R29" s="54"/>
      <c r="S29" s="54"/>
      <c r="T29" s="54"/>
      <c r="U29" s="54"/>
      <c r="V29" s="54"/>
      <c r="W29" s="54"/>
      <c r="X29" s="54"/>
      <c r="Y29" s="54">
        <v>0</v>
      </c>
      <c r="Z29" s="54" t="s">
        <v>987</v>
      </c>
      <c r="AA29" s="54">
        <v>3488258</v>
      </c>
      <c r="AB29" s="54"/>
      <c r="AC29" s="53"/>
      <c r="AD29" s="53"/>
      <c r="AE29" s="53"/>
      <c r="AF29" s="53"/>
      <c r="AG29" s="54"/>
      <c r="AH29" s="54"/>
      <c r="AI29" s="54"/>
      <c r="AJ29" s="54"/>
      <c r="AK29" s="54"/>
      <c r="AL29" s="54"/>
      <c r="AM29" s="53"/>
      <c r="AN29" s="53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3"/>
      <c r="BE29" s="53"/>
      <c r="BF29" s="54"/>
      <c r="BG29" s="54"/>
      <c r="BH29" s="68"/>
    </row>
    <row r="30" spans="1:60" hidden="1" x14ac:dyDescent="0.3">
      <c r="B30" s="4" t="s">
        <v>57</v>
      </c>
      <c r="C30" s="5" t="s">
        <v>58</v>
      </c>
      <c r="D30" s="63">
        <v>6.7449999999999993E-3</v>
      </c>
      <c r="E30" s="63">
        <f>Tabelle2[[#This Row],[BIP (mrd.)]]*1000000000/Tabelle2[[#This Row],[Bevölkerung]]</f>
        <v>0.48014669923169401</v>
      </c>
      <c r="F30" s="63">
        <v>0.13</v>
      </c>
      <c r="G30" s="53">
        <v>27830</v>
      </c>
      <c r="H30" s="63">
        <v>14047790</v>
      </c>
      <c r="I30" s="88"/>
      <c r="J30" s="88">
        <f>Tabelle2[[#This Row],[Strom (mrd.)]]*1000000000/Tabelle2[[#This Row],[Bevölkerung]]</f>
        <v>0</v>
      </c>
      <c r="K30" s="67"/>
      <c r="L30" s="53"/>
      <c r="M30" s="53">
        <f>Tabelle2[[#This Row],[Wohnimmobilien Anzahl]]/Tabelle2[[#This Row],[Bevölkerung]]</f>
        <v>0</v>
      </c>
      <c r="N30" s="53">
        <f t="shared" si="0"/>
        <v>0</v>
      </c>
      <c r="O30" s="53"/>
      <c r="P30" s="53"/>
      <c r="Q30" s="54"/>
      <c r="R30" s="54"/>
      <c r="S30" s="54"/>
      <c r="T30" s="54"/>
      <c r="U30" s="54"/>
      <c r="V30" s="54"/>
      <c r="W30" s="54"/>
      <c r="X30" s="54"/>
      <c r="Y30" s="54"/>
      <c r="Z30" s="54">
        <v>0</v>
      </c>
      <c r="AA30" s="54"/>
      <c r="AB30" s="54"/>
      <c r="AC30" s="53"/>
      <c r="AD30" s="53"/>
      <c r="AE30" s="53"/>
      <c r="AF30" s="53"/>
      <c r="AG30" s="54"/>
      <c r="AH30" s="54"/>
      <c r="AI30" s="54"/>
      <c r="AJ30" s="54"/>
      <c r="AK30" s="54"/>
      <c r="AL30" s="54"/>
      <c r="AM30" s="53"/>
      <c r="AN30" s="53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3"/>
      <c r="BE30" s="53"/>
      <c r="BF30" s="54"/>
      <c r="BG30" s="54"/>
      <c r="BH30" s="68"/>
    </row>
    <row r="31" spans="1:60" hidden="1" x14ac:dyDescent="0.3">
      <c r="B31" s="19" t="s">
        <v>59</v>
      </c>
      <c r="C31" s="20" t="s">
        <v>60</v>
      </c>
      <c r="D31" s="63">
        <v>343.82299999999998</v>
      </c>
      <c r="E31" s="63">
        <f>Tabelle2[[#This Row],[BIP (mrd.)]]*1000000000/Tabelle2[[#This Row],[Bevölkerung]]</f>
        <v>17395.750114977305</v>
      </c>
      <c r="F31" s="63">
        <v>0.876</v>
      </c>
      <c r="G31" s="53">
        <v>757245</v>
      </c>
      <c r="H31" s="63">
        <v>19764770</v>
      </c>
      <c r="I31" s="88">
        <v>83.295000000000002</v>
      </c>
      <c r="J31" s="88">
        <f>Tabelle2[[#This Row],[Strom (mrd.)]]*1000000000/Tabelle2[[#This Row],[Bevölkerung]]</f>
        <v>4214.3166856988473</v>
      </c>
      <c r="K31" s="67">
        <v>3.1</v>
      </c>
      <c r="L31" s="53"/>
      <c r="M31" s="53">
        <f>Tabelle2[[#This Row],[Wohnimmobilien Anzahl]]/Tabelle2[[#This Row],[Bevölkerung]]</f>
        <v>0</v>
      </c>
      <c r="N31" s="53">
        <f t="shared" si="0"/>
        <v>0</v>
      </c>
      <c r="O31" s="53"/>
      <c r="P31" s="53">
        <v>6408172</v>
      </c>
      <c r="Q31" s="54"/>
      <c r="R31" s="54"/>
      <c r="S31" s="54"/>
      <c r="T31" s="54"/>
      <c r="U31" s="54"/>
      <c r="V31" s="54"/>
      <c r="W31" s="54"/>
      <c r="X31" s="54"/>
      <c r="Y31" s="54">
        <v>1</v>
      </c>
      <c r="Z31" s="54" t="s">
        <v>989</v>
      </c>
      <c r="AA31" s="54">
        <v>7642716</v>
      </c>
      <c r="AB31" s="54"/>
      <c r="AC31" s="53"/>
      <c r="AD31" s="53"/>
      <c r="AE31" s="53"/>
      <c r="AF31" s="53"/>
      <c r="AG31" s="54"/>
      <c r="AH31" s="54"/>
      <c r="AI31" s="54"/>
      <c r="AJ31" s="54"/>
      <c r="AK31" s="54"/>
      <c r="AL31" s="54"/>
      <c r="AM31" s="53"/>
      <c r="AN31" s="53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3"/>
      <c r="BE31" s="53"/>
      <c r="BF31" s="54"/>
      <c r="BG31" s="54"/>
      <c r="BH31" s="68"/>
    </row>
    <row r="32" spans="1:60" hidden="1" x14ac:dyDescent="0.3">
      <c r="B32" s="13" t="s">
        <v>61</v>
      </c>
      <c r="C32" s="14" t="s">
        <v>62</v>
      </c>
      <c r="D32" s="63">
        <v>19.231705000000002</v>
      </c>
      <c r="E32" s="63">
        <f>Tabelle2[[#This Row],[BIP (mrd.)]]*1000000000/Tabelle2[[#This Row],[Bevölkerung]]</f>
        <v>13.649429549850069</v>
      </c>
      <c r="F32" s="63">
        <v>0.59199999999999997</v>
      </c>
      <c r="G32" s="53">
        <v>9562910</v>
      </c>
      <c r="H32" s="63">
        <v>1408975000</v>
      </c>
      <c r="I32" s="88"/>
      <c r="J32" s="88">
        <f>Tabelle2[[#This Row],[Strom (mrd.)]]*1000000000/Tabelle2[[#This Row],[Bevölkerung]]</f>
        <v>0</v>
      </c>
      <c r="K32" s="67"/>
      <c r="L32" s="53"/>
      <c r="M32" s="53">
        <f>Tabelle2[[#This Row],[Wohnimmobilien Anzahl]]/Tabelle2[[#This Row],[Bevölkerung]]</f>
        <v>0</v>
      </c>
      <c r="N32" s="53">
        <f t="shared" si="0"/>
        <v>0</v>
      </c>
      <c r="O32" s="53"/>
      <c r="P32" s="53"/>
      <c r="Q32" s="54"/>
      <c r="R32" s="54"/>
      <c r="S32" s="54"/>
      <c r="T32" s="54"/>
      <c r="U32" s="54"/>
      <c r="V32" s="54"/>
      <c r="W32" s="54"/>
      <c r="X32" s="54"/>
      <c r="Y32" s="54"/>
      <c r="Z32" s="54">
        <v>0</v>
      </c>
      <c r="AA32" s="54"/>
      <c r="AB32" s="54"/>
      <c r="AC32" s="53"/>
      <c r="AD32" s="53"/>
      <c r="AE32" s="53"/>
      <c r="AF32" s="53"/>
      <c r="AG32" s="54"/>
      <c r="AH32" s="54"/>
      <c r="AI32" s="54"/>
      <c r="AJ32" s="54"/>
      <c r="AK32" s="54"/>
      <c r="AL32" s="54"/>
      <c r="AM32" s="53"/>
      <c r="AN32" s="53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3"/>
      <c r="BE32" s="53"/>
      <c r="BF32" s="54"/>
      <c r="BG32" s="54"/>
      <c r="BH32" s="68"/>
    </row>
    <row r="33" spans="1:60" hidden="1" x14ac:dyDescent="0.3">
      <c r="B33" s="2" t="s">
        <v>63</v>
      </c>
      <c r="C33" s="3" t="s">
        <v>64</v>
      </c>
      <c r="D33" s="63">
        <v>0</v>
      </c>
      <c r="E33" s="63">
        <f>Tabelle2[[#This Row],[BIP (mrd.)]]*1000000000/Tabelle2[[#This Row],[Bevölkerung]]</f>
        <v>0</v>
      </c>
      <c r="F33" s="63">
        <v>0.751</v>
      </c>
      <c r="G33" s="53">
        <v>236</v>
      </c>
      <c r="H33" s="63">
        <v>14989</v>
      </c>
      <c r="I33" s="88"/>
      <c r="J33" s="88">
        <f>Tabelle2[[#This Row],[Strom (mrd.)]]*1000000000/Tabelle2[[#This Row],[Bevölkerung]]</f>
        <v>0</v>
      </c>
      <c r="K33" s="67"/>
      <c r="L33" s="53"/>
      <c r="M33" s="53">
        <f>Tabelle2[[#This Row],[Wohnimmobilien Anzahl]]/Tabelle2[[#This Row],[Bevölkerung]]</f>
        <v>0</v>
      </c>
      <c r="N33" s="53">
        <f t="shared" si="0"/>
        <v>0</v>
      </c>
      <c r="O33" s="53"/>
      <c r="P33" s="53">
        <v>4681</v>
      </c>
      <c r="Q33" s="54"/>
      <c r="R33" s="54"/>
      <c r="S33" s="54"/>
      <c r="T33" s="54"/>
      <c r="U33" s="54"/>
      <c r="V33" s="54"/>
      <c r="W33" s="54"/>
      <c r="X33" s="54"/>
      <c r="Y33" s="54"/>
      <c r="Z33" s="54">
        <v>0</v>
      </c>
      <c r="AA33" s="54"/>
      <c r="AB33" s="54"/>
      <c r="AC33" s="53"/>
      <c r="AD33" s="53"/>
      <c r="AE33" s="53"/>
      <c r="AF33" s="53"/>
      <c r="AG33" s="54"/>
      <c r="AH33" s="54"/>
      <c r="AI33" s="54"/>
      <c r="AJ33" s="54"/>
      <c r="AK33" s="54"/>
      <c r="AL33" s="54"/>
      <c r="AM33" s="53"/>
      <c r="AN33" s="53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3"/>
      <c r="BE33" s="53"/>
      <c r="BF33" s="54"/>
      <c r="BG33" s="54"/>
      <c r="BH33" s="68"/>
    </row>
    <row r="34" spans="1:60" hidden="1" x14ac:dyDescent="0.3">
      <c r="B34" s="22" t="s">
        <v>65</v>
      </c>
      <c r="C34" s="23" t="s">
        <v>66</v>
      </c>
      <c r="D34" s="63">
        <v>102.59099999999999</v>
      </c>
      <c r="E34" s="63">
        <f>Tabelle2[[#This Row],[BIP (mrd.)]]*1000000000/Tabelle2[[#This Row],[Bevölkerung]]</f>
        <v>19998.596466604678</v>
      </c>
      <c r="F34" s="63">
        <v>0.79300000000000004</v>
      </c>
      <c r="G34" s="53">
        <v>51100</v>
      </c>
      <c r="H34" s="63">
        <v>5129910</v>
      </c>
      <c r="I34" s="88">
        <v>9.9570000000000007</v>
      </c>
      <c r="J34" s="88">
        <f>Tabelle2[[#This Row],[Strom (mrd.)]]*1000000000/Tabelle2[[#This Row],[Bevölkerung]]</f>
        <v>1940.9697246150517</v>
      </c>
      <c r="K34" s="67">
        <v>3.21</v>
      </c>
      <c r="L34" s="53"/>
      <c r="M34" s="53">
        <f>Tabelle2[[#This Row],[Wohnimmobilien Anzahl]]/Tabelle2[[#This Row],[Bevölkerung]]</f>
        <v>0</v>
      </c>
      <c r="N34" s="53">
        <f t="shared" ref="N34:N65" si="1">M34-L34</f>
        <v>0</v>
      </c>
      <c r="O34" s="53"/>
      <c r="P34" s="53">
        <v>1621381</v>
      </c>
      <c r="Q34" s="54"/>
      <c r="R34" s="54"/>
      <c r="S34" s="54"/>
      <c r="T34" s="54"/>
      <c r="U34" s="54"/>
      <c r="V34" s="54"/>
      <c r="W34" s="54"/>
      <c r="X34" s="54"/>
      <c r="Y34" s="54">
        <v>1</v>
      </c>
      <c r="Z34" s="54" t="s">
        <v>989</v>
      </c>
      <c r="AA34" s="54">
        <v>1836291</v>
      </c>
      <c r="AB34" s="54"/>
      <c r="AC34" s="53"/>
      <c r="AD34" s="53"/>
      <c r="AE34" s="53"/>
      <c r="AF34" s="53"/>
      <c r="AG34" s="54"/>
      <c r="AH34" s="54"/>
      <c r="AI34" s="54"/>
      <c r="AJ34" s="54"/>
      <c r="AK34" s="54"/>
      <c r="AL34" s="54"/>
      <c r="AM34" s="53"/>
      <c r="AN34" s="53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3"/>
      <c r="BE34" s="53"/>
      <c r="BF34" s="54"/>
      <c r="BG34" s="54"/>
      <c r="BH34" s="68"/>
    </row>
    <row r="35" spans="1:60" hidden="1" x14ac:dyDescent="0.3">
      <c r="B35" s="22" t="s">
        <v>67</v>
      </c>
      <c r="C35" s="23" t="s">
        <v>68</v>
      </c>
      <c r="D35" s="63">
        <v>9.4482999999999998E-2</v>
      </c>
      <c r="E35" s="63">
        <f>Tabelle2[[#This Row],[BIP (mrd.)]]*1000000000/Tabelle2[[#This Row],[Bevölkerung]]</f>
        <v>2.9586747511995748</v>
      </c>
      <c r="F35" s="63">
        <v>0.50800000000000001</v>
      </c>
      <c r="G35" s="53">
        <v>322460</v>
      </c>
      <c r="H35" s="63">
        <v>31934230</v>
      </c>
      <c r="I35" s="88"/>
      <c r="J35" s="88">
        <f>Tabelle2[[#This Row],[Strom (mrd.)]]*1000000000/Tabelle2[[#This Row],[Bevölkerung]]</f>
        <v>0</v>
      </c>
      <c r="K35" s="67"/>
      <c r="L35" s="53"/>
      <c r="M35" s="53">
        <f>Tabelle2[[#This Row],[Wohnimmobilien Anzahl]]/Tabelle2[[#This Row],[Bevölkerung]]</f>
        <v>0</v>
      </c>
      <c r="N35" s="53">
        <f t="shared" si="1"/>
        <v>0</v>
      </c>
      <c r="O35" s="53"/>
      <c r="P35" s="53"/>
      <c r="Q35" s="54"/>
      <c r="R35" s="54"/>
      <c r="S35" s="54"/>
      <c r="T35" s="54"/>
      <c r="U35" s="54"/>
      <c r="V35" s="54"/>
      <c r="W35" s="54"/>
      <c r="X35" s="54"/>
      <c r="Y35" s="54"/>
      <c r="Z35" s="54">
        <v>0</v>
      </c>
      <c r="AA35" s="54"/>
      <c r="AB35" s="54"/>
      <c r="AC35" s="53"/>
      <c r="AD35" s="53"/>
      <c r="AE35" s="53"/>
      <c r="AF35" s="53"/>
      <c r="AG35" s="54"/>
      <c r="AH35" s="54"/>
      <c r="AI35" s="54"/>
      <c r="AJ35" s="54"/>
      <c r="AK35" s="54"/>
      <c r="AL35" s="54"/>
      <c r="AM35" s="53"/>
      <c r="AN35" s="53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3"/>
      <c r="BE35" s="53"/>
      <c r="BF35" s="54"/>
      <c r="BG35" s="54"/>
      <c r="BH35" s="68"/>
    </row>
    <row r="36" spans="1:60" x14ac:dyDescent="0.3">
      <c r="A36" t="s">
        <v>588</v>
      </c>
      <c r="B36" s="13" t="s">
        <v>69</v>
      </c>
      <c r="C36" s="14" t="s">
        <v>70</v>
      </c>
      <c r="D36" s="63">
        <v>449.94</v>
      </c>
      <c r="E36" s="63">
        <f>Tabelle2[[#This Row],[BIP (mrd.)]]*1000000000/Tabelle2[[#This Row],[Bevölkerung]]</f>
        <v>75278.693790687292</v>
      </c>
      <c r="F36" s="63">
        <v>0.879</v>
      </c>
      <c r="G36" s="53">
        <v>42920</v>
      </c>
      <c r="H36" s="63">
        <v>5976990</v>
      </c>
      <c r="I36" s="88">
        <v>35.253</v>
      </c>
      <c r="J36" s="88">
        <f>Tabelle2[[#This Row],[Strom (mrd.)]]*1000000000/Tabelle2[[#This Row],[Bevölkerung]]</f>
        <v>5898.119287467438</v>
      </c>
      <c r="K36" s="67">
        <v>2.2000000000000002</v>
      </c>
      <c r="L36" s="53">
        <v>2060000</v>
      </c>
      <c r="M36" s="63">
        <f>Tabelle2[[#This Row],[Wohnimmobilien Anzahl]]/Tabelle2[[#This Row],[Bevölkerung]]</f>
        <v>0.34465508558655777</v>
      </c>
      <c r="N36" s="53">
        <f t="shared" si="1"/>
        <v>-2059999.6553449144</v>
      </c>
      <c r="O36" s="53"/>
      <c r="P36" s="53">
        <v>2852000</v>
      </c>
      <c r="Q36" s="54"/>
      <c r="R36" s="54"/>
      <c r="S36" s="54"/>
      <c r="T36" s="54"/>
      <c r="U36" s="54"/>
      <c r="V36" s="54"/>
      <c r="W36" s="54"/>
      <c r="X36" s="54"/>
      <c r="Y36" s="54">
        <v>1</v>
      </c>
      <c r="Z36" s="54" t="s">
        <v>989</v>
      </c>
      <c r="AA36" s="54">
        <v>3278108</v>
      </c>
      <c r="AB36" s="54"/>
      <c r="AC36" s="53"/>
      <c r="AD36" s="53"/>
      <c r="AE36" s="53"/>
      <c r="AF36" s="53"/>
      <c r="AG36" s="54"/>
      <c r="AH36" s="54"/>
      <c r="AI36" s="54"/>
      <c r="AJ36" s="54"/>
      <c r="AK36" s="54"/>
      <c r="AL36" s="54"/>
      <c r="AM36" s="53"/>
      <c r="AN36" s="53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3"/>
      <c r="BE36" s="53"/>
      <c r="BF36" s="54"/>
      <c r="BG36" s="54"/>
      <c r="BH36" s="68"/>
    </row>
    <row r="37" spans="1:60" x14ac:dyDescent="0.3">
      <c r="A37" t="s">
        <v>588</v>
      </c>
      <c r="B37" s="9" t="s">
        <v>71</v>
      </c>
      <c r="C37" s="10" t="s">
        <v>72</v>
      </c>
      <c r="D37" s="63">
        <v>4744.8040000000001</v>
      </c>
      <c r="E37" s="63">
        <f>Tabelle2[[#This Row],[BIP (mrd.)]]*1000000000/Tabelle2[[#This Row],[Bevölkerung]]</f>
        <v>56816.549207020158</v>
      </c>
      <c r="F37" s="63">
        <v>0.77400000000000002</v>
      </c>
      <c r="G37" s="53">
        <v>357680</v>
      </c>
      <c r="H37" s="63">
        <v>83510950</v>
      </c>
      <c r="I37" s="88">
        <v>519.69100000000003</v>
      </c>
      <c r="J37" s="88">
        <f>Tabelle2[[#This Row],[Strom (mrd.)]]*1000000000/Tabelle2[[#This Row],[Bevölkerung]]</f>
        <v>6223.0282376143496</v>
      </c>
      <c r="K37" s="67">
        <v>2</v>
      </c>
      <c r="L37" s="53">
        <v>19488974</v>
      </c>
      <c r="M37" s="63">
        <f>Tabelle2[[#This Row],[Wohnimmobilien Anzahl]]/Tabelle2[[#This Row],[Bevölkerung]]</f>
        <v>0.2333702825797096</v>
      </c>
      <c r="N37" s="53">
        <f t="shared" si="1"/>
        <v>-19488973.766629718</v>
      </c>
      <c r="O37" s="53">
        <v>3841438000</v>
      </c>
      <c r="P37" s="53"/>
      <c r="Q37" s="54">
        <v>12939452</v>
      </c>
      <c r="R37" s="54">
        <v>1676403000</v>
      </c>
      <c r="S37" s="54">
        <v>2778512</v>
      </c>
      <c r="T37" s="54">
        <v>612785000</v>
      </c>
      <c r="U37" s="54">
        <v>3737451</v>
      </c>
      <c r="V37" s="54"/>
      <c r="W37" s="54">
        <v>3247507</v>
      </c>
      <c r="X37" s="54">
        <v>1529925000</v>
      </c>
      <c r="Y37" s="54">
        <v>1</v>
      </c>
      <c r="Z37" s="54" t="s">
        <v>989</v>
      </c>
      <c r="AA37" s="54">
        <v>43084122</v>
      </c>
      <c r="AB37" s="54">
        <v>3967765000</v>
      </c>
      <c r="AC37" s="53">
        <v>21124000</v>
      </c>
      <c r="AD37" s="53"/>
      <c r="AE37" s="53"/>
      <c r="AF37" s="53"/>
      <c r="AG37" s="54"/>
      <c r="AH37" s="54"/>
      <c r="AI37" s="54">
        <v>187000</v>
      </c>
      <c r="AJ37" s="54"/>
      <c r="AK37" s="54">
        <v>758000</v>
      </c>
      <c r="AL37" s="54"/>
      <c r="AM37" s="53">
        <f>L37+AC37</f>
        <v>40612974</v>
      </c>
      <c r="AN37" s="53"/>
      <c r="AO37" s="54"/>
      <c r="AP37" s="54"/>
      <c r="AQ37" s="54">
        <v>307000</v>
      </c>
      <c r="AR37" s="54"/>
      <c r="AS37" s="54"/>
      <c r="AT37" s="54">
        <v>63000</v>
      </c>
      <c r="AU37" s="54"/>
      <c r="AV37" s="54">
        <f>141000+78000</f>
        <v>219000</v>
      </c>
      <c r="AW37" s="54"/>
      <c r="AX37" s="54">
        <v>270000</v>
      </c>
      <c r="AY37" s="54"/>
      <c r="AZ37" s="54"/>
      <c r="BA37" s="54"/>
      <c r="BB37" s="54"/>
      <c r="BC37" s="54"/>
      <c r="BD37" s="53"/>
      <c r="BE37" s="53"/>
      <c r="BF37" s="54"/>
      <c r="BG37" s="54"/>
      <c r="BH37" s="68"/>
    </row>
    <row r="38" spans="1:60" hidden="1" x14ac:dyDescent="0.3">
      <c r="B38" s="2" t="s">
        <v>73</v>
      </c>
      <c r="C38" s="3" t="s">
        <v>74</v>
      </c>
      <c r="D38" s="63">
        <v>7.4200000000000005E-7</v>
      </c>
      <c r="E38" s="63">
        <f>Tabelle2[[#This Row],[BIP (mrd.)]]*1000000000/Tabelle2[[#This Row],[Bevölkerung]]</f>
        <v>1.1208459214501511E-2</v>
      </c>
      <c r="F38" s="63">
        <v>0.70499999999999996</v>
      </c>
      <c r="G38" s="53">
        <v>750</v>
      </c>
      <c r="H38" s="63">
        <v>66200</v>
      </c>
      <c r="I38" s="88"/>
      <c r="J38" s="88">
        <f>Tabelle2[[#This Row],[Strom (mrd.)]]*1000000000/Tabelle2[[#This Row],[Bevölkerung]]</f>
        <v>0</v>
      </c>
      <c r="K38" s="67"/>
      <c r="L38" s="53"/>
      <c r="M38" s="53">
        <f>Tabelle2[[#This Row],[Wohnimmobilien Anzahl]]/Tabelle2[[#This Row],[Bevölkerung]]</f>
        <v>0</v>
      </c>
      <c r="N38" s="53">
        <f t="shared" si="1"/>
        <v>0</v>
      </c>
      <c r="O38" s="53"/>
      <c r="P38" s="53"/>
      <c r="Q38" s="54"/>
      <c r="R38" s="54"/>
      <c r="S38" s="54"/>
      <c r="T38" s="54"/>
      <c r="U38" s="54"/>
      <c r="V38" s="54"/>
      <c r="W38" s="54"/>
      <c r="X38" s="54"/>
      <c r="Y38" s="54"/>
      <c r="Z38" s="54">
        <v>0</v>
      </c>
      <c r="AA38" s="54"/>
      <c r="AB38" s="54"/>
      <c r="AC38" s="53"/>
      <c r="AD38" s="53"/>
      <c r="AE38" s="53"/>
      <c r="AF38" s="53"/>
      <c r="AG38" s="54"/>
      <c r="AH38" s="54"/>
      <c r="AI38" s="54"/>
      <c r="AJ38" s="54"/>
      <c r="AK38" s="54"/>
      <c r="AL38" s="54"/>
      <c r="AM38" s="53"/>
      <c r="AN38" s="53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3"/>
      <c r="BE38" s="53"/>
      <c r="BF38" s="54"/>
      <c r="BG38" s="54"/>
      <c r="BH38" s="68"/>
    </row>
    <row r="39" spans="1:60" hidden="1" x14ac:dyDescent="0.3">
      <c r="B39" s="22" t="s">
        <v>75</v>
      </c>
      <c r="C39" s="23" t="s">
        <v>76</v>
      </c>
      <c r="D39" s="63">
        <v>127.828</v>
      </c>
      <c r="E39" s="63">
        <f>Tabelle2[[#This Row],[BIP (mrd.)]]*1000000000/Tabelle2[[#This Row],[Bevölkerung]]</f>
        <v>11185.939955686079</v>
      </c>
      <c r="F39" s="63">
        <v>0.81100000000000005</v>
      </c>
      <c r="G39" s="53">
        <v>146839</v>
      </c>
      <c r="H39" s="63">
        <v>11427560</v>
      </c>
      <c r="I39" s="88">
        <v>22.193000000000001</v>
      </c>
      <c r="J39" s="88">
        <f>Tabelle2[[#This Row],[Strom (mrd.)]]*1000000000/Tabelle2[[#This Row],[Bevölkerung]]</f>
        <v>1942.0593722544445</v>
      </c>
      <c r="K39" s="67">
        <v>3.09</v>
      </c>
      <c r="L39" s="53"/>
      <c r="M39" s="53">
        <f>Tabelle2[[#This Row],[Wohnimmobilien Anzahl]]/Tabelle2[[#This Row],[Bevölkerung]]</f>
        <v>0</v>
      </c>
      <c r="N39" s="53">
        <f t="shared" si="1"/>
        <v>0</v>
      </c>
      <c r="O39" s="53"/>
      <c r="P39" s="53"/>
      <c r="Q39" s="54">
        <v>2442901</v>
      </c>
      <c r="R39" s="54"/>
      <c r="S39" s="54">
        <v>256875</v>
      </c>
      <c r="T39" s="54"/>
      <c r="U39" s="54">
        <v>99203</v>
      </c>
      <c r="V39" s="54"/>
      <c r="W39" s="54"/>
      <c r="X39" s="54"/>
      <c r="Y39" s="54">
        <v>0</v>
      </c>
      <c r="Z39" s="54" t="s">
        <v>988</v>
      </c>
      <c r="AA39" s="54">
        <v>3694060</v>
      </c>
      <c r="AB39" s="54"/>
      <c r="AC39" s="53"/>
      <c r="AD39" s="53"/>
      <c r="AE39" s="53"/>
      <c r="AF39" s="53"/>
      <c r="AG39" s="54"/>
      <c r="AH39" s="54"/>
      <c r="AI39" s="54"/>
      <c r="AJ39" s="54"/>
      <c r="AK39" s="54"/>
      <c r="AL39" s="54"/>
      <c r="AM39" s="53"/>
      <c r="AN39" s="53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3"/>
      <c r="BE39" s="53"/>
      <c r="BF39" s="54"/>
      <c r="BG39" s="54"/>
      <c r="BH39" s="68"/>
    </row>
    <row r="40" spans="1:60" hidden="1" x14ac:dyDescent="0.3">
      <c r="B40" s="4" t="s">
        <v>77</v>
      </c>
      <c r="C40" s="5" t="s">
        <v>78</v>
      </c>
      <c r="D40" s="63">
        <v>4.5869999999999991E-3</v>
      </c>
      <c r="E40" s="63">
        <f>Tabelle2[[#This Row],[BIP (mrd.)]]*1000000000/Tabelle2[[#This Row],[Bevölkerung]]</f>
        <v>3.9248066260524328</v>
      </c>
      <c r="F40" s="63">
        <v>0.77800000000000002</v>
      </c>
      <c r="G40" s="53">
        <v>23200</v>
      </c>
      <c r="H40" s="63">
        <v>1168720</v>
      </c>
      <c r="I40" s="88"/>
      <c r="J40" s="88">
        <f>Tabelle2[[#This Row],[Strom (mrd.)]]*1000000000/Tabelle2[[#This Row],[Bevölkerung]]</f>
        <v>0</v>
      </c>
      <c r="K40" s="67"/>
      <c r="L40" s="84"/>
      <c r="M40" s="84">
        <f>Tabelle2[[#This Row],[Wohnimmobilien Anzahl]]/Tabelle2[[#This Row],[Bevölkerung]]</f>
        <v>0</v>
      </c>
      <c r="N40" s="84">
        <f t="shared" si="1"/>
        <v>0</v>
      </c>
      <c r="O40" s="84"/>
      <c r="P40" s="84"/>
      <c r="Q40" s="54"/>
      <c r="R40" s="54"/>
      <c r="S40" s="54"/>
      <c r="T40" s="54"/>
      <c r="U40" s="54"/>
      <c r="V40" s="54"/>
      <c r="W40" s="54"/>
      <c r="X40" s="54"/>
      <c r="Y40" s="54"/>
      <c r="Z40" s="54">
        <v>0</v>
      </c>
      <c r="AA40" s="54"/>
      <c r="AB40" s="54"/>
      <c r="AC40" s="53"/>
      <c r="AD40" s="53"/>
      <c r="AE40" s="53"/>
      <c r="AF40" s="53"/>
      <c r="AG40" s="54"/>
      <c r="AH40" s="54"/>
      <c r="AI40" s="54"/>
      <c r="AJ40" s="54"/>
      <c r="AK40" s="54"/>
      <c r="AL40" s="54"/>
      <c r="AM40" s="53"/>
      <c r="AN40" s="53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3"/>
      <c r="BE40" s="53"/>
      <c r="BF40" s="54"/>
      <c r="BG40" s="54"/>
      <c r="BH40" s="68"/>
    </row>
    <row r="41" spans="1:60" hidden="1" x14ac:dyDescent="0.3">
      <c r="B41" s="22" t="s">
        <v>79</v>
      </c>
      <c r="C41" s="23" t="s">
        <v>80</v>
      </c>
      <c r="D41" s="63">
        <v>125.67700000000001</v>
      </c>
      <c r="E41" s="63">
        <f>Tabelle2[[#This Row],[BIP (mrd.)]]*1000000000/Tabelle2[[#This Row],[Bevölkerung]]</f>
        <v>6929.896534307336</v>
      </c>
      <c r="F41" s="63">
        <v>0.63800000000000001</v>
      </c>
      <c r="G41" s="53">
        <v>256370</v>
      </c>
      <c r="H41" s="63">
        <v>18135480</v>
      </c>
      <c r="I41" s="88">
        <v>29.305</v>
      </c>
      <c r="J41" s="88">
        <f>Tabelle2[[#This Row],[Strom (mrd.)]]*1000000000/Tabelle2[[#This Row],[Bevölkerung]]</f>
        <v>1615.8932655766487</v>
      </c>
      <c r="K41" s="67">
        <v>3.9</v>
      </c>
      <c r="L41" s="53"/>
      <c r="M41" s="53">
        <f>Tabelle2[[#This Row],[Wohnimmobilien Anzahl]]/Tabelle2[[#This Row],[Bevölkerung]]</f>
        <v>0</v>
      </c>
      <c r="N41" s="53">
        <f t="shared" si="1"/>
        <v>0</v>
      </c>
      <c r="O41" s="53"/>
      <c r="P41" s="53">
        <v>5062650</v>
      </c>
      <c r="Q41" s="54"/>
      <c r="R41" s="54"/>
      <c r="S41" s="54"/>
      <c r="T41" s="54"/>
      <c r="U41" s="54"/>
      <c r="V41" s="54"/>
      <c r="W41" s="54"/>
      <c r="X41" s="54"/>
      <c r="Y41" s="54">
        <v>0</v>
      </c>
      <c r="Z41" s="54" t="s">
        <v>988</v>
      </c>
      <c r="AA41" s="54">
        <v>6610236</v>
      </c>
      <c r="AB41" s="54"/>
      <c r="AC41" s="53"/>
      <c r="AD41" s="53"/>
      <c r="AE41" s="53"/>
      <c r="AF41" s="53"/>
      <c r="AG41" s="54"/>
      <c r="AH41" s="54"/>
      <c r="AI41" s="54"/>
      <c r="AJ41" s="54"/>
      <c r="AK41" s="54"/>
      <c r="AL41" s="54"/>
      <c r="AM41" s="53"/>
      <c r="AN41" s="53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3"/>
      <c r="BE41" s="53"/>
      <c r="BF41" s="54"/>
      <c r="BG41" s="54"/>
      <c r="BH41" s="68"/>
    </row>
    <row r="42" spans="1:60" hidden="1" x14ac:dyDescent="0.3">
      <c r="B42" s="2" t="s">
        <v>81</v>
      </c>
      <c r="C42" s="3" t="s">
        <v>82</v>
      </c>
      <c r="D42" s="63">
        <v>3.6749000000000004E-2</v>
      </c>
      <c r="E42" s="63">
        <f>Tabelle2[[#This Row],[BIP (mrd.)]]*1000000000/Tabelle2[[#This Row],[Bevölkerung]]</f>
        <v>5.798027512586402</v>
      </c>
      <c r="F42" s="63">
        <v>0.72</v>
      </c>
      <c r="G42" s="53">
        <v>21040</v>
      </c>
      <c r="H42" s="63">
        <v>6338190</v>
      </c>
      <c r="I42" s="88"/>
      <c r="J42" s="88">
        <f>Tabelle2[[#This Row],[Strom (mrd.)]]*1000000000/Tabelle2[[#This Row],[Bevölkerung]]</f>
        <v>0</v>
      </c>
      <c r="K42" s="67"/>
      <c r="L42" s="53"/>
      <c r="M42" s="53">
        <f>Tabelle2[[#This Row],[Wohnimmobilien Anzahl]]/Tabelle2[[#This Row],[Bevölkerung]]</f>
        <v>0</v>
      </c>
      <c r="N42" s="53">
        <f t="shared" si="1"/>
        <v>0</v>
      </c>
      <c r="O42" s="53"/>
      <c r="P42" s="53"/>
      <c r="Q42" s="54"/>
      <c r="R42" s="54"/>
      <c r="S42" s="54"/>
      <c r="T42" s="54"/>
      <c r="U42" s="54"/>
      <c r="V42" s="54"/>
      <c r="W42" s="54"/>
      <c r="X42" s="54"/>
      <c r="Y42" s="54"/>
      <c r="Z42" s="54">
        <v>0</v>
      </c>
      <c r="AA42" s="54"/>
      <c r="AB42" s="54"/>
      <c r="AC42" s="53"/>
      <c r="AD42" s="53"/>
      <c r="AE42" s="53"/>
      <c r="AF42" s="53"/>
      <c r="AG42" s="54"/>
      <c r="AH42" s="54"/>
      <c r="AI42" s="54"/>
      <c r="AJ42" s="54"/>
      <c r="AK42" s="54"/>
      <c r="AL42" s="54"/>
      <c r="AM42" s="53"/>
      <c r="AN42" s="53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3"/>
      <c r="BE42" s="53"/>
      <c r="BF42" s="54"/>
      <c r="BG42" s="54"/>
      <c r="BH42" s="68"/>
    </row>
    <row r="43" spans="1:60" hidden="1" x14ac:dyDescent="0.3">
      <c r="B43" s="2" t="s">
        <v>83</v>
      </c>
      <c r="C43" s="3" t="s">
        <v>84</v>
      </c>
      <c r="D43" s="63" t="s">
        <v>592</v>
      </c>
      <c r="E43" s="63" t="e">
        <f>Tabelle2[[#This Row],[BIP (mrd.)]]*1000000000/Tabelle2[[#This Row],[Bevölkerung]]</f>
        <v>#VALUE!</v>
      </c>
      <c r="F43" s="63">
        <v>0.40100000000000002</v>
      </c>
      <c r="G43" s="53">
        <v>121766</v>
      </c>
      <c r="H43" s="63">
        <v>3535600</v>
      </c>
      <c r="I43" s="88"/>
      <c r="J43" s="88">
        <f>Tabelle2[[#This Row],[Strom (mrd.)]]*1000000000/Tabelle2[[#This Row],[Bevölkerung]]</f>
        <v>0</v>
      </c>
      <c r="K43" s="67"/>
      <c r="L43" s="53"/>
      <c r="M43" s="53">
        <f>Tabelle2[[#This Row],[Wohnimmobilien Anzahl]]/Tabelle2[[#This Row],[Bevölkerung]]</f>
        <v>0</v>
      </c>
      <c r="N43" s="53">
        <f t="shared" si="1"/>
        <v>0</v>
      </c>
      <c r="O43" s="53"/>
      <c r="P43" s="53"/>
      <c r="Q43" s="54"/>
      <c r="R43" s="54"/>
      <c r="S43" s="54"/>
      <c r="T43" s="54"/>
      <c r="U43" s="54"/>
      <c r="V43" s="54"/>
      <c r="W43" s="54"/>
      <c r="X43" s="54"/>
      <c r="Y43" s="54"/>
      <c r="Z43" s="54">
        <v>0</v>
      </c>
      <c r="AA43" s="54"/>
      <c r="AB43" s="54"/>
      <c r="AC43" s="53"/>
      <c r="AD43" s="53"/>
      <c r="AE43" s="53"/>
      <c r="AF43" s="53"/>
      <c r="AG43" s="54"/>
      <c r="AH43" s="54"/>
      <c r="AI43" s="54"/>
      <c r="AJ43" s="54"/>
      <c r="AK43" s="54"/>
      <c r="AL43" s="54"/>
      <c r="AM43" s="53"/>
      <c r="AN43" s="53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3"/>
      <c r="BE43" s="53"/>
      <c r="BF43" s="54"/>
      <c r="BG43" s="54"/>
      <c r="BH43" s="68"/>
    </row>
    <row r="44" spans="1:60" x14ac:dyDescent="0.3">
      <c r="A44" t="s">
        <v>588</v>
      </c>
      <c r="B44" s="2" t="s">
        <v>85</v>
      </c>
      <c r="C44" s="3" t="s">
        <v>86</v>
      </c>
      <c r="D44" s="63">
        <v>45.004000000000005</v>
      </c>
      <c r="E44" s="63">
        <f>Tabelle2[[#This Row],[BIP (mrd.)]]*1000000000/Tabelle2[[#This Row],[Bevölkerung]]</f>
        <v>32801.988352684792</v>
      </c>
      <c r="F44" s="63">
        <v>0.68899999999999995</v>
      </c>
      <c r="G44" s="53">
        <v>45340</v>
      </c>
      <c r="H44" s="63">
        <v>1371990</v>
      </c>
      <c r="I44" s="88">
        <v>8.6359999999999992</v>
      </c>
      <c r="J44" s="88">
        <f>Tabelle2[[#This Row],[Strom (mrd.)]]*1000000000/Tabelle2[[#This Row],[Bevölkerung]]</f>
        <v>6294.5065197268204</v>
      </c>
      <c r="K44" s="67">
        <v>1.9</v>
      </c>
      <c r="L44" s="53">
        <v>266475</v>
      </c>
      <c r="M44" s="63">
        <f>Tabelle2[[#This Row],[Wohnimmobilien Anzahl]]/Tabelle2[[#This Row],[Bevölkerung]]</f>
        <v>0.19422517656834234</v>
      </c>
      <c r="N44" s="53">
        <f t="shared" si="1"/>
        <v>-266474.80577482341</v>
      </c>
      <c r="O44" s="53"/>
      <c r="P44" s="53">
        <f>737873*0.76</f>
        <v>560783.48</v>
      </c>
      <c r="Q44" s="54"/>
      <c r="R44" s="54"/>
      <c r="S44" s="54"/>
      <c r="T44" s="54"/>
      <c r="U44" s="54"/>
      <c r="V44" s="54"/>
      <c r="W44" s="54"/>
      <c r="X44" s="54"/>
      <c r="Y44" s="54">
        <v>1</v>
      </c>
      <c r="Z44" s="54" t="s">
        <v>989</v>
      </c>
      <c r="AA44" s="54">
        <v>737873</v>
      </c>
      <c r="AB44" s="54">
        <v>49660721</v>
      </c>
      <c r="AC44" s="53"/>
      <c r="AD44" s="53"/>
      <c r="AE44" s="53"/>
      <c r="AF44" s="53"/>
      <c r="AG44" s="54"/>
      <c r="AH44" s="54"/>
      <c r="AI44" s="54"/>
      <c r="AJ44" s="54"/>
      <c r="AK44" s="54"/>
      <c r="AL44" s="54"/>
      <c r="AM44" s="53"/>
      <c r="AN44" s="53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3"/>
      <c r="BE44" s="53"/>
      <c r="BF44" s="54"/>
      <c r="BG44" s="54"/>
      <c r="BH44" s="68"/>
    </row>
    <row r="45" spans="1:60" x14ac:dyDescent="0.3">
      <c r="B45" s="2"/>
      <c r="C45" s="48" t="s">
        <v>543</v>
      </c>
      <c r="D45" s="63">
        <v>17944.810000000001</v>
      </c>
      <c r="E45" s="63">
        <f>Tabelle2[[#This Row],[BIP (mrd.)]]*1000000000/Tabelle2[[#This Row],[Bevölkerung]]</f>
        <v>39860.932851220852</v>
      </c>
      <c r="F45" s="63"/>
      <c r="G45" s="53">
        <v>4254541</v>
      </c>
      <c r="H45" s="65">
        <v>450185400</v>
      </c>
      <c r="I45" s="88"/>
      <c r="J45" s="88">
        <f>Tabelle2[[#This Row],[Strom (mrd.)]]*1000000000/Tabelle2[[#This Row],[Bevölkerung]]</f>
        <v>0</v>
      </c>
      <c r="L45" s="53">
        <v>114350000</v>
      </c>
      <c r="M45" s="63">
        <f>Tabelle2[[#This Row],[Wohnimmobilien Anzahl]]/Tabelle2[[#This Row],[Bevölkerung]]</f>
        <v>0.25400646044940595</v>
      </c>
      <c r="N45" s="53">
        <f t="shared" si="1"/>
        <v>-114349999.74599354</v>
      </c>
      <c r="O45" s="53"/>
      <c r="P45" s="53"/>
      <c r="Q45" s="54"/>
      <c r="R45" s="54"/>
      <c r="S45" s="54"/>
      <c r="T45" s="54"/>
      <c r="U45" s="54"/>
      <c r="V45" s="54"/>
      <c r="W45" s="54"/>
      <c r="X45" s="54"/>
      <c r="Y45" s="54"/>
      <c r="Z45" s="54">
        <v>0</v>
      </c>
      <c r="AA45" s="54"/>
      <c r="AB45" s="54"/>
      <c r="AC45" s="53"/>
      <c r="AD45" s="53"/>
      <c r="AE45" s="53"/>
      <c r="AF45" s="53"/>
      <c r="AG45" s="54"/>
      <c r="AH45" s="54"/>
      <c r="AI45" s="54"/>
      <c r="AJ45" s="54"/>
      <c r="AK45" s="54"/>
      <c r="AL45" s="54"/>
      <c r="AM45" s="53"/>
      <c r="AN45" s="53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3"/>
      <c r="BE45" s="53"/>
      <c r="BF45" s="54"/>
      <c r="BG45" s="54"/>
      <c r="BH45" s="68"/>
    </row>
    <row r="46" spans="1:60" hidden="1" x14ac:dyDescent="0.3">
      <c r="B46" s="2" t="s">
        <v>87</v>
      </c>
      <c r="C46" s="3" t="s">
        <v>88</v>
      </c>
      <c r="D46" s="63">
        <v>6.2570000000000004E-3</v>
      </c>
      <c r="E46" s="63">
        <f>Tabelle2[[#This Row],[BIP (mrd.)]]*1000000000/Tabelle2[[#This Row],[Bevölkerung]]</f>
        <v>6.7367945046189623</v>
      </c>
      <c r="F46" s="63">
        <v>0.56200000000000006</v>
      </c>
      <c r="G46" s="53">
        <v>18270</v>
      </c>
      <c r="H46" s="63">
        <v>928780</v>
      </c>
      <c r="I46" s="88"/>
      <c r="J46" s="88">
        <f>Tabelle2[[#This Row],[Strom (mrd.)]]*1000000000/Tabelle2[[#This Row],[Bevölkerung]]</f>
        <v>0</v>
      </c>
      <c r="K46" s="67"/>
      <c r="L46" s="53"/>
      <c r="M46" s="53">
        <f>Tabelle2[[#This Row],[Wohnimmobilien Anzahl]]/Tabelle2[[#This Row],[Bevölkerung]]</f>
        <v>0</v>
      </c>
      <c r="N46" s="53">
        <f t="shared" si="1"/>
        <v>0</v>
      </c>
      <c r="O46" s="53"/>
      <c r="P46" s="53">
        <v>191910</v>
      </c>
      <c r="Q46" s="54"/>
      <c r="R46" s="54"/>
      <c r="S46" s="54"/>
      <c r="T46" s="54"/>
      <c r="U46" s="54"/>
      <c r="V46" s="54"/>
      <c r="W46" s="54"/>
      <c r="X46" s="54"/>
      <c r="Y46" s="54"/>
      <c r="Z46" s="54">
        <v>0</v>
      </c>
      <c r="AA46" s="54"/>
      <c r="AB46" s="54"/>
      <c r="AC46" s="53"/>
      <c r="AD46" s="53"/>
      <c r="AE46" s="53"/>
      <c r="AF46" s="53"/>
      <c r="AG46" s="54"/>
      <c r="AH46" s="54"/>
      <c r="AI46" s="54"/>
      <c r="AJ46" s="54"/>
      <c r="AK46" s="54"/>
      <c r="AL46" s="54"/>
      <c r="AM46" s="53"/>
      <c r="AN46" s="53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3"/>
      <c r="BE46" s="53"/>
      <c r="BF46" s="54"/>
      <c r="BG46" s="54"/>
      <c r="BH46" s="68"/>
    </row>
    <row r="47" spans="1:60" x14ac:dyDescent="0.3">
      <c r="A47" t="s">
        <v>588</v>
      </c>
      <c r="B47" s="13" t="s">
        <v>89</v>
      </c>
      <c r="C47" s="14" t="s">
        <v>90</v>
      </c>
      <c r="D47" s="63">
        <v>303.94499999999999</v>
      </c>
      <c r="E47" s="63">
        <f>Tabelle2[[#This Row],[BIP (mrd.)]]*1000000000/Tabelle2[[#This Row],[Bevölkerung]]</f>
        <v>53917.629465639919</v>
      </c>
      <c r="F47" s="63">
        <v>0.85399999999999998</v>
      </c>
      <c r="G47" s="53">
        <v>338480</v>
      </c>
      <c r="H47" s="63">
        <v>5637210</v>
      </c>
      <c r="I47" s="88">
        <v>77.418999999999997</v>
      </c>
      <c r="J47" s="88">
        <f>Tabelle2[[#This Row],[Strom (mrd.)]]*1000000000/Tabelle2[[#This Row],[Bevölkerung]]</f>
        <v>13733.566782149326</v>
      </c>
      <c r="K47" s="67">
        <v>1.9</v>
      </c>
      <c r="L47" s="53">
        <v>1450000</v>
      </c>
      <c r="M47" s="63">
        <f>Tabelle2[[#This Row],[Wohnimmobilien Anzahl]]/Tabelle2[[#This Row],[Bevölkerung]]</f>
        <v>0.2572194401131056</v>
      </c>
      <c r="N47" s="53">
        <f t="shared" si="1"/>
        <v>-1449999.7427805599</v>
      </c>
      <c r="O47" s="53"/>
      <c r="P47" s="53">
        <v>2860961</v>
      </c>
      <c r="Q47" s="54"/>
      <c r="R47" s="54"/>
      <c r="S47" s="54"/>
      <c r="T47" s="54"/>
      <c r="U47" s="54"/>
      <c r="V47" s="54"/>
      <c r="W47" s="54">
        <v>1382453</v>
      </c>
      <c r="X47" s="54"/>
      <c r="Y47" s="54">
        <v>1</v>
      </c>
      <c r="Z47" s="54" t="s">
        <v>989</v>
      </c>
      <c r="AA47" s="54">
        <v>3248159</v>
      </c>
      <c r="AB47" s="54"/>
      <c r="AC47" s="53"/>
      <c r="AD47" s="53"/>
      <c r="AE47" s="53"/>
      <c r="AF47" s="53"/>
      <c r="AG47" s="54"/>
      <c r="AH47" s="54"/>
      <c r="AI47" s="54"/>
      <c r="AJ47" s="54"/>
      <c r="AK47" s="54"/>
      <c r="AL47" s="54"/>
      <c r="AM47" s="53"/>
      <c r="AN47" s="53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3"/>
      <c r="BE47" s="53"/>
      <c r="BF47" s="54"/>
      <c r="BG47" s="54"/>
      <c r="BH47" s="68"/>
    </row>
    <row r="48" spans="1:60" x14ac:dyDescent="0.3">
      <c r="A48" t="s">
        <v>588</v>
      </c>
      <c r="B48" s="9" t="s">
        <v>91</v>
      </c>
      <c r="C48" s="10" t="s">
        <v>92</v>
      </c>
      <c r="D48" s="63">
        <v>3211.2919999999999</v>
      </c>
      <c r="E48" s="63">
        <f>Tabelle2[[#This Row],[BIP (mrd.)]]*1000000000/Tabelle2[[#This Row],[Bevölkerung]]</f>
        <v>46868.748786792123</v>
      </c>
      <c r="F48" s="63">
        <v>0.80400000000000005</v>
      </c>
      <c r="G48" s="53">
        <v>606410</v>
      </c>
      <c r="H48" s="63">
        <v>68516700</v>
      </c>
      <c r="I48" s="88">
        <v>415.54199999999997</v>
      </c>
      <c r="J48" s="88">
        <f>Tabelle2[[#This Row],[Strom (mrd.)]]*1000000000/Tabelle2[[#This Row],[Bevölkerung]]</f>
        <v>6064.8279908401892</v>
      </c>
      <c r="K48" s="67">
        <v>2.1</v>
      </c>
      <c r="L48" s="53">
        <v>17490000</v>
      </c>
      <c r="M48" s="63">
        <f>Tabelle2[[#This Row],[Wohnimmobilien Anzahl]]/Tabelle2[[#This Row],[Bevölkerung]]</f>
        <v>0.2552662343633012</v>
      </c>
      <c r="N48" s="53">
        <f t="shared" si="1"/>
        <v>-17489999.744733766</v>
      </c>
      <c r="O48" s="53"/>
      <c r="P48" s="53">
        <v>35100000</v>
      </c>
      <c r="Q48" s="54">
        <v>20824000</v>
      </c>
      <c r="R48" s="54"/>
      <c r="S48" s="54"/>
      <c r="T48" s="54"/>
      <c r="U48" s="54"/>
      <c r="V48" s="54"/>
      <c r="W48" s="54"/>
      <c r="X48" s="54"/>
      <c r="Y48" s="54">
        <v>1</v>
      </c>
      <c r="Z48" s="54" t="s">
        <v>989</v>
      </c>
      <c r="AA48" s="54">
        <v>38000000</v>
      </c>
      <c r="AB48" s="54"/>
      <c r="AC48" s="53"/>
      <c r="AD48" s="53"/>
      <c r="AE48" s="53"/>
      <c r="AF48" s="53"/>
      <c r="AG48" s="54">
        <v>123623</v>
      </c>
      <c r="AH48" s="54">
        <v>141000000</v>
      </c>
      <c r="AI48" s="54"/>
      <c r="AJ48" s="54"/>
      <c r="AK48" s="54"/>
      <c r="AL48" s="54"/>
      <c r="AM48" s="53"/>
      <c r="AN48" s="53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3"/>
      <c r="BE48" s="53"/>
      <c r="BF48" s="54"/>
      <c r="BG48" s="54"/>
      <c r="BH48" s="68"/>
    </row>
    <row r="49" spans="1:60" hidden="1" x14ac:dyDescent="0.3">
      <c r="B49" s="2" t="s">
        <v>93</v>
      </c>
      <c r="C49" s="3" t="s">
        <v>94</v>
      </c>
      <c r="D49" s="63">
        <v>20.390999999999998</v>
      </c>
      <c r="E49" s="63">
        <f>Tabelle2[[#This Row],[BIP (mrd.)]]*1000000000/Tabelle2[[#This Row],[Bevölkerung]]</f>
        <v>8031.272770239666</v>
      </c>
      <c r="F49" s="63">
        <v>0.89400000000000002</v>
      </c>
      <c r="G49" s="53">
        <v>267670</v>
      </c>
      <c r="H49" s="63">
        <v>2538950</v>
      </c>
      <c r="I49" s="88">
        <v>3.173</v>
      </c>
      <c r="J49" s="88">
        <f>Tabelle2[[#This Row],[Strom (mrd.)]]*1000000000/Tabelle2[[#This Row],[Bevölkerung]]</f>
        <v>1249.7292187715393</v>
      </c>
      <c r="K49" s="67">
        <v>4.0999999999999996</v>
      </c>
      <c r="L49" s="53"/>
      <c r="M49" s="53">
        <f>Tabelle2[[#This Row],[Wohnimmobilien Anzahl]]/Tabelle2[[#This Row],[Bevölkerung]]</f>
        <v>0</v>
      </c>
      <c r="N49" s="53">
        <f t="shared" si="1"/>
        <v>0</v>
      </c>
      <c r="O49" s="53"/>
      <c r="P49" s="53">
        <v>431550</v>
      </c>
      <c r="Q49" s="54"/>
      <c r="R49" s="54"/>
      <c r="S49" s="54"/>
      <c r="T49" s="54"/>
      <c r="U49" s="54"/>
      <c r="V49" s="54"/>
      <c r="W49" s="54"/>
      <c r="X49" s="54"/>
      <c r="Y49" s="54">
        <v>0</v>
      </c>
      <c r="Z49" s="54" t="s">
        <v>988</v>
      </c>
      <c r="AA49" s="54">
        <v>468351</v>
      </c>
      <c r="AB49" s="54"/>
      <c r="AC49" s="53"/>
      <c r="AD49" s="53"/>
      <c r="AE49" s="53"/>
      <c r="AF49" s="53"/>
      <c r="AG49" s="54"/>
      <c r="AH49" s="54"/>
      <c r="AI49" s="54"/>
      <c r="AJ49" s="54"/>
      <c r="AK49" s="54"/>
      <c r="AL49" s="54"/>
      <c r="AM49" s="53"/>
      <c r="AN49" s="53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3"/>
      <c r="BE49" s="53"/>
      <c r="BF49" s="54"/>
      <c r="BG49" s="54"/>
      <c r="BH49" s="68"/>
    </row>
    <row r="50" spans="1:60" hidden="1" x14ac:dyDescent="0.3">
      <c r="B50" s="2" t="s">
        <v>95</v>
      </c>
      <c r="C50" s="3" t="s">
        <v>96</v>
      </c>
      <c r="D50" s="63">
        <v>2.7709999999999996E-3</v>
      </c>
      <c r="E50" s="63">
        <f>Tabelle2[[#This Row],[BIP (mrd.)]]*1000000000/Tabelle2[[#This Row],[Bevölkerung]]</f>
        <v>1.0039891448882059</v>
      </c>
      <c r="F50" s="63">
        <v>0.61299999999999999</v>
      </c>
      <c r="G50" s="53">
        <v>11300</v>
      </c>
      <c r="H50" s="63">
        <v>2759990</v>
      </c>
      <c r="I50" s="88"/>
      <c r="J50" s="88">
        <f>Tabelle2[[#This Row],[Strom (mrd.)]]*1000000000/Tabelle2[[#This Row],[Bevölkerung]]</f>
        <v>0</v>
      </c>
      <c r="K50" s="67"/>
      <c r="L50" s="53"/>
      <c r="M50" s="53">
        <f>Tabelle2[[#This Row],[Wohnimmobilien Anzahl]]/Tabelle2[[#This Row],[Bevölkerung]]</f>
        <v>0</v>
      </c>
      <c r="N50" s="53">
        <f t="shared" si="1"/>
        <v>0</v>
      </c>
      <c r="O50" s="53"/>
      <c r="P50" s="53">
        <v>502832</v>
      </c>
      <c r="Q50" s="54"/>
      <c r="R50" s="54"/>
      <c r="S50" s="54"/>
      <c r="T50" s="54"/>
      <c r="U50" s="54"/>
      <c r="V50" s="54"/>
      <c r="W50" s="54"/>
      <c r="X50" s="54"/>
      <c r="Y50" s="54"/>
      <c r="Z50" s="54">
        <v>0</v>
      </c>
      <c r="AA50" s="54"/>
      <c r="AB50" s="54"/>
      <c r="AC50" s="53"/>
      <c r="AD50" s="53"/>
      <c r="AE50" s="53"/>
      <c r="AF50" s="53"/>
      <c r="AG50" s="54"/>
      <c r="AH50" s="54"/>
      <c r="AI50" s="54"/>
      <c r="AJ50" s="54"/>
      <c r="AK50" s="54"/>
      <c r="AL50" s="54"/>
      <c r="AM50" s="53"/>
      <c r="AN50" s="53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3"/>
      <c r="BE50" s="53"/>
      <c r="BF50" s="54"/>
      <c r="BG50" s="54"/>
      <c r="BH50" s="68"/>
    </row>
    <row r="51" spans="1:60" hidden="1" x14ac:dyDescent="0.3">
      <c r="B51" s="2" t="s">
        <v>97</v>
      </c>
      <c r="C51" s="3" t="s">
        <v>98</v>
      </c>
      <c r="D51" s="63">
        <v>35.353000000000002</v>
      </c>
      <c r="E51" s="63">
        <f>Tabelle2[[#This Row],[BIP (mrd.)]]*1000000000/Tabelle2[[#This Row],[Bevölkerung]]</f>
        <v>9622.8751854321763</v>
      </c>
      <c r="F51" s="63">
        <v>0.58599999999999997</v>
      </c>
      <c r="G51" s="53">
        <v>69700</v>
      </c>
      <c r="H51" s="63">
        <v>3673850</v>
      </c>
      <c r="I51" s="88">
        <v>12.569000000000001</v>
      </c>
      <c r="J51" s="88">
        <f>Tabelle2[[#This Row],[Strom (mrd.)]]*1000000000/Tabelle2[[#This Row],[Bevölkerung]]</f>
        <v>3421.2066360902049</v>
      </c>
      <c r="K51" s="67">
        <v>3.34</v>
      </c>
      <c r="L51" s="53"/>
      <c r="M51" s="53">
        <f>Tabelle2[[#This Row],[Wohnimmobilien Anzahl]]/Tabelle2[[#This Row],[Bevölkerung]]</f>
        <v>0</v>
      </c>
      <c r="N51" s="53">
        <f t="shared" si="1"/>
        <v>0</v>
      </c>
      <c r="O51" s="53"/>
      <c r="P51" s="53"/>
      <c r="Q51" s="54">
        <v>592720</v>
      </c>
      <c r="R51" s="54"/>
      <c r="S51" s="54"/>
      <c r="T51" s="54"/>
      <c r="U51" s="54"/>
      <c r="V51" s="54"/>
      <c r="W51" s="54"/>
      <c r="X51" s="54"/>
      <c r="Y51" s="54">
        <v>0</v>
      </c>
      <c r="Z51" s="54" t="s">
        <v>988</v>
      </c>
      <c r="AA51" s="54">
        <v>1057172</v>
      </c>
      <c r="AB51" s="54"/>
      <c r="AC51" s="53"/>
      <c r="AD51" s="53"/>
      <c r="AE51" s="53"/>
      <c r="AF51" s="53"/>
      <c r="AG51" s="54"/>
      <c r="AH51" s="54"/>
      <c r="AI51" s="54"/>
      <c r="AJ51" s="54"/>
      <c r="AK51" s="54"/>
      <c r="AL51" s="54"/>
      <c r="AM51" s="53"/>
      <c r="AN51" s="53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3"/>
      <c r="BE51" s="53"/>
      <c r="BF51" s="54"/>
      <c r="BG51" s="54"/>
      <c r="BH51" s="68"/>
    </row>
    <row r="52" spans="1:60" x14ac:dyDescent="0.3">
      <c r="A52" t="s">
        <v>588</v>
      </c>
      <c r="B52" s="24" t="s">
        <v>99</v>
      </c>
      <c r="C52" s="25" t="s">
        <v>100</v>
      </c>
      <c r="D52" s="63">
        <v>88.331999999999994</v>
      </c>
      <c r="E52" s="63">
        <f>Tabelle2[[#This Row],[BIP (mrd.)]]*1000000000/Tabelle2[[#This Row],[Bevölkerung]]</f>
        <v>2565.7463050517017</v>
      </c>
      <c r="F52" s="63">
        <v>0.56100000000000005</v>
      </c>
      <c r="G52" s="53">
        <v>238539</v>
      </c>
      <c r="H52" s="63">
        <v>34427410</v>
      </c>
      <c r="I52" s="88">
        <v>19.533999999999999</v>
      </c>
      <c r="J52" s="88">
        <f>Tabelle2[[#This Row],[Strom (mrd.)]]*1000000000/Tabelle2[[#This Row],[Bevölkerung]]</f>
        <v>567.39673417198685</v>
      </c>
      <c r="K52" s="67">
        <v>2.6</v>
      </c>
      <c r="L52" s="53">
        <v>5862890</v>
      </c>
      <c r="M52" s="63">
        <f>Tabelle2[[#This Row],[Wohnimmobilien Anzahl]]/Tabelle2[[#This Row],[Bevölkerung]]</f>
        <v>0.17029715566753351</v>
      </c>
      <c r="N52" s="53">
        <f t="shared" si="1"/>
        <v>-5862889.8297028439</v>
      </c>
      <c r="O52" s="53"/>
      <c r="P52" s="53">
        <v>8735604</v>
      </c>
      <c r="Q52" s="54">
        <v>6334063</v>
      </c>
      <c r="R52" s="54"/>
      <c r="S52" s="54"/>
      <c r="T52" s="54"/>
      <c r="U52" s="54"/>
      <c r="V52" s="54"/>
      <c r="W52" s="54"/>
      <c r="X52" s="54"/>
      <c r="Y52" s="54">
        <v>0</v>
      </c>
      <c r="Z52" s="54" t="s">
        <v>990</v>
      </c>
      <c r="AA52" s="54">
        <v>10006420</v>
      </c>
      <c r="AB52" s="54"/>
      <c r="AC52" s="53"/>
      <c r="AD52" s="53"/>
      <c r="AE52" s="53"/>
      <c r="AF52" s="53"/>
      <c r="AG52" s="54"/>
      <c r="AH52" s="54"/>
      <c r="AI52" s="54"/>
      <c r="AJ52" s="54"/>
      <c r="AK52" s="54"/>
      <c r="AL52" s="54"/>
      <c r="AM52" s="53"/>
      <c r="AN52" s="53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3"/>
      <c r="BE52" s="53"/>
      <c r="BF52" s="54"/>
      <c r="BG52" s="54"/>
      <c r="BH52" s="68"/>
    </row>
    <row r="53" spans="1:60" hidden="1" x14ac:dyDescent="0.3">
      <c r="B53" s="2" t="s">
        <v>101</v>
      </c>
      <c r="C53" s="3" t="s">
        <v>102</v>
      </c>
      <c r="D53" s="63">
        <v>1.464</v>
      </c>
      <c r="E53" s="63">
        <f>Tabelle2[[#This Row],[BIP (mrd.)]]*1000000000/Tabelle2[[#This Row],[Bevölkerung]]</f>
        <v>12490.401842846173</v>
      </c>
      <c r="F53" s="63">
        <v>0.36299999999999999</v>
      </c>
      <c r="G53" s="53">
        <v>340</v>
      </c>
      <c r="H53" s="63">
        <v>117210</v>
      </c>
      <c r="I53" s="88">
        <v>0.22145300000000001</v>
      </c>
      <c r="J53" s="88">
        <f>Tabelle2[[#This Row],[Strom (mrd.)]]*1000000000/Tabelle2[[#This Row],[Bevölkerung]]</f>
        <v>1889.3695077211842</v>
      </c>
      <c r="K53" s="67">
        <v>2.9</v>
      </c>
      <c r="L53" s="53"/>
      <c r="M53" s="53">
        <f>Tabelle2[[#This Row],[Wohnimmobilien Anzahl]]/Tabelle2[[#This Row],[Bevölkerung]]</f>
        <v>0</v>
      </c>
      <c r="N53" s="53">
        <f t="shared" si="1"/>
        <v>0</v>
      </c>
      <c r="O53" s="53"/>
      <c r="P53" s="53"/>
      <c r="Q53" s="54"/>
      <c r="R53" s="54"/>
      <c r="S53" s="54"/>
      <c r="T53" s="54"/>
      <c r="U53" s="54"/>
      <c r="V53" s="54"/>
      <c r="W53" s="54"/>
      <c r="X53" s="54"/>
      <c r="Y53" s="54">
        <v>0</v>
      </c>
      <c r="Z53" s="54" t="s">
        <v>988</v>
      </c>
      <c r="AA53" s="54">
        <v>36111</v>
      </c>
      <c r="AB53" s="54"/>
      <c r="AC53" s="53"/>
      <c r="AD53" s="53"/>
      <c r="AE53" s="53"/>
      <c r="AF53" s="53"/>
      <c r="AG53" s="54"/>
      <c r="AH53" s="54"/>
      <c r="AI53" s="54"/>
      <c r="AJ53" s="54"/>
      <c r="AK53" s="54"/>
      <c r="AL53" s="54"/>
      <c r="AM53" s="53"/>
      <c r="AN53" s="53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3"/>
      <c r="BE53" s="53"/>
      <c r="BF53" s="54"/>
      <c r="BG53" s="54"/>
      <c r="BH53" s="68"/>
    </row>
    <row r="54" spans="1:60" x14ac:dyDescent="0.3">
      <c r="A54" t="s">
        <v>589</v>
      </c>
      <c r="B54" s="17" t="s">
        <v>103</v>
      </c>
      <c r="C54" s="18" t="s">
        <v>104</v>
      </c>
      <c r="D54" s="63">
        <v>267.34800000000001</v>
      </c>
      <c r="E54" s="63">
        <f>Tabelle2[[#This Row],[BIP (mrd.)]]*1000000000/Tabelle2[[#This Row],[Bevölkerung]]</f>
        <v>25734.227500551075</v>
      </c>
      <c r="F54" s="63">
        <v>0.79100000000000004</v>
      </c>
      <c r="G54" s="53">
        <v>131960</v>
      </c>
      <c r="H54" s="63">
        <v>10388810</v>
      </c>
      <c r="I54" s="88">
        <v>46.929000000000002</v>
      </c>
      <c r="J54" s="88">
        <f>Tabelle2[[#This Row],[Strom (mrd.)]]*1000000000/Tabelle2[[#This Row],[Bevölkerung]]</f>
        <v>4517.2642487445628</v>
      </c>
      <c r="K54" s="67">
        <v>2.6</v>
      </c>
      <c r="L54" s="53">
        <v>3630000</v>
      </c>
      <c r="M54" s="63">
        <f>Tabelle2[[#This Row],[Wohnimmobilien Anzahl]]/Tabelle2[[#This Row],[Bevölkerung]]</f>
        <v>0.3494144180132277</v>
      </c>
      <c r="N54" s="53">
        <f t="shared" si="1"/>
        <v>-3629999.650585582</v>
      </c>
      <c r="O54" s="53"/>
      <c r="P54" s="53"/>
      <c r="Q54" s="54"/>
      <c r="R54" s="54"/>
      <c r="S54" s="54"/>
      <c r="T54" s="54"/>
      <c r="U54" s="54"/>
      <c r="V54" s="54"/>
      <c r="W54" s="54"/>
      <c r="X54" s="54"/>
      <c r="Y54" s="54"/>
      <c r="Z54" s="54">
        <v>1</v>
      </c>
      <c r="AA54" s="54"/>
      <c r="AB54" s="54"/>
      <c r="AC54" s="53"/>
      <c r="AD54" s="53"/>
      <c r="AE54" s="53"/>
      <c r="AF54" s="53"/>
      <c r="AG54" s="54"/>
      <c r="AH54" s="54"/>
      <c r="AI54" s="54"/>
      <c r="AJ54" s="54"/>
      <c r="AK54" s="54"/>
      <c r="AL54" s="54"/>
      <c r="AM54" s="53"/>
      <c r="AN54" s="53"/>
      <c r="AO54" s="54"/>
      <c r="AP54" s="54"/>
      <c r="AQ54" s="54"/>
      <c r="AR54" s="54"/>
      <c r="AS54" s="54"/>
      <c r="AT54" s="54">
        <v>1749</v>
      </c>
      <c r="AU54" s="54"/>
      <c r="AV54" s="54"/>
      <c r="AW54" s="54"/>
      <c r="AX54" s="54"/>
      <c r="AY54" s="54">
        <v>34736</v>
      </c>
      <c r="AZ54" s="54"/>
      <c r="BA54" s="54"/>
      <c r="BB54" s="54">
        <v>16952</v>
      </c>
      <c r="BC54" s="54"/>
      <c r="BD54" s="53">
        <v>4105637</v>
      </c>
      <c r="BE54" s="53"/>
      <c r="BF54" s="54"/>
      <c r="BG54" s="54"/>
      <c r="BH54" s="68"/>
    </row>
    <row r="55" spans="1:60" hidden="1" x14ac:dyDescent="0.3">
      <c r="B55" s="22" t="s">
        <v>105</v>
      </c>
      <c r="C55" s="23" t="s">
        <v>106</v>
      </c>
      <c r="D55" s="63">
        <v>121.17700000000001</v>
      </c>
      <c r="E55" s="63">
        <f>Tabelle2[[#This Row],[BIP (mrd.)]]*1000000000/Tabelle2[[#This Row],[Bevölkerung]]</f>
        <v>6583.4309445213503</v>
      </c>
      <c r="F55" s="63">
        <v>0.51100000000000001</v>
      </c>
      <c r="G55" s="53">
        <v>108890</v>
      </c>
      <c r="H55" s="63">
        <v>18406360</v>
      </c>
      <c r="I55" s="88">
        <v>12.222</v>
      </c>
      <c r="J55" s="88">
        <f>Tabelle2[[#This Row],[Strom (mrd.)]]*1000000000/Tabelle2[[#This Row],[Bevölkerung]]</f>
        <v>664.00961406818078</v>
      </c>
      <c r="K55" s="67">
        <v>4.8</v>
      </c>
      <c r="L55" s="53"/>
      <c r="M55" s="53">
        <f>Tabelle2[[#This Row],[Wohnimmobilien Anzahl]]/Tabelle2[[#This Row],[Bevölkerung]]</f>
        <v>0</v>
      </c>
      <c r="N55" s="53">
        <f t="shared" si="1"/>
        <v>0</v>
      </c>
      <c r="O55" s="53"/>
      <c r="P55" s="53">
        <v>3179595</v>
      </c>
      <c r="Q55" s="85">
        <v>3709732</v>
      </c>
      <c r="R55" s="54"/>
      <c r="S55" s="54"/>
      <c r="T55" s="54"/>
      <c r="U55" s="54"/>
      <c r="V55" s="54"/>
      <c r="W55" s="54"/>
      <c r="X55" s="54"/>
      <c r="Y55" s="54">
        <v>0</v>
      </c>
      <c r="Z55" s="54" t="s">
        <v>988</v>
      </c>
      <c r="AA55" s="85">
        <v>3943085</v>
      </c>
      <c r="AB55" s="54"/>
      <c r="AC55" s="53"/>
      <c r="AD55" s="53"/>
      <c r="AE55" s="53"/>
      <c r="AF55" s="53"/>
      <c r="AG55" s="54"/>
      <c r="AH55" s="54"/>
      <c r="AI55" s="54"/>
      <c r="AJ55" s="54"/>
      <c r="AK55" s="54"/>
      <c r="AL55" s="54"/>
      <c r="AM55" s="53"/>
      <c r="AN55" s="53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3"/>
      <c r="BE55" s="53"/>
      <c r="BF55" s="54"/>
      <c r="BG55" s="54"/>
      <c r="BH55" s="68"/>
    </row>
    <row r="56" spans="1:60" hidden="1" x14ac:dyDescent="0.3">
      <c r="B56" s="2" t="s">
        <v>107</v>
      </c>
      <c r="C56" s="3" t="s">
        <v>108</v>
      </c>
      <c r="D56" s="63">
        <v>3.0093999999999999E-2</v>
      </c>
      <c r="E56" s="63">
        <f>Tabelle2[[#This Row],[BIP (mrd.)]]*1000000000/Tabelle2[[#This Row],[Bevölkerung]]</f>
        <v>2.0396102144525368</v>
      </c>
      <c r="F56" s="63">
        <v>0.36099999999999999</v>
      </c>
      <c r="G56" s="53">
        <v>245860</v>
      </c>
      <c r="H56" s="63">
        <v>14754780</v>
      </c>
      <c r="I56" s="88"/>
      <c r="J56" s="88">
        <f>Tabelle2[[#This Row],[Strom (mrd.)]]*1000000000/Tabelle2[[#This Row],[Bevölkerung]]</f>
        <v>0</v>
      </c>
      <c r="K56" s="67"/>
      <c r="L56" s="53"/>
      <c r="M56" s="53">
        <f>Tabelle2[[#This Row],[Wohnimmobilien Anzahl]]/Tabelle2[[#This Row],[Bevölkerung]]</f>
        <v>0</v>
      </c>
      <c r="N56" s="53">
        <f t="shared" si="1"/>
        <v>0</v>
      </c>
      <c r="O56" s="53"/>
      <c r="P56" s="53"/>
      <c r="Q56" s="54"/>
      <c r="R56" s="54"/>
      <c r="S56" s="54"/>
      <c r="T56" s="54"/>
      <c r="U56" s="54"/>
      <c r="V56" s="54"/>
      <c r="W56" s="54"/>
      <c r="X56" s="54"/>
      <c r="Y56" s="54"/>
      <c r="Z56" s="54">
        <v>0</v>
      </c>
      <c r="AA56" s="54"/>
      <c r="AB56" s="54"/>
      <c r="AC56" s="53"/>
      <c r="AD56" s="53"/>
      <c r="AE56" s="53"/>
      <c r="AF56" s="53"/>
      <c r="AG56" s="54"/>
      <c r="AH56" s="54"/>
      <c r="AI56" s="54"/>
      <c r="AJ56" s="54"/>
      <c r="AK56" s="54"/>
      <c r="AL56" s="54"/>
      <c r="AM56" s="53"/>
      <c r="AN56" s="53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3"/>
      <c r="BE56" s="53"/>
      <c r="BF56" s="54"/>
      <c r="BG56" s="54"/>
      <c r="BH56" s="68"/>
    </row>
    <row r="57" spans="1:60" hidden="1" x14ac:dyDescent="0.3">
      <c r="B57" s="2" t="s">
        <v>109</v>
      </c>
      <c r="C57" s="3" t="s">
        <v>110</v>
      </c>
      <c r="D57" s="63">
        <v>2.274E-3</v>
      </c>
      <c r="E57" s="63">
        <f>Tabelle2[[#This Row],[BIP (mrd.)]]*1000000000/Tabelle2[[#This Row],[Bevölkerung]]</f>
        <v>1.0330024757535148</v>
      </c>
      <c r="F57" s="63">
        <v>0.434</v>
      </c>
      <c r="G57" s="53">
        <v>36130</v>
      </c>
      <c r="H57" s="63">
        <v>2201350</v>
      </c>
      <c r="I57" s="88"/>
      <c r="J57" s="88">
        <f>Tabelle2[[#This Row],[Strom (mrd.)]]*1000000000/Tabelle2[[#This Row],[Bevölkerung]]</f>
        <v>0</v>
      </c>
      <c r="K57" s="67"/>
      <c r="L57" s="53"/>
      <c r="M57" s="53">
        <f>Tabelle2[[#This Row],[Wohnimmobilien Anzahl]]/Tabelle2[[#This Row],[Bevölkerung]]</f>
        <v>0</v>
      </c>
      <c r="N57" s="53">
        <f t="shared" si="1"/>
        <v>0</v>
      </c>
      <c r="O57" s="53"/>
      <c r="P57" s="84"/>
      <c r="Q57" s="56"/>
      <c r="R57" s="54"/>
      <c r="S57" s="54"/>
      <c r="T57" s="54"/>
      <c r="U57" s="54"/>
      <c r="V57" s="54"/>
      <c r="W57" s="54"/>
      <c r="X57" s="54"/>
      <c r="Y57" s="56"/>
      <c r="Z57" s="56">
        <v>0</v>
      </c>
      <c r="AA57" s="56"/>
      <c r="AB57" s="54"/>
      <c r="AC57" s="53"/>
      <c r="AD57" s="53"/>
      <c r="AE57" s="53"/>
      <c r="AF57" s="53"/>
      <c r="AG57" s="54"/>
      <c r="AH57" s="54"/>
      <c r="AI57" s="54"/>
      <c r="AJ57" s="54"/>
      <c r="AK57" s="54"/>
      <c r="AL57" s="54"/>
      <c r="AM57" s="53"/>
      <c r="AN57" s="53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3"/>
      <c r="BE57" s="53"/>
      <c r="BF57" s="54"/>
      <c r="BG57" s="54"/>
      <c r="BH57" s="68"/>
    </row>
    <row r="58" spans="1:60" hidden="1" x14ac:dyDescent="0.3">
      <c r="B58" s="2" t="s">
        <v>111</v>
      </c>
      <c r="C58" s="3" t="s">
        <v>112</v>
      </c>
      <c r="D58" s="63">
        <v>25.821999999999999</v>
      </c>
      <c r="E58" s="63">
        <f>Tabelle2[[#This Row],[BIP (mrd.)]]*1000000000/Tabelle2[[#This Row],[Bevölkerung]]</f>
        <v>31070.040549158333</v>
      </c>
      <c r="F58" s="63">
        <v>0.26600000000000001</v>
      </c>
      <c r="G58" s="53">
        <v>214970</v>
      </c>
      <c r="H58" s="63">
        <v>831090</v>
      </c>
      <c r="I58" s="88">
        <v>1.07</v>
      </c>
      <c r="J58" s="88">
        <f>Tabelle2[[#This Row],[Strom (mrd.)]]*1000000000/Tabelle2[[#This Row],[Bevölkerung]]</f>
        <v>1287.4658580899784</v>
      </c>
      <c r="K58" s="67">
        <v>3.8</v>
      </c>
      <c r="L58" s="53"/>
      <c r="M58" s="53">
        <f>Tabelle2[[#This Row],[Wohnimmobilien Anzahl]]/Tabelle2[[#This Row],[Bevölkerung]]</f>
        <v>0</v>
      </c>
      <c r="N58" s="53">
        <f t="shared" si="1"/>
        <v>0</v>
      </c>
      <c r="O58" s="53"/>
      <c r="P58" s="53">
        <v>204625</v>
      </c>
      <c r="Q58" s="54">
        <v>144174</v>
      </c>
      <c r="R58" s="54"/>
      <c r="S58" s="54"/>
      <c r="T58" s="54"/>
      <c r="U58" s="54"/>
      <c r="V58" s="54"/>
      <c r="W58" s="54"/>
      <c r="X58" s="54"/>
      <c r="Y58" s="54">
        <v>0</v>
      </c>
      <c r="Z58" s="54" t="s">
        <v>989</v>
      </c>
      <c r="AA58" s="54">
        <v>221929</v>
      </c>
      <c r="AB58" s="54"/>
      <c r="AC58" s="53"/>
      <c r="AD58" s="53"/>
      <c r="AE58" s="53"/>
      <c r="AF58" s="53"/>
      <c r="AG58" s="54"/>
      <c r="AH58" s="54"/>
      <c r="AI58" s="54"/>
      <c r="AJ58" s="54"/>
      <c r="AK58" s="54"/>
      <c r="AL58" s="54"/>
      <c r="AM58" s="53"/>
      <c r="AN58" s="53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3">
        <v>219509</v>
      </c>
      <c r="BE58" s="53"/>
      <c r="BF58" s="54"/>
      <c r="BG58" s="54"/>
      <c r="BH58" s="68"/>
    </row>
    <row r="59" spans="1:60" hidden="1" x14ac:dyDescent="0.3">
      <c r="B59" s="2" t="s">
        <v>113</v>
      </c>
      <c r="C59" s="5" t="s">
        <v>114</v>
      </c>
      <c r="D59" s="63">
        <v>33.548000000000002</v>
      </c>
      <c r="E59" s="63">
        <f>Tabelle2[[#This Row],[BIP (mrd.)]]*1000000000/Tabelle2[[#This Row],[Bevölkerung]]</f>
        <v>2849.6775552641056</v>
      </c>
      <c r="F59" s="63">
        <v>0.55300000000000005</v>
      </c>
      <c r="G59" s="53">
        <v>27750</v>
      </c>
      <c r="H59" s="63">
        <v>11772560</v>
      </c>
      <c r="I59" s="88">
        <v>0.86099999999999999</v>
      </c>
      <c r="J59" s="88">
        <f>Tabelle2[[#This Row],[Strom (mrd.)]]*1000000000/Tabelle2[[#This Row],[Bevölkerung]]</f>
        <v>73.136174290043968</v>
      </c>
      <c r="K59" s="67">
        <v>4.29</v>
      </c>
      <c r="L59" s="53"/>
      <c r="M59" s="53">
        <f>Tabelle2[[#This Row],[Wohnimmobilien Anzahl]]/Tabelle2[[#This Row],[Bevölkerung]]</f>
        <v>0</v>
      </c>
      <c r="N59" s="53">
        <f t="shared" si="1"/>
        <v>0</v>
      </c>
      <c r="O59" s="53"/>
      <c r="P59" s="53">
        <v>1793198</v>
      </c>
      <c r="Q59" s="54"/>
      <c r="R59" s="54"/>
      <c r="S59" s="54"/>
      <c r="T59" s="54"/>
      <c r="U59" s="54"/>
      <c r="V59" s="54"/>
      <c r="W59" s="54"/>
      <c r="X59" s="54"/>
      <c r="Y59" s="54">
        <v>0</v>
      </c>
      <c r="Z59" s="54" t="s">
        <v>990</v>
      </c>
      <c r="AA59" s="54">
        <v>2016247</v>
      </c>
      <c r="AB59" s="54"/>
      <c r="AC59" s="53"/>
      <c r="AD59" s="53"/>
      <c r="AE59" s="53"/>
      <c r="AF59" s="53"/>
      <c r="AG59" s="54"/>
      <c r="AH59" s="54"/>
      <c r="AI59" s="54"/>
      <c r="AJ59" s="54"/>
      <c r="AK59" s="54"/>
      <c r="AL59" s="54"/>
      <c r="AM59" s="53"/>
      <c r="AN59" s="53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3"/>
      <c r="BE59" s="53"/>
      <c r="BF59" s="54"/>
      <c r="BG59" s="54"/>
      <c r="BH59" s="68"/>
    </row>
    <row r="60" spans="1:60" hidden="1" x14ac:dyDescent="0.3">
      <c r="B60" s="22" t="s">
        <v>115</v>
      </c>
      <c r="C60" s="23" t="s">
        <v>116</v>
      </c>
      <c r="D60" s="63">
        <v>38.171999999999997</v>
      </c>
      <c r="E60" s="63">
        <f>Tabelle2[[#This Row],[BIP (mrd.)]]*1000000000/Tabelle2[[#This Row],[Bevölkerung]]</f>
        <v>3526.053742483165</v>
      </c>
      <c r="F60" s="63">
        <v>0.57099999999999995</v>
      </c>
      <c r="G60" s="53">
        <v>112490</v>
      </c>
      <c r="H60" s="63">
        <v>10825700</v>
      </c>
      <c r="I60" s="88">
        <v>8.3030000000000008</v>
      </c>
      <c r="J60" s="88">
        <f>Tabelle2[[#This Row],[Strom (mrd.)]]*1000000000/Tabelle2[[#This Row],[Bevölkerung]]</f>
        <v>766.9711889300462</v>
      </c>
      <c r="K60" s="67">
        <v>4.47</v>
      </c>
      <c r="L60" s="53"/>
      <c r="M60" s="53">
        <f>Tabelle2[[#This Row],[Wohnimmobilien Anzahl]]/Tabelle2[[#This Row],[Bevölkerung]]</f>
        <v>0</v>
      </c>
      <c r="N60" s="53">
        <f t="shared" si="1"/>
        <v>0</v>
      </c>
      <c r="O60" s="53"/>
      <c r="P60" s="53">
        <v>1838527</v>
      </c>
      <c r="Q60" s="54"/>
      <c r="R60" s="54"/>
      <c r="S60" s="54"/>
      <c r="T60" s="54"/>
      <c r="U60" s="54"/>
      <c r="V60" s="54"/>
      <c r="W60" s="54"/>
      <c r="X60" s="54"/>
      <c r="Y60" s="54">
        <v>0</v>
      </c>
      <c r="Z60" s="54" t="s">
        <v>990</v>
      </c>
      <c r="AA60" s="54">
        <v>2158042</v>
      </c>
      <c r="AB60" s="54"/>
      <c r="AC60" s="53"/>
      <c r="AD60" s="53"/>
      <c r="AE60" s="53"/>
      <c r="AF60" s="53"/>
      <c r="AG60" s="54"/>
      <c r="AH60" s="54"/>
      <c r="AI60" s="54"/>
      <c r="AJ60" s="54"/>
      <c r="AK60" s="54"/>
      <c r="AL60" s="54"/>
      <c r="AM60" s="53"/>
      <c r="AN60" s="53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3"/>
      <c r="BE60" s="53"/>
      <c r="BF60" s="54"/>
      <c r="BG60" s="54"/>
      <c r="BH60" s="68"/>
    </row>
    <row r="61" spans="1:60" hidden="1" x14ac:dyDescent="0.3">
      <c r="B61" s="13" t="s">
        <v>117</v>
      </c>
      <c r="C61" s="14" t="s">
        <v>118</v>
      </c>
      <c r="D61" s="63">
        <v>4.187017</v>
      </c>
      <c r="E61" s="63">
        <f>Tabelle2[[#This Row],[BIP (mrd.)]]*1000000000/Tabelle2[[#This Row],[Bevölkerung]]</f>
        <v>2.8857355569125493</v>
      </c>
      <c r="F61" s="63">
        <v>0.34</v>
      </c>
      <c r="G61" s="53">
        <v>3287260</v>
      </c>
      <c r="H61" s="63">
        <v>1450935790</v>
      </c>
      <c r="I61" s="88"/>
      <c r="J61" s="88">
        <f>Tabelle2[[#This Row],[Strom (mrd.)]]*1000000000/Tabelle2[[#This Row],[Bevölkerung]]</f>
        <v>0</v>
      </c>
      <c r="K61" s="67"/>
      <c r="L61" s="53"/>
      <c r="M61" s="53">
        <f>Tabelle2[[#This Row],[Wohnimmobilien Anzahl]]/Tabelle2[[#This Row],[Bevölkerung]]</f>
        <v>0</v>
      </c>
      <c r="N61" s="53">
        <f t="shared" si="1"/>
        <v>0</v>
      </c>
      <c r="O61" s="53"/>
      <c r="P61" s="53"/>
      <c r="Q61" s="54"/>
      <c r="R61" s="54"/>
      <c r="S61" s="54"/>
      <c r="T61" s="54"/>
      <c r="U61" s="54"/>
      <c r="V61" s="54"/>
      <c r="W61" s="54"/>
      <c r="X61" s="54"/>
      <c r="Y61" s="54"/>
      <c r="Z61" s="54">
        <v>0</v>
      </c>
      <c r="AA61" s="54"/>
      <c r="AB61" s="54"/>
      <c r="AC61" s="53"/>
      <c r="AD61" s="53"/>
      <c r="AE61" s="53"/>
      <c r="AF61" s="53"/>
      <c r="AG61" s="54"/>
      <c r="AH61" s="54"/>
      <c r="AI61" s="54"/>
      <c r="AJ61" s="54"/>
      <c r="AK61" s="54"/>
      <c r="AL61" s="54"/>
      <c r="AM61" s="53"/>
      <c r="AN61" s="53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3"/>
      <c r="BE61" s="53"/>
      <c r="BF61" s="54"/>
      <c r="BG61" s="54"/>
      <c r="BH61" s="68"/>
    </row>
    <row r="62" spans="1:60" hidden="1" x14ac:dyDescent="0.3">
      <c r="B62" s="17" t="s">
        <v>119</v>
      </c>
      <c r="C62" s="18" t="s">
        <v>120</v>
      </c>
      <c r="D62" s="63">
        <v>1429.7429999999999</v>
      </c>
      <c r="E62" s="63">
        <f>Tabelle2[[#This Row],[BIP (mrd.)]]*1000000000/Tabelle2[[#This Row],[Bevölkerung]]</f>
        <v>5043.3999077138842</v>
      </c>
      <c r="F62" s="63">
        <v>0.55300000000000005</v>
      </c>
      <c r="G62" s="53">
        <v>1916907</v>
      </c>
      <c r="H62" s="63">
        <v>283487930</v>
      </c>
      <c r="I62" s="88">
        <v>356.13499999999999</v>
      </c>
      <c r="J62" s="88">
        <f>Tabelle2[[#This Row],[Strom (mrd.)]]*1000000000/Tabelle2[[#This Row],[Bevölkerung]]</f>
        <v>1256.2615981569304</v>
      </c>
      <c r="K62" s="67">
        <v>3.86</v>
      </c>
      <c r="L62" s="53"/>
      <c r="M62" s="53">
        <f>Tabelle2[[#This Row],[Wohnimmobilien Anzahl]]/Tabelle2[[#This Row],[Bevölkerung]]</f>
        <v>0</v>
      </c>
      <c r="N62" s="53">
        <f t="shared" si="1"/>
        <v>0</v>
      </c>
      <c r="O62" s="53"/>
      <c r="P62" s="53">
        <v>55303268</v>
      </c>
      <c r="Q62" s="54"/>
      <c r="R62" s="54"/>
      <c r="S62" s="54"/>
      <c r="T62" s="54"/>
      <c r="U62" s="54"/>
      <c r="V62" s="54"/>
      <c r="W62" s="54"/>
      <c r="X62" s="54"/>
      <c r="Y62" s="54">
        <v>0</v>
      </c>
      <c r="Z62" s="54" t="s">
        <v>988</v>
      </c>
      <c r="AA62" s="54">
        <v>70628952</v>
      </c>
      <c r="AB62" s="54"/>
      <c r="AC62" s="53"/>
      <c r="AD62" s="53"/>
      <c r="AE62" s="53"/>
      <c r="AF62" s="53"/>
      <c r="AG62" s="54"/>
      <c r="AH62" s="54"/>
      <c r="AI62" s="54"/>
      <c r="AJ62" s="54"/>
      <c r="AK62" s="54"/>
      <c r="AL62" s="54"/>
      <c r="AM62" s="53"/>
      <c r="AN62" s="53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3"/>
      <c r="BE62" s="53"/>
      <c r="BF62" s="54"/>
      <c r="BG62" s="54"/>
      <c r="BH62" s="68"/>
    </row>
    <row r="63" spans="1:60" hidden="1" x14ac:dyDescent="0.3">
      <c r="B63" s="22" t="s">
        <v>121</v>
      </c>
      <c r="C63" s="23" t="s">
        <v>122</v>
      </c>
      <c r="D63" s="63">
        <v>0.25801999999999997</v>
      </c>
      <c r="E63" s="63">
        <f>Tabelle2[[#This Row],[BIP (mrd.)]]*1000000000/Tabelle2[[#This Row],[Bevölkerung]]</f>
        <v>5.6040125094451776</v>
      </c>
      <c r="F63" s="63">
        <v>0.70499999999999996</v>
      </c>
      <c r="G63" s="53">
        <v>435050</v>
      </c>
      <c r="H63" s="63">
        <v>46042010</v>
      </c>
      <c r="I63" s="88"/>
      <c r="J63" s="88">
        <f>Tabelle2[[#This Row],[Strom (mrd.)]]*1000000000/Tabelle2[[#This Row],[Bevölkerung]]</f>
        <v>0</v>
      </c>
      <c r="K63" s="67"/>
      <c r="L63" s="53"/>
      <c r="M63" s="53">
        <f>Tabelle2[[#This Row],[Wohnimmobilien Anzahl]]/Tabelle2[[#This Row],[Bevölkerung]]</f>
        <v>0</v>
      </c>
      <c r="N63" s="53">
        <f t="shared" si="1"/>
        <v>0</v>
      </c>
      <c r="O63" s="53"/>
      <c r="P63" s="53"/>
      <c r="Q63" s="54"/>
      <c r="R63" s="54"/>
      <c r="S63" s="54"/>
      <c r="T63" s="54"/>
      <c r="U63" s="54"/>
      <c r="V63" s="54"/>
      <c r="W63" s="54"/>
      <c r="X63" s="54"/>
      <c r="Y63" s="54"/>
      <c r="Z63" s="54">
        <v>0</v>
      </c>
      <c r="AA63" s="54"/>
      <c r="AB63" s="54"/>
      <c r="AC63" s="53"/>
      <c r="AD63" s="53"/>
      <c r="AE63" s="53"/>
      <c r="AF63" s="53"/>
      <c r="AG63" s="54"/>
      <c r="AH63" s="54"/>
      <c r="AI63" s="54"/>
      <c r="AJ63" s="54"/>
      <c r="AK63" s="54"/>
      <c r="AL63" s="54"/>
      <c r="AM63" s="53"/>
      <c r="AN63" s="53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3"/>
      <c r="BE63" s="53"/>
      <c r="BF63" s="54"/>
      <c r="BG63" s="54"/>
      <c r="BH63" s="68"/>
    </row>
    <row r="64" spans="1:60" hidden="1" x14ac:dyDescent="0.3">
      <c r="B64" s="4" t="s">
        <v>123</v>
      </c>
      <c r="C64" s="5" t="s">
        <v>124</v>
      </c>
      <c r="D64" s="63">
        <v>0.3410129999999999</v>
      </c>
      <c r="E64" s="63">
        <f>Tabelle2[[#This Row],[BIP (mrd.)]]*1000000000/Tabelle2[[#This Row],[Bevölkerung]]</f>
        <v>3.724160932660344</v>
      </c>
      <c r="F64" s="63">
        <v>0.749</v>
      </c>
      <c r="G64" s="53">
        <v>1745150</v>
      </c>
      <c r="H64" s="63">
        <v>91567740</v>
      </c>
      <c r="I64" s="88"/>
      <c r="J64" s="88">
        <f>Tabelle2[[#This Row],[Strom (mrd.)]]*1000000000/Tabelle2[[#This Row],[Bevölkerung]]</f>
        <v>0</v>
      </c>
      <c r="K64" s="67"/>
      <c r="L64" s="53"/>
      <c r="M64" s="53">
        <f>Tabelle2[[#This Row],[Wohnimmobilien Anzahl]]/Tabelle2[[#This Row],[Bevölkerung]]</f>
        <v>0</v>
      </c>
      <c r="N64" s="53">
        <f t="shared" si="1"/>
        <v>0</v>
      </c>
      <c r="O64" s="53"/>
      <c r="P64" s="53"/>
      <c r="Q64" s="54"/>
      <c r="R64" s="54"/>
      <c r="S64" s="54"/>
      <c r="T64" s="54"/>
      <c r="U64" s="54"/>
      <c r="V64" s="54"/>
      <c r="W64" s="54"/>
      <c r="X64" s="54"/>
      <c r="Y64" s="54"/>
      <c r="Z64" s="54">
        <v>0</v>
      </c>
      <c r="AA64" s="54"/>
      <c r="AB64" s="54"/>
      <c r="AC64" s="53"/>
      <c r="AD64" s="53"/>
      <c r="AE64" s="53"/>
      <c r="AF64" s="53"/>
      <c r="AG64" s="54"/>
      <c r="AH64" s="54"/>
      <c r="AI64" s="54"/>
      <c r="AJ64" s="54"/>
      <c r="AK64" s="54"/>
      <c r="AL64" s="54"/>
      <c r="AM64" s="53"/>
      <c r="AN64" s="53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3"/>
      <c r="BE64" s="53"/>
      <c r="BF64" s="54"/>
      <c r="BG64" s="54"/>
      <c r="BH64" s="68"/>
    </row>
    <row r="65" spans="1:60" x14ac:dyDescent="0.3">
      <c r="A65" t="s">
        <v>588</v>
      </c>
      <c r="B65" s="11" t="s">
        <v>125</v>
      </c>
      <c r="C65" s="12" t="s">
        <v>126</v>
      </c>
      <c r="D65" s="63">
        <v>598.84</v>
      </c>
      <c r="E65" s="63">
        <f>Tabelle2[[#This Row],[BIP (mrd.)]]*1000000000/Tabelle2[[#This Row],[Bevölkerung]]</f>
        <v>111303.17122220859</v>
      </c>
      <c r="F65" s="63">
        <v>0.63200000000000001</v>
      </c>
      <c r="G65" s="53">
        <v>70280</v>
      </c>
      <c r="H65" s="63">
        <v>5380260</v>
      </c>
      <c r="I65" s="88">
        <v>32.281999999999996</v>
      </c>
      <c r="J65" s="88">
        <f>Tabelle2[[#This Row],[Strom (mrd.)]]*1000000000/Tabelle2[[#This Row],[Bevölkerung]]</f>
        <v>6000.0817804344024</v>
      </c>
      <c r="K65" s="67">
        <v>2.6</v>
      </c>
      <c r="L65" s="53">
        <v>2090000</v>
      </c>
      <c r="M65" s="63">
        <f>Tabelle2[[#This Row],[Wohnimmobilien Anzahl]]/Tabelle2[[#This Row],[Bevölkerung]]</f>
        <v>0.38845706341329228</v>
      </c>
      <c r="N65" s="53">
        <f t="shared" si="1"/>
        <v>-2089999.6115429366</v>
      </c>
      <c r="O65" s="53"/>
      <c r="P65" s="53">
        <v>1850000</v>
      </c>
      <c r="Q65" s="54"/>
      <c r="R65" s="54"/>
      <c r="S65" s="54"/>
      <c r="T65" s="54"/>
      <c r="U65" s="54"/>
      <c r="V65" s="54"/>
      <c r="W65" s="54"/>
      <c r="X65" s="54"/>
      <c r="Y65" s="54">
        <v>1</v>
      </c>
      <c r="Z65" s="54" t="s">
        <v>989</v>
      </c>
      <c r="AA65" s="54">
        <v>2112121</v>
      </c>
      <c r="AB65" s="54"/>
      <c r="AC65" s="53"/>
      <c r="AD65" s="53"/>
      <c r="AE65" s="53"/>
      <c r="AF65" s="53"/>
      <c r="AG65" s="1"/>
      <c r="AH65" s="54"/>
      <c r="AI65" s="54">
        <v>40000</v>
      </c>
      <c r="AJ65" s="54"/>
      <c r="AK65" s="54"/>
      <c r="AL65" s="54"/>
      <c r="AM65" s="53"/>
      <c r="AN65" s="53"/>
      <c r="AO65" s="54"/>
      <c r="AP65" s="54"/>
      <c r="AQ65" s="54">
        <v>42000</v>
      </c>
      <c r="AR65" s="54"/>
      <c r="AS65" s="54"/>
      <c r="AT65" s="54"/>
      <c r="AU65" s="54"/>
      <c r="AV65" s="54"/>
      <c r="AW65" s="54"/>
      <c r="AX65" s="54">
        <v>4000</v>
      </c>
      <c r="AY65" s="54"/>
      <c r="AZ65" s="54">
        <v>16000</v>
      </c>
      <c r="BA65" s="54"/>
      <c r="BB65" s="54"/>
      <c r="BC65" s="54"/>
      <c r="BD65" s="53"/>
      <c r="BE65" s="53"/>
      <c r="BF65" s="54"/>
      <c r="BG65" s="54"/>
      <c r="BH65" s="68"/>
    </row>
    <row r="66" spans="1:60" hidden="1" x14ac:dyDescent="0.3">
      <c r="B66" s="2" t="s">
        <v>127</v>
      </c>
      <c r="C66" s="3" t="s">
        <v>128</v>
      </c>
      <c r="D66" s="63">
        <v>35.308999999999997</v>
      </c>
      <c r="E66" s="63">
        <f>Tabelle2[[#This Row],[BIP (mrd.)]]*1000000000/Tabelle2[[#This Row],[Bevölkerung]]</f>
        <v>87266.750698203206</v>
      </c>
      <c r="F66" s="63">
        <v>0.93799999999999994</v>
      </c>
      <c r="G66" s="53">
        <v>103000</v>
      </c>
      <c r="H66" s="63">
        <v>404610</v>
      </c>
      <c r="I66" s="88">
        <v>19.584</v>
      </c>
      <c r="J66" s="88">
        <f>Tabelle2[[#This Row],[Strom (mrd.)]]*1000000000/Tabelle2[[#This Row],[Bevölkerung]]</f>
        <v>48402.16504782383</v>
      </c>
      <c r="K66" s="67">
        <v>2.65</v>
      </c>
      <c r="L66" s="53"/>
      <c r="M66" s="53">
        <f>Tabelle2[[#This Row],[Wohnimmobilien Anzahl]]/Tabelle2[[#This Row],[Bevölkerung]]</f>
        <v>0</v>
      </c>
      <c r="N66" s="53">
        <f t="shared" ref="N66:N97" si="2">M66-L66</f>
        <v>0</v>
      </c>
      <c r="O66" s="53"/>
      <c r="P66" s="53">
        <v>126793</v>
      </c>
      <c r="Q66" s="54"/>
      <c r="R66" s="54"/>
      <c r="S66" s="54"/>
      <c r="T66" s="54"/>
      <c r="U66" s="54"/>
      <c r="V66" s="54"/>
      <c r="W66" s="54">
        <f>149098*0.532</f>
        <v>79320.135999999999</v>
      </c>
      <c r="X66" s="54"/>
      <c r="Y66" s="54">
        <v>1</v>
      </c>
      <c r="Z66" s="54" t="s">
        <v>989</v>
      </c>
      <c r="AA66" s="54">
        <v>149098</v>
      </c>
      <c r="AB66" s="54"/>
      <c r="AC66" s="53"/>
      <c r="AD66" s="53"/>
      <c r="AE66" s="53"/>
      <c r="AF66" s="53"/>
      <c r="AG66" s="54"/>
      <c r="AH66" s="54"/>
      <c r="AI66" s="54"/>
      <c r="AJ66" s="54"/>
      <c r="AK66" s="54"/>
      <c r="AL66" s="54"/>
      <c r="AM66" s="53"/>
      <c r="AN66" s="53"/>
      <c r="AO66" s="54">
        <v>4167</v>
      </c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3"/>
      <c r="BE66" s="53"/>
      <c r="BF66" s="54"/>
      <c r="BG66" s="54"/>
      <c r="BH66" s="68"/>
    </row>
    <row r="67" spans="1:60" hidden="1" x14ac:dyDescent="0.3">
      <c r="B67" s="17" t="s">
        <v>129</v>
      </c>
      <c r="C67" s="18" t="s">
        <v>130</v>
      </c>
      <c r="D67" s="63">
        <v>0.58336100000000002</v>
      </c>
      <c r="E67" s="63">
        <f>Tabelle2[[#This Row],[BIP (mrd.)]]*1000000000/Tabelle2[[#This Row],[Bevölkerung]]</f>
        <v>58.485823708694255</v>
      </c>
      <c r="F67" s="63">
        <v>0.92400000000000004</v>
      </c>
      <c r="G67" s="53">
        <v>22070</v>
      </c>
      <c r="H67" s="63">
        <v>9974400</v>
      </c>
      <c r="I67" s="88"/>
      <c r="J67" s="88">
        <f>Tabelle2[[#This Row],[Strom (mrd.)]]*1000000000/Tabelle2[[#This Row],[Bevölkerung]]</f>
        <v>0</v>
      </c>
      <c r="K67" s="67"/>
      <c r="L67" s="53"/>
      <c r="M67" s="53">
        <f>Tabelle2[[#This Row],[Wohnimmobilien Anzahl]]/Tabelle2[[#This Row],[Bevölkerung]]</f>
        <v>0</v>
      </c>
      <c r="N67" s="53">
        <f t="shared" si="2"/>
        <v>0</v>
      </c>
      <c r="O67" s="53"/>
      <c r="P67" s="53"/>
      <c r="Q67" s="54"/>
      <c r="R67" s="54"/>
      <c r="S67" s="54"/>
      <c r="T67" s="54"/>
      <c r="U67" s="54"/>
      <c r="V67" s="54"/>
      <c r="W67" s="54"/>
      <c r="X67" s="54"/>
      <c r="Y67" s="54"/>
      <c r="Z67" s="54">
        <v>1</v>
      </c>
      <c r="AA67" s="54"/>
      <c r="AB67" s="54"/>
      <c r="AC67" s="53"/>
      <c r="AD67" s="53"/>
      <c r="AE67" s="53"/>
      <c r="AF67" s="53"/>
      <c r="AG67" s="56"/>
      <c r="AH67" s="54"/>
      <c r="AI67" s="54"/>
      <c r="AJ67" s="54"/>
      <c r="AK67" s="54"/>
      <c r="AL67" s="54"/>
      <c r="AM67" s="53"/>
      <c r="AN67" s="53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3"/>
      <c r="BE67" s="53"/>
      <c r="BF67" s="54"/>
      <c r="BG67" s="54"/>
      <c r="BH67" s="68"/>
    </row>
    <row r="68" spans="1:60" x14ac:dyDescent="0.3">
      <c r="A68" t="s">
        <v>588</v>
      </c>
      <c r="B68" s="13" t="s">
        <v>131</v>
      </c>
      <c r="C68" s="14" t="s">
        <v>132</v>
      </c>
      <c r="D68" s="63">
        <v>2422.855</v>
      </c>
      <c r="E68" s="63">
        <f>Tabelle2[[#This Row],[BIP (mrd.)]]*1000000000/Tabelle2[[#This Row],[Bevölkerung]]</f>
        <v>41075.071686477575</v>
      </c>
      <c r="F68" s="63">
        <v>0.70399999999999996</v>
      </c>
      <c r="G68" s="53">
        <v>302070</v>
      </c>
      <c r="H68" s="63">
        <v>58986020</v>
      </c>
      <c r="I68" s="88">
        <v>290.66399999999999</v>
      </c>
      <c r="J68" s="88">
        <f>Tabelle2[[#This Row],[Strom (mrd.)]]*1000000000/Tabelle2[[#This Row],[Bevölkerung]]</f>
        <v>4927.6760832482005</v>
      </c>
      <c r="K68" s="67">
        <v>2.2000000000000002</v>
      </c>
      <c r="L68" s="53">
        <v>14060000</v>
      </c>
      <c r="M68" s="63">
        <f>Tabelle2[[#This Row],[Wohnimmobilien Anzahl]]/Tabelle2[[#This Row],[Bevölkerung]]</f>
        <v>0.23836156431642616</v>
      </c>
      <c r="N68" s="53">
        <f t="shared" si="2"/>
        <v>-14059999.761638436</v>
      </c>
      <c r="O68" s="53"/>
      <c r="P68" s="53">
        <v>25690057</v>
      </c>
      <c r="Q68" s="54"/>
      <c r="R68" s="54"/>
      <c r="S68" s="54"/>
      <c r="T68" s="54"/>
      <c r="U68" s="54"/>
      <c r="V68" s="54"/>
      <c r="W68" s="54"/>
      <c r="X68" s="54"/>
      <c r="Y68" s="54">
        <v>1</v>
      </c>
      <c r="Z68" s="54" t="s">
        <v>989</v>
      </c>
      <c r="AA68" s="54">
        <v>35271829</v>
      </c>
      <c r="AB68" s="54"/>
      <c r="AC68" s="53"/>
      <c r="AD68" s="53"/>
      <c r="AE68" s="53"/>
      <c r="AF68" s="53"/>
      <c r="AG68" s="54"/>
      <c r="AH68" s="54"/>
      <c r="AI68" s="54"/>
      <c r="AJ68" s="54"/>
      <c r="AK68" s="54"/>
      <c r="AL68" s="54"/>
      <c r="AM68" s="53"/>
      <c r="AN68" s="53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3"/>
      <c r="BE68" s="53"/>
      <c r="BF68" s="54"/>
      <c r="BG68" s="54"/>
      <c r="BH68" s="68"/>
    </row>
    <row r="69" spans="1:60" x14ac:dyDescent="0.3">
      <c r="A69" t="s">
        <v>588</v>
      </c>
      <c r="B69" s="2" t="s">
        <v>133</v>
      </c>
      <c r="C69" s="3" t="s">
        <v>134</v>
      </c>
      <c r="D69" s="63">
        <v>21.411000000000001</v>
      </c>
      <c r="E69" s="63">
        <f>Tabelle2[[#This Row],[BIP (mrd.)]]*1000000000/Tabelle2[[#This Row],[Bevölkerung]]</f>
        <v>7541.2619136511248</v>
      </c>
      <c r="F69" s="63">
        <v>0.55700000000000005</v>
      </c>
      <c r="G69" s="53">
        <v>10990</v>
      </c>
      <c r="H69" s="63">
        <v>2839180</v>
      </c>
      <c r="I69" s="88">
        <v>3.3010000000000002</v>
      </c>
      <c r="J69" s="88">
        <f>Tabelle2[[#This Row],[Strom (mrd.)]]*1000000000/Tabelle2[[#This Row],[Bevölkerung]]</f>
        <v>1162.659641163998</v>
      </c>
      <c r="K69" s="67">
        <v>2.95</v>
      </c>
      <c r="L69" s="53">
        <v>711331</v>
      </c>
      <c r="M69" s="63">
        <f>Tabelle2[[#This Row],[Wohnimmobilien Anzahl]]/Tabelle2[[#This Row],[Bevölkerung]]</f>
        <v>0.25054100127501605</v>
      </c>
      <c r="N69" s="53">
        <f t="shared" si="2"/>
        <v>-711330.74945899867</v>
      </c>
      <c r="O69" s="53"/>
      <c r="P69" s="53"/>
      <c r="Q69" s="54"/>
      <c r="R69" s="54"/>
      <c r="S69" s="54"/>
      <c r="T69" s="54"/>
      <c r="U69" s="54"/>
      <c r="V69" s="54"/>
      <c r="W69" s="54"/>
      <c r="X69" s="54"/>
      <c r="Y69" s="54">
        <v>0</v>
      </c>
      <c r="Z69" s="54" t="s">
        <v>988</v>
      </c>
      <c r="AA69" s="54">
        <v>853668</v>
      </c>
      <c r="AB69" s="54"/>
      <c r="AC69" s="53"/>
      <c r="AD69" s="53"/>
      <c r="AE69" s="53"/>
      <c r="AF69" s="53"/>
      <c r="AG69" s="54"/>
      <c r="AH69" s="54"/>
      <c r="AI69" s="54"/>
      <c r="AJ69" s="54"/>
      <c r="AK69" s="54"/>
      <c r="AL69" s="54"/>
      <c r="AM69" s="53"/>
      <c r="AN69" s="53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3"/>
      <c r="BE69" s="53"/>
      <c r="BF69" s="54"/>
      <c r="BG69" s="54"/>
      <c r="BH69" s="68"/>
    </row>
    <row r="70" spans="1:60" hidden="1" x14ac:dyDescent="0.3">
      <c r="B70" s="9" t="s">
        <v>135</v>
      </c>
      <c r="C70" s="10" t="s">
        <v>136</v>
      </c>
      <c r="D70" s="63">
        <v>4186.4309999999996</v>
      </c>
      <c r="E70" s="63">
        <f>Tabelle2[[#This Row],[BIP (mrd.)]]*1000000000/Tabelle2[[#This Row],[Bevölkerung]]</f>
        <v>33768.247676937761</v>
      </c>
      <c r="F70" s="63">
        <v>0.91600000000000004</v>
      </c>
      <c r="G70" s="53">
        <v>377969</v>
      </c>
      <c r="H70" s="63">
        <v>123975370</v>
      </c>
      <c r="I70" s="88">
        <v>902.76900000000001</v>
      </c>
      <c r="J70" s="88">
        <f>Tabelle2[[#This Row],[Strom (mrd.)]]*1000000000/Tabelle2[[#This Row],[Bevölkerung]]</f>
        <v>7281.8415464297468</v>
      </c>
      <c r="K70" s="67">
        <v>2.2599999999999998</v>
      </c>
      <c r="L70" s="53"/>
      <c r="M70" s="53">
        <f>Tabelle2[[#This Row],[Wohnimmobilien Anzahl]]/Tabelle2[[#This Row],[Bevölkerung]]</f>
        <v>0</v>
      </c>
      <c r="N70" s="53">
        <f t="shared" si="2"/>
        <v>0</v>
      </c>
      <c r="O70" s="53"/>
      <c r="P70" s="53"/>
      <c r="Q70" s="54">
        <v>29319000</v>
      </c>
      <c r="R70" s="54"/>
      <c r="S70" s="54"/>
      <c r="T70" s="54"/>
      <c r="U70" s="54">
        <v>1265000</v>
      </c>
      <c r="V70" s="54"/>
      <c r="W70" s="54"/>
      <c r="X70" s="54">
        <v>24968000</v>
      </c>
      <c r="Y70" s="54">
        <v>1</v>
      </c>
      <c r="Z70" s="54" t="s">
        <v>989</v>
      </c>
      <c r="AA70" s="54">
        <v>65047000</v>
      </c>
      <c r="AB70" s="54"/>
      <c r="AC70" s="53"/>
      <c r="AD70" s="53"/>
      <c r="AE70" s="53"/>
      <c r="AF70" s="53"/>
      <c r="AG70" s="54"/>
      <c r="AH70" s="54"/>
      <c r="AI70" s="54"/>
      <c r="AJ70" s="54"/>
      <c r="AK70" s="54"/>
      <c r="AL70" s="54"/>
      <c r="AM70" s="53"/>
      <c r="AN70" s="53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3"/>
      <c r="BE70" s="53"/>
      <c r="BF70" s="54"/>
      <c r="BG70" s="54"/>
      <c r="BH70" s="68"/>
    </row>
    <row r="71" spans="1:60" hidden="1" x14ac:dyDescent="0.3">
      <c r="B71" s="4" t="s">
        <v>137</v>
      </c>
      <c r="C71" s="5" t="s">
        <v>138</v>
      </c>
      <c r="D71" s="63">
        <v>1.7401E-2</v>
      </c>
      <c r="E71" s="63">
        <f>Tabelle2[[#This Row],[BIP (mrd.)]]*1000000000/Tabelle2[[#This Row],[Bevölkerung]]</f>
        <v>0.42877390523557063</v>
      </c>
      <c r="F71" s="63">
        <v>0.36599999999999999</v>
      </c>
      <c r="G71" s="53">
        <v>527970</v>
      </c>
      <c r="H71" s="63">
        <v>40583160</v>
      </c>
      <c r="I71" s="88"/>
      <c r="J71" s="88">
        <f>Tabelle2[[#This Row],[Strom (mrd.)]]*1000000000/Tabelle2[[#This Row],[Bevölkerung]]</f>
        <v>0</v>
      </c>
      <c r="K71" s="67"/>
      <c r="L71" s="53"/>
      <c r="M71" s="53">
        <f>Tabelle2[[#This Row],[Wohnimmobilien Anzahl]]/Tabelle2[[#This Row],[Bevölkerung]]</f>
        <v>0</v>
      </c>
      <c r="N71" s="53">
        <f t="shared" si="2"/>
        <v>0</v>
      </c>
      <c r="O71" s="53"/>
      <c r="P71" s="53"/>
      <c r="Q71" s="54"/>
      <c r="R71" s="54"/>
      <c r="S71" s="54"/>
      <c r="T71" s="54"/>
      <c r="U71" s="54"/>
      <c r="V71" s="54"/>
      <c r="W71" s="54"/>
      <c r="X71" s="54"/>
      <c r="Y71" s="54"/>
      <c r="Z71" s="54">
        <v>0</v>
      </c>
      <c r="AA71" s="54"/>
      <c r="AB71" s="54"/>
      <c r="AC71" s="53"/>
      <c r="AD71" s="53"/>
      <c r="AE71" s="53"/>
      <c r="AF71" s="53"/>
      <c r="AG71" s="54"/>
      <c r="AH71" s="54"/>
      <c r="AI71" s="54"/>
      <c r="AJ71" s="54"/>
      <c r="AK71" s="54"/>
      <c r="AL71" s="54"/>
      <c r="AM71" s="53"/>
      <c r="AN71" s="53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3"/>
      <c r="BE71" s="53"/>
      <c r="BF71" s="54"/>
      <c r="BG71" s="54"/>
      <c r="BH71" s="68"/>
    </row>
    <row r="72" spans="1:60" hidden="1" x14ac:dyDescent="0.3">
      <c r="B72" s="22" t="s">
        <v>139</v>
      </c>
      <c r="C72" s="23" t="s">
        <v>140</v>
      </c>
      <c r="D72" s="63">
        <v>56.101999999999997</v>
      </c>
      <c r="E72" s="63">
        <f>Tabelle2[[#This Row],[BIP (mrd.)]]*1000000000/Tabelle2[[#This Row],[Bevölkerung]]</f>
        <v>4856.1051443449596</v>
      </c>
      <c r="F72" s="63">
        <v>0.91</v>
      </c>
      <c r="G72" s="53">
        <v>89318</v>
      </c>
      <c r="H72" s="63">
        <v>11552880</v>
      </c>
      <c r="I72" s="88">
        <v>20.309999999999999</v>
      </c>
      <c r="J72" s="88">
        <f>Tabelle2[[#This Row],[Strom (mrd.)]]*1000000000/Tabelle2[[#This Row],[Bevölkerung]]</f>
        <v>1758.0031992022768</v>
      </c>
      <c r="K72" s="67">
        <v>4.72</v>
      </c>
      <c r="L72" s="53"/>
      <c r="M72" s="53">
        <f>Tabelle2[[#This Row],[Wohnimmobilien Anzahl]]/Tabelle2[[#This Row],[Bevölkerung]]</f>
        <v>0</v>
      </c>
      <c r="N72" s="53">
        <f t="shared" si="2"/>
        <v>0</v>
      </c>
      <c r="O72" s="53"/>
      <c r="P72" s="53">
        <v>1918199</v>
      </c>
      <c r="Q72" s="54"/>
      <c r="R72" s="54"/>
      <c r="S72" s="54"/>
      <c r="T72" s="54"/>
      <c r="U72" s="54"/>
      <c r="V72" s="54"/>
      <c r="W72" s="54"/>
      <c r="X72" s="54"/>
      <c r="Y72" s="54">
        <v>0</v>
      </c>
      <c r="Z72" s="54" t="s">
        <v>990</v>
      </c>
      <c r="AA72" s="54">
        <v>2350490</v>
      </c>
      <c r="AB72" s="54"/>
      <c r="AC72" s="53"/>
      <c r="AD72" s="53"/>
      <c r="AE72" s="53"/>
      <c r="AF72" s="53"/>
      <c r="AG72" s="54"/>
      <c r="AH72" s="54"/>
      <c r="AI72" s="54"/>
      <c r="AJ72" s="54"/>
      <c r="AK72" s="54"/>
      <c r="AL72" s="54"/>
      <c r="AM72" s="53"/>
      <c r="AN72" s="53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3"/>
      <c r="BE72" s="53"/>
      <c r="BF72" s="54"/>
      <c r="BG72" s="54"/>
      <c r="BH72" s="68"/>
    </row>
    <row r="73" spans="1:60" x14ac:dyDescent="0.3">
      <c r="A73" t="s">
        <v>588</v>
      </c>
      <c r="B73" s="4" t="s">
        <v>141</v>
      </c>
      <c r="C73" s="5" t="s">
        <v>142</v>
      </c>
      <c r="D73" s="63">
        <v>4.9798999999999996E-2</v>
      </c>
      <c r="E73" s="63">
        <f>Tabelle2[[#This Row],[BIP (mrd.)]]*1000000000/Tabelle2[[#This Row],[Bevölkerung]]</f>
        <v>2.8232646211760435</v>
      </c>
      <c r="F73" s="63">
        <v>0.23400000000000001</v>
      </c>
      <c r="G73" s="53">
        <v>181040</v>
      </c>
      <c r="H73" s="63">
        <v>17638800</v>
      </c>
      <c r="I73" s="88">
        <v>16.998000000000001</v>
      </c>
      <c r="J73" s="88">
        <f>Tabelle2[[#This Row],[Strom (mrd.)]]*1000000000/Tabelle2[[#This Row],[Bevölkerung]]</f>
        <v>963.67099802707673</v>
      </c>
      <c r="K73" s="67">
        <v>4.1399999999999997</v>
      </c>
      <c r="L73" s="53">
        <f>3181372*0.93</f>
        <v>2958675.96</v>
      </c>
      <c r="M73" s="63">
        <f>Tabelle2[[#This Row],[Wohnimmobilien Anzahl]]/Tabelle2[[#This Row],[Bevölkerung]]</f>
        <v>0.16773680522484521</v>
      </c>
      <c r="N73" s="53">
        <f t="shared" si="2"/>
        <v>-2958675.7922631949</v>
      </c>
      <c r="O73" s="53"/>
      <c r="P73" s="53"/>
      <c r="Q73" s="54"/>
      <c r="R73" s="54"/>
      <c r="S73" s="54"/>
      <c r="T73" s="54"/>
      <c r="U73" s="54"/>
      <c r="V73" s="54"/>
      <c r="W73" s="54"/>
      <c r="X73" s="54"/>
      <c r="Y73" s="54"/>
      <c r="Z73" s="54">
        <v>0</v>
      </c>
      <c r="AA73" s="54"/>
      <c r="AB73" s="54"/>
      <c r="AC73" s="53"/>
      <c r="AD73" s="53"/>
      <c r="AE73" s="53"/>
      <c r="AF73" s="53"/>
      <c r="AG73" s="54"/>
      <c r="AH73" s="54"/>
      <c r="AI73" s="54"/>
      <c r="AJ73" s="54"/>
      <c r="AK73" s="54"/>
      <c r="AL73" s="54"/>
      <c r="AM73" s="53"/>
      <c r="AN73" s="53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3"/>
      <c r="BE73" s="53"/>
      <c r="BF73" s="54"/>
      <c r="BG73" s="54"/>
      <c r="BH73" s="68"/>
    </row>
    <row r="74" spans="1:60" hidden="1" x14ac:dyDescent="0.3">
      <c r="B74" s="2" t="s">
        <v>143</v>
      </c>
      <c r="C74" s="3" t="s">
        <v>144</v>
      </c>
      <c r="D74" s="63">
        <v>5.6010999999999998E-2</v>
      </c>
      <c r="E74" s="63">
        <f>Tabelle2[[#This Row],[BIP (mrd.)]]*1000000000/Tabelle2[[#This Row],[Bevölkerung]]</f>
        <v>1.9232076649496253</v>
      </c>
      <c r="F74" s="63">
        <v>0.56399999999999995</v>
      </c>
      <c r="G74" s="53">
        <v>475440</v>
      </c>
      <c r="H74" s="63">
        <v>29123740</v>
      </c>
      <c r="I74" s="88"/>
      <c r="J74" s="88">
        <f>Tabelle2[[#This Row],[Strom (mrd.)]]*1000000000/Tabelle2[[#This Row],[Bevölkerung]]</f>
        <v>0</v>
      </c>
      <c r="K74" s="67"/>
      <c r="L74" s="53"/>
      <c r="M74" s="53">
        <f>Tabelle2[[#This Row],[Wohnimmobilien Anzahl]]/Tabelle2[[#This Row],[Bevölkerung]]</f>
        <v>0</v>
      </c>
      <c r="N74" s="53">
        <f t="shared" si="2"/>
        <v>0</v>
      </c>
      <c r="O74" s="53"/>
      <c r="P74" s="53"/>
      <c r="Q74" s="54"/>
      <c r="R74" s="54"/>
      <c r="S74" s="54"/>
      <c r="T74" s="54"/>
      <c r="U74" s="54"/>
      <c r="V74" s="54"/>
      <c r="W74" s="54"/>
      <c r="X74" s="54"/>
      <c r="Y74" s="54"/>
      <c r="Z74" s="54">
        <v>0</v>
      </c>
      <c r="AA74" s="54"/>
      <c r="AB74" s="54"/>
      <c r="AC74" s="53"/>
      <c r="AD74" s="53"/>
      <c r="AE74" s="53"/>
      <c r="AF74" s="53"/>
      <c r="AG74" s="54"/>
      <c r="AH74" s="54"/>
      <c r="AI74" s="54"/>
      <c r="AJ74" s="54"/>
      <c r="AK74" s="54"/>
      <c r="AL74" s="54"/>
      <c r="AM74" s="53"/>
      <c r="AN74" s="53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3"/>
      <c r="BE74" s="53"/>
      <c r="BF74" s="54"/>
      <c r="BG74" s="54"/>
      <c r="BH74" s="68"/>
    </row>
    <row r="75" spans="1:60" hidden="1" x14ac:dyDescent="0.3">
      <c r="B75" s="9" t="s">
        <v>145</v>
      </c>
      <c r="C75" s="10" t="s">
        <v>146</v>
      </c>
      <c r="D75" s="63">
        <v>2225.3409999999999</v>
      </c>
      <c r="E75" s="63">
        <f>Tabelle2[[#This Row],[BIP (mrd.)]]*1000000000/Tabelle2[[#This Row],[Bevölkerung]]</f>
        <v>53897.225868641704</v>
      </c>
      <c r="F75" s="63">
        <v>0.81399999999999995</v>
      </c>
      <c r="G75" s="53">
        <v>15634410</v>
      </c>
      <c r="H75" s="63">
        <v>41288600</v>
      </c>
      <c r="I75" s="88">
        <v>555.68299999999999</v>
      </c>
      <c r="J75" s="88">
        <f>Tabelle2[[#This Row],[Strom (mrd.)]]*1000000000/Tabelle2[[#This Row],[Bevölkerung]]</f>
        <v>13458.509128427702</v>
      </c>
      <c r="K75" s="67">
        <v>2.4500000000000002</v>
      </c>
      <c r="L75" s="53"/>
      <c r="M75" s="53">
        <f>Tabelle2[[#This Row],[Wohnimmobilien Anzahl]]/Tabelle2[[#This Row],[Bevölkerung]]</f>
        <v>0</v>
      </c>
      <c r="N75" s="53">
        <f t="shared" si="2"/>
        <v>0</v>
      </c>
      <c r="O75" s="53"/>
      <c r="P75" s="53">
        <v>14978941</v>
      </c>
      <c r="Q75" s="54"/>
      <c r="R75" s="54"/>
      <c r="S75" s="54"/>
      <c r="T75" s="54"/>
      <c r="U75" s="54"/>
      <c r="V75" s="54"/>
      <c r="W75" s="54"/>
      <c r="X75" s="54"/>
      <c r="Y75" s="54">
        <v>1</v>
      </c>
      <c r="Z75" s="54" t="s">
        <v>989</v>
      </c>
      <c r="AA75" s="54">
        <v>16284235</v>
      </c>
      <c r="AB75" s="54"/>
      <c r="AC75" s="53">
        <v>564068</v>
      </c>
      <c r="AD75" s="53">
        <v>784800000</v>
      </c>
      <c r="AE75" s="53"/>
      <c r="AF75" s="53"/>
      <c r="AG75" s="54">
        <v>78755</v>
      </c>
      <c r="AH75" s="54">
        <v>101500000</v>
      </c>
      <c r="AI75" s="54"/>
      <c r="AJ75" s="54"/>
      <c r="AK75" s="54"/>
      <c r="AL75" s="54"/>
      <c r="AM75" s="53"/>
      <c r="AN75" s="53"/>
      <c r="AO75" s="54"/>
      <c r="AP75" s="54"/>
      <c r="AQ75" s="54"/>
      <c r="AR75" s="54"/>
      <c r="AS75" s="54"/>
      <c r="AT75" s="54"/>
      <c r="AU75" s="54"/>
      <c r="AV75" s="54"/>
      <c r="AW75" s="54"/>
      <c r="AX75" s="54">
        <v>10058</v>
      </c>
      <c r="AY75" s="54">
        <v>24600000</v>
      </c>
      <c r="AZ75" s="54">
        <v>47988</v>
      </c>
      <c r="BA75" s="54">
        <v>13400000</v>
      </c>
      <c r="BB75" s="54"/>
      <c r="BC75" s="54"/>
      <c r="BD75" s="53"/>
      <c r="BE75" s="53"/>
      <c r="BF75" s="54"/>
      <c r="BG75" s="54"/>
      <c r="BH75" s="68"/>
    </row>
    <row r="76" spans="1:60" hidden="1" x14ac:dyDescent="0.3">
      <c r="B76" s="2" t="s">
        <v>147</v>
      </c>
      <c r="C76" s="3" t="s">
        <v>148</v>
      </c>
      <c r="D76" s="63">
        <v>2.7859999999999998E-3</v>
      </c>
      <c r="E76" s="63">
        <f>Tabelle2[[#This Row],[BIP (mrd.)]]*1000000000/Tabelle2[[#This Row],[Bevölkerung]]</f>
        <v>5.3078798963572629</v>
      </c>
      <c r="F76" s="63">
        <v>0.65700000000000003</v>
      </c>
      <c r="G76" s="53">
        <v>4030</v>
      </c>
      <c r="H76" s="63">
        <v>524880</v>
      </c>
      <c r="I76" s="88"/>
      <c r="J76" s="88">
        <f>Tabelle2[[#This Row],[Strom (mrd.)]]*1000000000/Tabelle2[[#This Row],[Bevölkerung]]</f>
        <v>0</v>
      </c>
      <c r="K76" s="67"/>
      <c r="L76" s="53"/>
      <c r="M76" s="53">
        <f>Tabelle2[[#This Row],[Wohnimmobilien Anzahl]]/Tabelle2[[#This Row],[Bevölkerung]]</f>
        <v>0</v>
      </c>
      <c r="N76" s="53">
        <f t="shared" si="2"/>
        <v>0</v>
      </c>
      <c r="O76" s="53"/>
      <c r="P76" s="53"/>
      <c r="Q76" s="54"/>
      <c r="R76" s="54"/>
      <c r="S76" s="54"/>
      <c r="T76" s="54"/>
      <c r="U76" s="54"/>
      <c r="V76" s="54"/>
      <c r="W76" s="54"/>
      <c r="X76" s="54"/>
      <c r="Y76" s="54"/>
      <c r="Z76" s="54">
        <v>0</v>
      </c>
      <c r="AA76" s="54"/>
      <c r="AB76" s="54"/>
      <c r="AC76" s="53"/>
      <c r="AD76" s="53"/>
      <c r="AE76" s="53"/>
      <c r="AF76" s="53"/>
      <c r="AG76" s="54"/>
      <c r="AH76" s="54"/>
      <c r="AI76" s="54"/>
      <c r="AJ76" s="54"/>
      <c r="AK76" s="54"/>
      <c r="AL76" s="54"/>
      <c r="AM76" s="53"/>
      <c r="AN76" s="53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3"/>
      <c r="BE76" s="53"/>
      <c r="BF76" s="54"/>
      <c r="BG76" s="54"/>
      <c r="BH76" s="68"/>
    </row>
    <row r="77" spans="1:60" hidden="1" x14ac:dyDescent="0.3">
      <c r="B77" s="4" t="s">
        <v>149</v>
      </c>
      <c r="C77" s="5" t="s">
        <v>150</v>
      </c>
      <c r="D77" s="63">
        <v>0.30053800000000003</v>
      </c>
      <c r="E77" s="63">
        <f>Tabelle2[[#This Row],[BIP (mrd.)]]*1000000000/Tabelle2[[#This Row],[Bevölkerung]]</f>
        <v>14.594487234959017</v>
      </c>
      <c r="F77" s="63">
        <v>0.57399999999999995</v>
      </c>
      <c r="G77" s="53">
        <v>2724902</v>
      </c>
      <c r="H77" s="63">
        <v>20592570</v>
      </c>
      <c r="I77" s="88"/>
      <c r="J77" s="88">
        <f>Tabelle2[[#This Row],[Strom (mrd.)]]*1000000000/Tabelle2[[#This Row],[Bevölkerung]]</f>
        <v>0</v>
      </c>
      <c r="K77" s="67"/>
      <c r="L77" s="53"/>
      <c r="M77" s="53">
        <f>Tabelle2[[#This Row],[Wohnimmobilien Anzahl]]/Tabelle2[[#This Row],[Bevölkerung]]</f>
        <v>0</v>
      </c>
      <c r="N77" s="53">
        <f t="shared" si="2"/>
        <v>0</v>
      </c>
      <c r="O77" s="53"/>
      <c r="P77" s="53"/>
      <c r="Q77" s="54"/>
      <c r="R77" s="54"/>
      <c r="S77" s="54"/>
      <c r="T77" s="54"/>
      <c r="U77" s="54"/>
      <c r="V77" s="54"/>
      <c r="W77" s="54"/>
      <c r="X77" s="54"/>
      <c r="Y77" s="54"/>
      <c r="Z77" s="54">
        <v>0</v>
      </c>
      <c r="AA77" s="54"/>
      <c r="AB77" s="54"/>
      <c r="AC77" s="53"/>
      <c r="AD77" s="53"/>
      <c r="AE77" s="53"/>
      <c r="AF77" s="53"/>
      <c r="AG77" s="54"/>
      <c r="AH77" s="54"/>
      <c r="AI77" s="54"/>
      <c r="AJ77" s="54"/>
      <c r="AK77" s="54"/>
      <c r="AL77" s="54"/>
      <c r="AM77" s="53"/>
      <c r="AN77" s="53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3"/>
      <c r="BE77" s="53"/>
      <c r="BF77" s="54"/>
      <c r="BG77" s="54"/>
      <c r="BH77" s="68"/>
    </row>
    <row r="78" spans="1:60" hidden="1" x14ac:dyDescent="0.3">
      <c r="B78" s="22" t="s">
        <v>151</v>
      </c>
      <c r="C78" s="23" t="s">
        <v>152</v>
      </c>
      <c r="D78" s="63">
        <v>0.222776</v>
      </c>
      <c r="E78" s="63">
        <f>Tabelle2[[#This Row],[BIP (mrd.)]]*1000000000/Tabelle2[[#This Row],[Bevölkerung]]</f>
        <v>77.953125109349088</v>
      </c>
      <c r="F78" s="63">
        <v>0.99099999999999999</v>
      </c>
      <c r="G78" s="53">
        <v>11490</v>
      </c>
      <c r="H78" s="63">
        <v>2857820</v>
      </c>
      <c r="I78" s="88"/>
      <c r="J78" s="88">
        <f>Tabelle2[[#This Row],[Strom (mrd.)]]*1000000000/Tabelle2[[#This Row],[Bevölkerung]]</f>
        <v>0</v>
      </c>
      <c r="K78" s="67"/>
      <c r="L78" s="53"/>
      <c r="M78" s="53">
        <f>Tabelle2[[#This Row],[Wohnimmobilien Anzahl]]/Tabelle2[[#This Row],[Bevölkerung]]</f>
        <v>0</v>
      </c>
      <c r="N78" s="53">
        <f t="shared" si="2"/>
        <v>0</v>
      </c>
      <c r="O78" s="53"/>
      <c r="P78" s="53"/>
      <c r="Q78" s="54"/>
      <c r="R78" s="54"/>
      <c r="S78" s="54"/>
      <c r="T78" s="54"/>
      <c r="U78" s="54"/>
      <c r="V78" s="54"/>
      <c r="W78" s="54"/>
      <c r="X78" s="54"/>
      <c r="Y78" s="54"/>
      <c r="Z78" s="54">
        <v>0</v>
      </c>
      <c r="AA78" s="54"/>
      <c r="AB78" s="54"/>
      <c r="AC78" s="53"/>
      <c r="AD78" s="53"/>
      <c r="AE78" s="53"/>
      <c r="AF78" s="53"/>
      <c r="AG78" s="54"/>
      <c r="AH78" s="54"/>
      <c r="AI78" s="54"/>
      <c r="AJ78" s="54"/>
      <c r="AK78" s="54"/>
      <c r="AL78" s="54"/>
      <c r="AM78" s="53"/>
      <c r="AN78" s="53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3"/>
      <c r="BE78" s="53"/>
      <c r="BF78" s="54"/>
      <c r="BG78" s="54"/>
      <c r="BH78" s="68"/>
    </row>
    <row r="79" spans="1:60" hidden="1" x14ac:dyDescent="0.3">
      <c r="B79" s="19" t="s">
        <v>153</v>
      </c>
      <c r="C79" s="20" t="s">
        <v>154</v>
      </c>
      <c r="D79" s="63">
        <v>0.13167299999999998</v>
      </c>
      <c r="E79" s="63">
        <f>Tabelle2[[#This Row],[BIP (mrd.)]]*1000000000/Tabelle2[[#This Row],[Bevölkerung]]</f>
        <v>2.3332649335653963</v>
      </c>
      <c r="F79" s="63">
        <v>0.27</v>
      </c>
      <c r="G79" s="53">
        <v>591969</v>
      </c>
      <c r="H79" s="63">
        <v>56432940</v>
      </c>
      <c r="I79" s="88"/>
      <c r="J79" s="88">
        <f>Tabelle2[[#This Row],[Strom (mrd.)]]*1000000000/Tabelle2[[#This Row],[Bevölkerung]]</f>
        <v>0</v>
      </c>
      <c r="K79" s="67"/>
      <c r="L79" s="53"/>
      <c r="M79" s="53">
        <f>Tabelle2[[#This Row],[Wohnimmobilien Anzahl]]/Tabelle2[[#This Row],[Bevölkerung]]</f>
        <v>0</v>
      </c>
      <c r="N79" s="53">
        <f t="shared" si="2"/>
        <v>0</v>
      </c>
      <c r="O79" s="53"/>
      <c r="P79" s="53"/>
      <c r="Q79" s="54"/>
      <c r="R79" s="54"/>
      <c r="S79" s="54"/>
      <c r="T79" s="54"/>
      <c r="U79" s="54"/>
      <c r="V79" s="54"/>
      <c r="W79" s="54"/>
      <c r="X79" s="54"/>
      <c r="Y79" s="54"/>
      <c r="Z79" s="54">
        <v>0</v>
      </c>
      <c r="AA79" s="54"/>
      <c r="AB79" s="54"/>
      <c r="AC79" s="53"/>
      <c r="AD79" s="53"/>
      <c r="AE79" s="53"/>
      <c r="AF79" s="53"/>
      <c r="AG79" s="54"/>
      <c r="AH79" s="54"/>
      <c r="AI79" s="54"/>
      <c r="AJ79" s="54"/>
      <c r="AK79" s="54"/>
      <c r="AL79" s="54"/>
      <c r="AM79" s="53"/>
      <c r="AN79" s="53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3"/>
      <c r="BE79" s="53"/>
      <c r="BF79" s="54"/>
      <c r="BG79" s="54"/>
      <c r="BH79" s="68"/>
    </row>
    <row r="80" spans="1:60" hidden="1" x14ac:dyDescent="0.3">
      <c r="B80" s="2" t="s">
        <v>155</v>
      </c>
      <c r="C80" s="3" t="s">
        <v>156</v>
      </c>
      <c r="D80" s="63">
        <v>1.9848999999999999E-2</v>
      </c>
      <c r="E80" s="63">
        <f>Tabelle2[[#This Row],[BIP (mrd.)]]*1000000000/Tabelle2[[#This Row],[Bevölkerung]]</f>
        <v>2.7474147393423314</v>
      </c>
      <c r="F80" s="63">
        <v>0.36199999999999999</v>
      </c>
      <c r="G80" s="53">
        <v>199950</v>
      </c>
      <c r="H80" s="63">
        <v>7224610</v>
      </c>
      <c r="I80" s="88"/>
      <c r="J80" s="88">
        <f>Tabelle2[[#This Row],[Strom (mrd.)]]*1000000000/Tabelle2[[#This Row],[Bevölkerung]]</f>
        <v>0</v>
      </c>
      <c r="K80" s="67"/>
      <c r="L80" s="53"/>
      <c r="M80" s="53">
        <f>Tabelle2[[#This Row],[Wohnimmobilien Anzahl]]/Tabelle2[[#This Row],[Bevölkerung]]</f>
        <v>0</v>
      </c>
      <c r="N80" s="53">
        <f t="shared" si="2"/>
        <v>0</v>
      </c>
      <c r="O80" s="53"/>
      <c r="P80" s="53"/>
      <c r="Q80" s="54"/>
      <c r="R80" s="54"/>
      <c r="S80" s="54"/>
      <c r="T80" s="54"/>
      <c r="U80" s="54"/>
      <c r="V80" s="54"/>
      <c r="W80" s="54"/>
      <c r="X80" s="54"/>
      <c r="Y80" s="54"/>
      <c r="Z80" s="54">
        <v>0</v>
      </c>
      <c r="AA80" s="54"/>
      <c r="AB80" s="54"/>
      <c r="AC80" s="53"/>
      <c r="AD80" s="53"/>
      <c r="AE80" s="53"/>
      <c r="AF80" s="53"/>
      <c r="AG80" s="54"/>
      <c r="AH80" s="54"/>
      <c r="AI80" s="54"/>
      <c r="AJ80" s="54"/>
      <c r="AK80" s="54"/>
      <c r="AL80" s="54"/>
      <c r="AM80" s="53"/>
      <c r="AN80" s="53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3"/>
      <c r="BE80" s="53"/>
      <c r="BF80" s="54"/>
      <c r="BG80" s="54"/>
      <c r="BH80" s="68"/>
    </row>
    <row r="81" spans="1:60" hidden="1" x14ac:dyDescent="0.3">
      <c r="B81" s="2" t="s">
        <v>157</v>
      </c>
      <c r="C81" s="3" t="s">
        <v>158</v>
      </c>
      <c r="D81" s="63">
        <v>3.1199999999999994E-7</v>
      </c>
      <c r="E81" s="63">
        <f>Tabelle2[[#This Row],[BIP (mrd.)]]*1000000000/Tabelle2[[#This Row],[Bevölkerung]]</f>
        <v>2.3193577163247098E-3</v>
      </c>
      <c r="F81" s="63">
        <v>0.54100000000000004</v>
      </c>
      <c r="G81" s="53">
        <v>810</v>
      </c>
      <c r="H81" s="63">
        <v>134520</v>
      </c>
      <c r="I81" s="88"/>
      <c r="J81" s="88">
        <f>Tabelle2[[#This Row],[Strom (mrd.)]]*1000000000/Tabelle2[[#This Row],[Bevölkerung]]</f>
        <v>0</v>
      </c>
      <c r="K81" s="67"/>
      <c r="L81" s="53"/>
      <c r="M81" s="53">
        <f>Tabelle2[[#This Row],[Wohnimmobilien Anzahl]]/Tabelle2[[#This Row],[Bevölkerung]]</f>
        <v>0</v>
      </c>
      <c r="N81" s="53">
        <f t="shared" si="2"/>
        <v>0</v>
      </c>
      <c r="O81" s="53"/>
      <c r="P81" s="53"/>
      <c r="Q81" s="54"/>
      <c r="R81" s="54"/>
      <c r="S81" s="54"/>
      <c r="T81" s="54"/>
      <c r="U81" s="54"/>
      <c r="V81" s="54"/>
      <c r="W81" s="54"/>
      <c r="X81" s="54"/>
      <c r="Y81" s="54"/>
      <c r="Z81" s="54">
        <v>0</v>
      </c>
      <c r="AA81" s="54"/>
      <c r="AB81" s="54"/>
      <c r="AC81" s="53"/>
      <c r="AD81" s="53"/>
      <c r="AE81" s="53"/>
      <c r="AF81" s="53"/>
      <c r="AG81" s="54"/>
      <c r="AH81" s="54"/>
      <c r="AI81" s="54"/>
      <c r="AJ81" s="54"/>
      <c r="AK81" s="54"/>
      <c r="AL81" s="54"/>
      <c r="AM81" s="53"/>
      <c r="AN81" s="53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3"/>
      <c r="BE81" s="53"/>
      <c r="BF81" s="54"/>
      <c r="BG81" s="54"/>
      <c r="BH81" s="68"/>
    </row>
    <row r="82" spans="1:60" hidden="1" x14ac:dyDescent="0.3">
      <c r="B82" s="17" t="s">
        <v>159</v>
      </c>
      <c r="C82" s="18" t="s">
        <v>160</v>
      </c>
      <c r="D82" s="63">
        <v>427.76600000000002</v>
      </c>
      <c r="E82" s="63">
        <f>Tabelle2[[#This Row],[BIP (mrd.)]]*1000000000/Tabelle2[[#This Row],[Bevölkerung]]</f>
        <v>8088.3993528766205</v>
      </c>
      <c r="F82" s="63">
        <v>0.80800000000000005</v>
      </c>
      <c r="G82" s="53">
        <v>1140619</v>
      </c>
      <c r="H82" s="63">
        <v>52886360</v>
      </c>
      <c r="I82" s="88">
        <v>82.308999999999997</v>
      </c>
      <c r="J82" s="88">
        <f>Tabelle2[[#This Row],[Strom (mrd.)]]*1000000000/Tabelle2[[#This Row],[Bevölkerung]]</f>
        <v>1556.3370214928764</v>
      </c>
      <c r="K82" s="67">
        <v>3.53</v>
      </c>
      <c r="L82" s="53"/>
      <c r="M82" s="53">
        <f>Tabelle2[[#This Row],[Wohnimmobilien Anzahl]]/Tabelle2[[#This Row],[Bevölkerung]]</f>
        <v>0</v>
      </c>
      <c r="N82" s="53">
        <f t="shared" si="2"/>
        <v>0</v>
      </c>
      <c r="O82" s="53"/>
      <c r="P82" s="53">
        <v>13919746</v>
      </c>
      <c r="Q82" s="54"/>
      <c r="R82" s="54"/>
      <c r="S82" s="54"/>
      <c r="T82" s="54"/>
      <c r="U82" s="54"/>
      <c r="V82" s="54"/>
      <c r="W82" s="54"/>
      <c r="X82" s="54"/>
      <c r="Y82" s="54">
        <v>1</v>
      </c>
      <c r="Z82" s="54" t="s">
        <v>988</v>
      </c>
      <c r="AA82" s="54">
        <v>16070893</v>
      </c>
      <c r="AB82" s="54"/>
      <c r="AC82" s="53"/>
      <c r="AD82" s="53"/>
      <c r="AE82" s="53"/>
      <c r="AF82" s="53"/>
      <c r="AG82" s="54"/>
      <c r="AH82" s="54"/>
      <c r="AI82" s="54"/>
      <c r="AJ82" s="54"/>
      <c r="AK82" s="54"/>
      <c r="AL82" s="54"/>
      <c r="AM82" s="53"/>
      <c r="AN82" s="53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3"/>
      <c r="BE82" s="53"/>
      <c r="BF82" s="54"/>
      <c r="BG82" s="54"/>
      <c r="BH82" s="68"/>
    </row>
    <row r="83" spans="1:60" hidden="1" x14ac:dyDescent="0.3">
      <c r="B83" s="2" t="s">
        <v>161</v>
      </c>
      <c r="C83" s="3" t="s">
        <v>162</v>
      </c>
      <c r="D83" s="63">
        <v>1.5479999999999999E-3</v>
      </c>
      <c r="E83" s="63">
        <f>Tabelle2[[#This Row],[BIP (mrd.)]]*1000000000/Tabelle2[[#This Row],[Bevölkerung]]</f>
        <v>1.7862294173984283</v>
      </c>
      <c r="F83" s="63">
        <v>0.28999999999999998</v>
      </c>
      <c r="G83" s="53">
        <v>1861</v>
      </c>
      <c r="H83" s="63">
        <v>866630</v>
      </c>
      <c r="I83" s="88"/>
      <c r="J83" s="88">
        <f>Tabelle2[[#This Row],[Strom (mrd.)]]*1000000000/Tabelle2[[#This Row],[Bevölkerung]]</f>
        <v>0</v>
      </c>
      <c r="K83" s="67"/>
      <c r="L83" s="53"/>
      <c r="M83" s="53">
        <f>Tabelle2[[#This Row],[Wohnimmobilien Anzahl]]/Tabelle2[[#This Row],[Bevölkerung]]</f>
        <v>0</v>
      </c>
      <c r="N83" s="53">
        <f t="shared" si="2"/>
        <v>0</v>
      </c>
      <c r="O83" s="53"/>
      <c r="P83" s="53">
        <v>140633</v>
      </c>
      <c r="Q83" s="54"/>
      <c r="R83" s="54"/>
      <c r="S83" s="54"/>
      <c r="T83" s="54"/>
      <c r="U83" s="54"/>
      <c r="V83" s="54"/>
      <c r="W83" s="54"/>
      <c r="X83" s="54"/>
      <c r="Y83" s="54"/>
      <c r="Z83" s="54">
        <v>0</v>
      </c>
      <c r="AA83" s="54"/>
      <c r="AB83" s="54"/>
      <c r="AC83" s="53"/>
      <c r="AD83" s="53"/>
      <c r="AE83" s="53"/>
      <c r="AF83" s="53"/>
      <c r="AG83" s="54"/>
      <c r="AH83" s="54"/>
      <c r="AI83" s="54"/>
      <c r="AJ83" s="54"/>
      <c r="AK83" s="54"/>
      <c r="AL83" s="54"/>
      <c r="AM83" s="53"/>
      <c r="AN83" s="53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3"/>
      <c r="BE83" s="53"/>
      <c r="BF83" s="54"/>
      <c r="BG83" s="54"/>
      <c r="BH83" s="68"/>
    </row>
    <row r="84" spans="1:60" hidden="1" x14ac:dyDescent="0.3">
      <c r="B84" s="2" t="s">
        <v>163</v>
      </c>
      <c r="C84" s="3" t="s">
        <v>164</v>
      </c>
      <c r="D84" s="63">
        <v>1.5280999999999999E-2</v>
      </c>
      <c r="E84" s="63">
        <f>Tabelle2[[#This Row],[BIP (mrd.)]]*1000000000/Tabelle2[[#This Row],[Bevölkerung]]</f>
        <v>2.4129317096586744</v>
      </c>
      <c r="F84" s="63">
        <v>0.66900000000000004</v>
      </c>
      <c r="G84" s="53">
        <v>342000</v>
      </c>
      <c r="H84" s="63">
        <v>6332960</v>
      </c>
      <c r="I84" s="88"/>
      <c r="J84" s="88">
        <f>Tabelle2[[#This Row],[Strom (mrd.)]]*1000000000/Tabelle2[[#This Row],[Bevölkerung]]</f>
        <v>0</v>
      </c>
      <c r="K84" s="67"/>
      <c r="L84" s="53"/>
      <c r="M84" s="53">
        <f>Tabelle2[[#This Row],[Wohnimmobilien Anzahl]]/Tabelle2[[#This Row],[Bevölkerung]]</f>
        <v>0</v>
      </c>
      <c r="N84" s="53">
        <f t="shared" si="2"/>
        <v>0</v>
      </c>
      <c r="O84" s="53"/>
      <c r="P84" s="53"/>
      <c r="Q84" s="54"/>
      <c r="R84" s="54"/>
      <c r="S84" s="54"/>
      <c r="T84" s="54"/>
      <c r="U84" s="54"/>
      <c r="V84" s="54"/>
      <c r="W84" s="54"/>
      <c r="X84" s="54"/>
      <c r="Y84" s="54"/>
      <c r="Z84" s="54">
        <v>0</v>
      </c>
      <c r="AA84" s="54"/>
      <c r="AB84" s="54"/>
      <c r="AC84" s="53"/>
      <c r="AD84" s="53"/>
      <c r="AE84" s="53"/>
      <c r="AF84" s="53"/>
      <c r="AG84" s="54"/>
      <c r="AH84" s="54"/>
      <c r="AI84" s="54"/>
      <c r="AJ84" s="54"/>
      <c r="AK84" s="54"/>
      <c r="AL84" s="54"/>
      <c r="AM84" s="53"/>
      <c r="AN84" s="53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3"/>
      <c r="BE84" s="53"/>
      <c r="BF84" s="54"/>
      <c r="BG84" s="54"/>
      <c r="BH84" s="68"/>
    </row>
    <row r="85" spans="1:60" hidden="1" x14ac:dyDescent="0.3">
      <c r="B85" s="4" t="s">
        <v>165</v>
      </c>
      <c r="C85" s="5" t="s">
        <v>166</v>
      </c>
      <c r="D85" s="63">
        <v>7.9118999999999995E-2</v>
      </c>
      <c r="E85" s="63">
        <f>Tabelle2[[#This Row],[BIP (mrd.)]]*1000000000/Tabelle2[[#This Row],[Bevölkerung]]</f>
        <v>0.72402734134568658</v>
      </c>
      <c r="F85" s="63">
        <v>0.44500000000000001</v>
      </c>
      <c r="G85" s="53">
        <v>2344860</v>
      </c>
      <c r="H85" s="63">
        <v>109276260</v>
      </c>
      <c r="I85" s="88"/>
      <c r="J85" s="88">
        <f>Tabelle2[[#This Row],[Strom (mrd.)]]*1000000000/Tabelle2[[#This Row],[Bevölkerung]]</f>
        <v>0</v>
      </c>
      <c r="K85" s="67"/>
      <c r="L85" s="53"/>
      <c r="M85" s="53">
        <f>Tabelle2[[#This Row],[Wohnimmobilien Anzahl]]/Tabelle2[[#This Row],[Bevölkerung]]</f>
        <v>0</v>
      </c>
      <c r="N85" s="53">
        <f t="shared" si="2"/>
        <v>0</v>
      </c>
      <c r="O85" s="53"/>
      <c r="P85" s="53"/>
      <c r="Q85" s="54"/>
      <c r="R85" s="54"/>
      <c r="S85" s="54"/>
      <c r="T85" s="54"/>
      <c r="U85" s="54"/>
      <c r="V85" s="54"/>
      <c r="W85" s="54"/>
      <c r="X85" s="54"/>
      <c r="Y85" s="54"/>
      <c r="Z85" s="54">
        <v>1</v>
      </c>
      <c r="AA85" s="54"/>
      <c r="AB85" s="54"/>
      <c r="AC85" s="53"/>
      <c r="AD85" s="53"/>
      <c r="AE85" s="53"/>
      <c r="AF85" s="53"/>
      <c r="AG85" s="54"/>
      <c r="AH85" s="54"/>
      <c r="AI85" s="54"/>
      <c r="AJ85" s="54"/>
      <c r="AK85" s="54"/>
      <c r="AL85" s="54"/>
      <c r="AM85" s="53"/>
      <c r="AN85" s="53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3"/>
      <c r="BE85" s="53"/>
      <c r="BF85" s="54"/>
      <c r="BG85" s="54"/>
      <c r="BH85" s="68"/>
    </row>
    <row r="86" spans="1:60" hidden="1" x14ac:dyDescent="0.3">
      <c r="B86" s="4" t="s">
        <v>167</v>
      </c>
      <c r="C86" s="5" t="s">
        <v>168</v>
      </c>
      <c r="D86" s="63">
        <v>0</v>
      </c>
      <c r="E86" s="63">
        <f>Tabelle2[[#This Row],[BIP (mrd.)]]*1000000000/Tabelle2[[#This Row],[Bevölkerung]]</f>
        <v>0</v>
      </c>
      <c r="F86" s="63">
        <v>0.61899999999999999</v>
      </c>
      <c r="G86" s="53">
        <v>120540</v>
      </c>
      <c r="H86" s="63">
        <v>26498820</v>
      </c>
      <c r="I86" s="88"/>
      <c r="J86" s="88">
        <f>Tabelle2[[#This Row],[Strom (mrd.)]]*1000000000/Tabelle2[[#This Row],[Bevölkerung]]</f>
        <v>0</v>
      </c>
      <c r="K86" s="67"/>
      <c r="L86" s="53"/>
      <c r="M86" s="53">
        <f>Tabelle2[[#This Row],[Wohnimmobilien Anzahl]]/Tabelle2[[#This Row],[Bevölkerung]]</f>
        <v>0</v>
      </c>
      <c r="N86" s="53">
        <f t="shared" si="2"/>
        <v>0</v>
      </c>
      <c r="O86" s="53"/>
      <c r="P86" s="53"/>
      <c r="Q86" s="54"/>
      <c r="R86" s="54"/>
      <c r="S86" s="54"/>
      <c r="T86" s="54"/>
      <c r="U86" s="54"/>
      <c r="V86" s="54"/>
      <c r="W86" s="54"/>
      <c r="X86" s="54"/>
      <c r="Y86" s="54"/>
      <c r="Z86" s="54">
        <v>0</v>
      </c>
      <c r="AA86" s="54"/>
      <c r="AB86" s="54"/>
      <c r="AC86" s="53"/>
      <c r="AD86" s="53"/>
      <c r="AE86" s="53"/>
      <c r="AF86" s="53"/>
      <c r="AG86" s="54"/>
      <c r="AH86" s="54"/>
      <c r="AI86" s="54"/>
      <c r="AJ86" s="54"/>
      <c r="AK86" s="54"/>
      <c r="AL86" s="54"/>
      <c r="AM86" s="53"/>
      <c r="AN86" s="53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3"/>
      <c r="BE86" s="53"/>
      <c r="BF86" s="54"/>
      <c r="BG86" s="54"/>
      <c r="BH86" s="68"/>
    </row>
    <row r="87" spans="1:60" hidden="1" x14ac:dyDescent="0.3">
      <c r="B87" s="15" t="s">
        <v>169</v>
      </c>
      <c r="C87" s="16" t="s">
        <v>170</v>
      </c>
      <c r="D87" s="63">
        <v>1.7903219999999997</v>
      </c>
      <c r="E87" s="63">
        <f>Tabelle2[[#This Row],[BIP (mrd.)]]*1000000000/Tabelle2[[#This Row],[Bevölkerung]]</f>
        <v>34.594878907817744</v>
      </c>
      <c r="F87" s="63">
        <v>0.81499999999999995</v>
      </c>
      <c r="G87" s="53">
        <v>100450</v>
      </c>
      <c r="H87" s="63">
        <v>51751070</v>
      </c>
      <c r="I87" s="88"/>
      <c r="J87" s="88">
        <f>Tabelle2[[#This Row],[Strom (mrd.)]]*1000000000/Tabelle2[[#This Row],[Bevölkerung]]</f>
        <v>0</v>
      </c>
      <c r="K87" s="67"/>
      <c r="L87" s="53"/>
      <c r="M87" s="53">
        <f>Tabelle2[[#This Row],[Wohnimmobilien Anzahl]]/Tabelle2[[#This Row],[Bevölkerung]]</f>
        <v>0</v>
      </c>
      <c r="N87" s="53">
        <f t="shared" si="2"/>
        <v>0</v>
      </c>
      <c r="O87" s="53"/>
      <c r="P87" s="53"/>
      <c r="Q87" s="54"/>
      <c r="R87" s="54"/>
      <c r="S87" s="54"/>
      <c r="T87" s="54"/>
      <c r="U87" s="54"/>
      <c r="V87" s="54"/>
      <c r="W87" s="54"/>
      <c r="X87" s="54"/>
      <c r="Y87" s="54"/>
      <c r="Z87" s="54">
        <v>0</v>
      </c>
      <c r="AA87" s="54"/>
      <c r="AB87" s="54"/>
      <c r="AC87" s="53"/>
      <c r="AD87" s="53"/>
      <c r="AE87" s="53"/>
      <c r="AF87" s="53"/>
      <c r="AG87" s="54"/>
      <c r="AH87" s="54"/>
      <c r="AI87" s="54"/>
      <c r="AJ87" s="54"/>
      <c r="AK87" s="54"/>
      <c r="AL87" s="54"/>
      <c r="AM87" s="53"/>
      <c r="AN87" s="53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3"/>
      <c r="BE87" s="53"/>
      <c r="BF87" s="54"/>
      <c r="BG87" s="54"/>
      <c r="BH87" s="68"/>
    </row>
    <row r="88" spans="1:60" x14ac:dyDescent="0.3">
      <c r="A88" t="s">
        <v>589</v>
      </c>
      <c r="B88" s="17" t="s">
        <v>171</v>
      </c>
      <c r="C88" s="18" t="s">
        <v>172</v>
      </c>
      <c r="D88" s="63">
        <v>98.950999999999993</v>
      </c>
      <c r="E88" s="63">
        <f>Tabelle2[[#This Row],[BIP (mrd.)]]*1000000000/Tabelle2[[#This Row],[Bevölkerung]]</f>
        <v>25593.202803714146</v>
      </c>
      <c r="F88" s="63">
        <v>0.56899999999999995</v>
      </c>
      <c r="G88" s="53">
        <v>88070</v>
      </c>
      <c r="H88" s="63">
        <v>3866300</v>
      </c>
      <c r="I88" s="88">
        <v>16.408000000000001</v>
      </c>
      <c r="J88" s="88">
        <f>Tabelle2[[#This Row],[Strom (mrd.)]]*1000000000/Tabelle2[[#This Row],[Bevölkerung]]</f>
        <v>4243.8507099811195</v>
      </c>
      <c r="K88" s="67">
        <v>2.6</v>
      </c>
      <c r="L88" s="53">
        <v>1620000</v>
      </c>
      <c r="M88" s="63">
        <f>Tabelle2[[#This Row],[Wohnimmobilien Anzahl]]/Tabelle2[[#This Row],[Bevölkerung]]</f>
        <v>0.41900525049789206</v>
      </c>
      <c r="N88" s="53">
        <f t="shared" si="2"/>
        <v>-1619999.5809947494</v>
      </c>
      <c r="O88" s="53"/>
      <c r="P88" s="53">
        <v>1433445</v>
      </c>
      <c r="Q88" s="54"/>
      <c r="R88" s="54"/>
      <c r="S88" s="54"/>
      <c r="T88" s="54"/>
      <c r="U88" s="54"/>
      <c r="V88" s="54"/>
      <c r="W88" s="54"/>
      <c r="X88" s="54"/>
      <c r="Y88" s="54">
        <v>0</v>
      </c>
      <c r="Z88" s="54" t="s">
        <v>989</v>
      </c>
      <c r="AA88" s="54">
        <v>2391944</v>
      </c>
      <c r="AB88" s="54"/>
      <c r="AC88" s="53"/>
      <c r="AD88" s="53"/>
      <c r="AE88" s="53"/>
      <c r="AF88" s="53"/>
      <c r="AG88" s="54"/>
      <c r="AH88" s="54"/>
      <c r="AI88" s="54"/>
      <c r="AJ88" s="54"/>
      <c r="AK88" s="54"/>
      <c r="AL88" s="54"/>
      <c r="AM88" s="53"/>
      <c r="AN88" s="53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3"/>
      <c r="BE88" s="53"/>
      <c r="BF88" s="54"/>
      <c r="BG88" s="54"/>
      <c r="BH88" s="68"/>
    </row>
    <row r="89" spans="1:60" hidden="1" x14ac:dyDescent="0.3">
      <c r="B89" s="2" t="s">
        <v>173</v>
      </c>
      <c r="C89" s="3" t="s">
        <v>174</v>
      </c>
      <c r="D89" s="63">
        <v>107</v>
      </c>
      <c r="E89" s="63">
        <f>Tabelle2[[#This Row],[BIP (mrd.)]]*1000000000/Tabelle2[[#This Row],[Bevölkerung]]</f>
        <v>9745.186151270791</v>
      </c>
      <c r="F89" s="63">
        <v>0.77</v>
      </c>
      <c r="G89" s="53">
        <v>109880</v>
      </c>
      <c r="H89" s="63">
        <v>10979780</v>
      </c>
      <c r="I89" s="88">
        <v>11.951000000000001</v>
      </c>
      <c r="J89" s="88">
        <f>Tabelle2[[#This Row],[Strom (mrd.)]]*1000000000/Tabelle2[[#This Row],[Bevölkerung]]</f>
        <v>1088.4553242414693</v>
      </c>
      <c r="K89" s="67">
        <v>3.14</v>
      </c>
      <c r="L89" s="53"/>
      <c r="M89" s="53">
        <f>Tabelle2[[#This Row],[Wohnimmobilien Anzahl]]/Tabelle2[[#This Row],[Bevölkerung]]</f>
        <v>0</v>
      </c>
      <c r="N89" s="53">
        <f t="shared" si="2"/>
        <v>0</v>
      </c>
      <c r="O89" s="53"/>
      <c r="P89" s="53">
        <v>3734569</v>
      </c>
      <c r="Q89" s="54"/>
      <c r="R89" s="54"/>
      <c r="S89" s="54"/>
      <c r="T89" s="54"/>
      <c r="U89" s="54"/>
      <c r="V89" s="54"/>
      <c r="W89" s="54"/>
      <c r="X89" s="54"/>
      <c r="Y89" s="54">
        <v>0</v>
      </c>
      <c r="Z89" s="54" t="s">
        <v>988</v>
      </c>
      <c r="AA89" s="54">
        <v>3882424</v>
      </c>
      <c r="AB89" s="54"/>
      <c r="AC89" s="53"/>
      <c r="AD89" s="53"/>
      <c r="AE89" s="53"/>
      <c r="AF89" s="53"/>
      <c r="AG89" s="54"/>
      <c r="AH89" s="54"/>
      <c r="AI89" s="54"/>
      <c r="AJ89" s="54"/>
      <c r="AK89" s="54"/>
      <c r="AL89" s="54"/>
      <c r="AM89" s="53"/>
      <c r="AN89" s="53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3"/>
      <c r="BE89" s="53"/>
      <c r="BF89" s="54"/>
      <c r="BG89" s="54"/>
      <c r="BH89" s="68"/>
    </row>
    <row r="90" spans="1:60" hidden="1" x14ac:dyDescent="0.3">
      <c r="B90" s="2" t="s">
        <v>175</v>
      </c>
      <c r="C90" s="3" t="s">
        <v>176</v>
      </c>
      <c r="D90" s="63">
        <v>0.15310099999999999</v>
      </c>
      <c r="E90" s="63">
        <f>Tabelle2[[#This Row],[BIP (mrd.)]]*1000000000/Tabelle2[[#This Row],[Bevölkerung]]</f>
        <v>30.781123714780875</v>
      </c>
      <c r="F90" s="63">
        <v>1</v>
      </c>
      <c r="G90" s="53">
        <v>17820</v>
      </c>
      <c r="H90" s="63">
        <v>4973860</v>
      </c>
      <c r="I90" s="88"/>
      <c r="J90" s="88">
        <f>Tabelle2[[#This Row],[Strom (mrd.)]]*1000000000/Tabelle2[[#This Row],[Bevölkerung]]</f>
        <v>0</v>
      </c>
      <c r="K90" s="67"/>
      <c r="L90" s="53"/>
      <c r="M90" s="53">
        <f>Tabelle2[[#This Row],[Wohnimmobilien Anzahl]]/Tabelle2[[#This Row],[Bevölkerung]]</f>
        <v>0</v>
      </c>
      <c r="N90" s="53">
        <f t="shared" si="2"/>
        <v>0</v>
      </c>
      <c r="O90" s="53"/>
      <c r="P90" s="53"/>
      <c r="Q90" s="54"/>
      <c r="R90" s="54"/>
      <c r="S90" s="54"/>
      <c r="T90" s="54"/>
      <c r="U90" s="54"/>
      <c r="V90" s="54"/>
      <c r="W90" s="54"/>
      <c r="X90" s="54"/>
      <c r="Y90" s="54"/>
      <c r="Z90" s="54">
        <v>0</v>
      </c>
      <c r="AA90" s="54"/>
      <c r="AB90" s="54"/>
      <c r="AC90" s="53"/>
      <c r="AD90" s="53"/>
      <c r="AE90" s="53"/>
      <c r="AF90" s="53"/>
      <c r="AG90" s="54"/>
      <c r="AH90" s="54"/>
      <c r="AI90" s="54"/>
      <c r="AJ90" s="54"/>
      <c r="AK90" s="54"/>
      <c r="AL90" s="54"/>
      <c r="AM90" s="53"/>
      <c r="AN90" s="53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3"/>
      <c r="BE90" s="53"/>
      <c r="BF90" s="54"/>
      <c r="BG90" s="54"/>
      <c r="BH90" s="68"/>
    </row>
    <row r="91" spans="1:60" hidden="1" x14ac:dyDescent="0.3">
      <c r="B91" s="2" t="s">
        <v>177</v>
      </c>
      <c r="C91" s="3" t="s">
        <v>178</v>
      </c>
      <c r="D91" s="63">
        <v>1.6322E-2</v>
      </c>
      <c r="E91" s="63">
        <f>Tabelle2[[#This Row],[BIP (mrd.)]]*1000000000/Tabelle2[[#This Row],[Bevölkerung]]</f>
        <v>2.1006921653268673</v>
      </c>
      <c r="F91" s="63">
        <v>0.35</v>
      </c>
      <c r="G91" s="53">
        <v>236800</v>
      </c>
      <c r="H91" s="63">
        <v>7769820</v>
      </c>
      <c r="I91" s="88"/>
      <c r="J91" s="88">
        <f>Tabelle2[[#This Row],[Strom (mrd.)]]*1000000000/Tabelle2[[#This Row],[Bevölkerung]]</f>
        <v>0</v>
      </c>
      <c r="K91" s="67"/>
      <c r="L91" s="53"/>
      <c r="M91" s="53">
        <f>Tabelle2[[#This Row],[Wohnimmobilien Anzahl]]/Tabelle2[[#This Row],[Bevölkerung]]</f>
        <v>0</v>
      </c>
      <c r="N91" s="53">
        <f t="shared" si="2"/>
        <v>0</v>
      </c>
      <c r="O91" s="53"/>
      <c r="P91" s="53"/>
      <c r="Q91" s="54"/>
      <c r="R91" s="54"/>
      <c r="S91" s="54"/>
      <c r="T91" s="54"/>
      <c r="U91" s="54"/>
      <c r="V91" s="54"/>
      <c r="W91" s="54"/>
      <c r="X91" s="54"/>
      <c r="Y91" s="54"/>
      <c r="Z91" s="54">
        <v>0</v>
      </c>
      <c r="AA91" s="54"/>
      <c r="AB91" s="54"/>
      <c r="AC91" s="53"/>
      <c r="AD91" s="53"/>
      <c r="AE91" s="53"/>
      <c r="AF91" s="53"/>
      <c r="AG91" s="54"/>
      <c r="AH91" s="54"/>
      <c r="AI91" s="54"/>
      <c r="AJ91" s="54"/>
      <c r="AK91" s="54"/>
      <c r="AL91" s="54"/>
      <c r="AM91" s="53"/>
      <c r="AN91" s="53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3"/>
      <c r="BE91" s="53"/>
      <c r="BF91" s="54"/>
      <c r="BG91" s="54"/>
      <c r="BH91" s="68"/>
    </row>
    <row r="92" spans="1:60" hidden="1" x14ac:dyDescent="0.3">
      <c r="B92" s="4" t="s">
        <v>179</v>
      </c>
      <c r="C92" s="5" t="s">
        <v>180</v>
      </c>
      <c r="D92" s="63">
        <v>2.4039999999999999E-3</v>
      </c>
      <c r="E92" s="63">
        <f>Tabelle2[[#This Row],[BIP (mrd.)]]*1000000000/Tabelle2[[#This Row],[Bevölkerung]]</f>
        <v>1.0284843973269673</v>
      </c>
      <c r="F92" s="63">
        <v>0.28199999999999997</v>
      </c>
      <c r="G92" s="53">
        <v>30360</v>
      </c>
      <c r="H92" s="63">
        <v>2337420</v>
      </c>
      <c r="I92" s="88"/>
      <c r="J92" s="88">
        <f>Tabelle2[[#This Row],[Strom (mrd.)]]*1000000000/Tabelle2[[#This Row],[Bevölkerung]]</f>
        <v>0</v>
      </c>
      <c r="K92" s="67"/>
      <c r="L92" s="53"/>
      <c r="M92" s="53">
        <f>Tabelle2[[#This Row],[Wohnimmobilien Anzahl]]/Tabelle2[[#This Row],[Bevölkerung]]</f>
        <v>0</v>
      </c>
      <c r="N92" s="53">
        <f t="shared" si="2"/>
        <v>0</v>
      </c>
      <c r="O92" s="53"/>
      <c r="P92" s="53"/>
      <c r="Q92" s="54"/>
      <c r="R92" s="54"/>
      <c r="S92" s="54"/>
      <c r="T92" s="54"/>
      <c r="U92" s="54"/>
      <c r="V92" s="54"/>
      <c r="W92" s="54"/>
      <c r="X92" s="54"/>
      <c r="Y92" s="54"/>
      <c r="Z92" s="54">
        <v>0</v>
      </c>
      <c r="AA92" s="54"/>
      <c r="AB92" s="54"/>
      <c r="AC92" s="53"/>
      <c r="AD92" s="53"/>
      <c r="AE92" s="53"/>
      <c r="AF92" s="53"/>
      <c r="AG92" s="54"/>
      <c r="AH92" s="54"/>
      <c r="AI92" s="54"/>
      <c r="AJ92" s="54"/>
      <c r="AK92" s="54"/>
      <c r="AL92" s="54"/>
      <c r="AM92" s="53"/>
      <c r="AN92" s="53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3"/>
      <c r="BE92" s="53"/>
      <c r="BF92" s="54"/>
      <c r="BG92" s="54"/>
      <c r="BH92" s="68"/>
    </row>
    <row r="93" spans="1:60" x14ac:dyDescent="0.3">
      <c r="A93" t="s">
        <v>588</v>
      </c>
      <c r="B93" s="2" t="s">
        <v>181</v>
      </c>
      <c r="C93" s="3" t="s">
        <v>182</v>
      </c>
      <c r="D93" s="63">
        <v>45.535000000000011</v>
      </c>
      <c r="E93" s="63">
        <f>Tabelle2[[#This Row],[BIP (mrd.)]]*1000000000/Tabelle2[[#This Row],[Bevölkerung]]</f>
        <v>24449.109769979172</v>
      </c>
      <c r="F93" s="63">
        <v>0.68100000000000005</v>
      </c>
      <c r="G93" s="53">
        <v>64590</v>
      </c>
      <c r="H93" s="63">
        <v>1862440</v>
      </c>
      <c r="I93" s="88">
        <v>6.8220000000000001</v>
      </c>
      <c r="J93" s="88">
        <f>Tabelle2[[#This Row],[Strom (mrd.)]]*1000000000/Tabelle2[[#This Row],[Bevölkerung]]</f>
        <v>3662.9367925946608</v>
      </c>
      <c r="K93" s="67">
        <v>2.1</v>
      </c>
      <c r="L93" s="53">
        <v>1310000</v>
      </c>
      <c r="M93" s="63">
        <f>Tabelle2[[#This Row],[Wohnimmobilien Anzahl]]/Tabelle2[[#This Row],[Bevölkerung]]</f>
        <v>0.70337836386675545</v>
      </c>
      <c r="N93" s="53">
        <f t="shared" si="2"/>
        <v>-1309999.296621636</v>
      </c>
      <c r="O93" s="53"/>
      <c r="P93" s="53">
        <v>811000</v>
      </c>
      <c r="Q93" s="54"/>
      <c r="R93" s="54"/>
      <c r="S93" s="54"/>
      <c r="T93" s="54"/>
      <c r="U93" s="54"/>
      <c r="V93" s="54"/>
      <c r="W93" s="54"/>
      <c r="X93" s="54"/>
      <c r="Y93" s="54">
        <v>1</v>
      </c>
      <c r="Z93" s="54" t="s">
        <v>989</v>
      </c>
      <c r="AA93" s="54">
        <v>1063939</v>
      </c>
      <c r="AB93" s="54"/>
      <c r="AC93" s="53"/>
      <c r="AD93" s="53"/>
      <c r="AE93" s="53"/>
      <c r="AF93" s="53"/>
      <c r="AG93" s="54"/>
      <c r="AH93" s="54"/>
      <c r="AI93" s="54"/>
      <c r="AJ93" s="54"/>
      <c r="AK93" s="54"/>
      <c r="AL93" s="54"/>
      <c r="AM93" s="53"/>
      <c r="AN93" s="53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3"/>
      <c r="BE93" s="53"/>
      <c r="BF93" s="54"/>
      <c r="BG93" s="54"/>
      <c r="BH93" s="68"/>
    </row>
    <row r="94" spans="1:60" hidden="1" x14ac:dyDescent="0.3">
      <c r="B94" s="22" t="s">
        <v>183</v>
      </c>
      <c r="C94" s="23" t="s">
        <v>184</v>
      </c>
      <c r="D94" s="63" t="s">
        <v>592</v>
      </c>
      <c r="E94" s="63" t="e">
        <f>Tabelle2[[#This Row],[BIP (mrd.)]]*1000000000/Tabelle2[[#This Row],[Bevölkerung]]</f>
        <v>#VALUE!</v>
      </c>
      <c r="F94" s="63">
        <v>0.88600000000000001</v>
      </c>
      <c r="G94" s="53">
        <v>10450</v>
      </c>
      <c r="H94" s="63">
        <v>5805960</v>
      </c>
      <c r="I94" s="88"/>
      <c r="J94" s="88">
        <f>Tabelle2[[#This Row],[Strom (mrd.)]]*1000000000/Tabelle2[[#This Row],[Bevölkerung]]</f>
        <v>0</v>
      </c>
      <c r="K94" s="67"/>
      <c r="L94" s="53"/>
      <c r="M94" s="53">
        <f>Tabelle2[[#This Row],[Wohnimmobilien Anzahl]]/Tabelle2[[#This Row],[Bevölkerung]]</f>
        <v>0</v>
      </c>
      <c r="N94" s="53">
        <f t="shared" si="2"/>
        <v>0</v>
      </c>
      <c r="O94" s="53"/>
      <c r="P94" s="53"/>
      <c r="Q94" s="54"/>
      <c r="R94" s="54"/>
      <c r="S94" s="54"/>
      <c r="T94" s="54"/>
      <c r="U94" s="54"/>
      <c r="V94" s="54"/>
      <c r="W94" s="54"/>
      <c r="X94" s="54"/>
      <c r="Y94" s="54"/>
      <c r="Z94" s="54">
        <v>0</v>
      </c>
      <c r="AA94" s="54"/>
      <c r="AB94" s="54"/>
      <c r="AC94" s="53"/>
      <c r="AD94" s="53"/>
      <c r="AE94" s="53"/>
      <c r="AF94" s="53"/>
      <c r="AG94" s="54"/>
      <c r="AH94" s="54"/>
      <c r="AI94" s="54"/>
      <c r="AJ94" s="54"/>
      <c r="AK94" s="54"/>
      <c r="AL94" s="54"/>
      <c r="AM94" s="53"/>
      <c r="AN94" s="53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3"/>
      <c r="BE94" s="53"/>
      <c r="BF94" s="54"/>
      <c r="BG94" s="54"/>
      <c r="BH94" s="68"/>
    </row>
    <row r="95" spans="1:60" hidden="1" x14ac:dyDescent="0.3">
      <c r="B95" s="2" t="s">
        <v>185</v>
      </c>
      <c r="C95" s="3" t="s">
        <v>186</v>
      </c>
      <c r="D95" s="63">
        <v>5.1660000000000013E-3</v>
      </c>
      <c r="E95" s="63">
        <f>Tabelle2[[#This Row],[BIP (mrd.)]]*1000000000/Tabelle2[[#This Row],[Bevölkerung]]</f>
        <v>0.92039295755075001</v>
      </c>
      <c r="F95" s="63">
        <v>0.51200000000000001</v>
      </c>
      <c r="G95" s="53">
        <v>111370</v>
      </c>
      <c r="H95" s="63">
        <v>5612820</v>
      </c>
      <c r="I95" s="88"/>
      <c r="J95" s="88">
        <f>Tabelle2[[#This Row],[Strom (mrd.)]]*1000000000/Tabelle2[[#This Row],[Bevölkerung]]</f>
        <v>0</v>
      </c>
      <c r="K95" s="67"/>
      <c r="L95" s="53"/>
      <c r="M95" s="53">
        <f>Tabelle2[[#This Row],[Wohnimmobilien Anzahl]]/Tabelle2[[#This Row],[Bevölkerung]]</f>
        <v>0</v>
      </c>
      <c r="N95" s="53">
        <f t="shared" si="2"/>
        <v>0</v>
      </c>
      <c r="O95" s="53"/>
      <c r="P95" s="53"/>
      <c r="Q95" s="54"/>
      <c r="R95" s="54"/>
      <c r="S95" s="54"/>
      <c r="T95" s="54"/>
      <c r="U95" s="54"/>
      <c r="V95" s="54"/>
      <c r="W95" s="54"/>
      <c r="X95" s="54"/>
      <c r="Y95" s="54"/>
      <c r="Z95" s="54">
        <v>0</v>
      </c>
      <c r="AA95" s="54"/>
      <c r="AB95" s="54"/>
      <c r="AC95" s="53"/>
      <c r="AD95" s="53"/>
      <c r="AE95" s="53"/>
      <c r="AF95" s="53"/>
      <c r="AG95" s="54"/>
      <c r="AH95" s="54"/>
      <c r="AI95" s="54"/>
      <c r="AJ95" s="54"/>
      <c r="AK95" s="54"/>
      <c r="AL95" s="54"/>
      <c r="AM95" s="53"/>
      <c r="AN95" s="53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3"/>
      <c r="BE95" s="53"/>
      <c r="BF95" s="54"/>
      <c r="BG95" s="54"/>
      <c r="BH95" s="68"/>
    </row>
    <row r="96" spans="1:60" hidden="1" x14ac:dyDescent="0.3">
      <c r="B96" s="2" t="s">
        <v>187</v>
      </c>
      <c r="C96" s="3" t="s">
        <v>188</v>
      </c>
      <c r="D96" s="63" t="s">
        <v>592</v>
      </c>
      <c r="E96" s="63" t="e">
        <f>Tabelle2[[#This Row],[BIP (mrd.)]]*1000000000/Tabelle2[[#This Row],[Bevölkerung]]</f>
        <v>#VALUE!</v>
      </c>
      <c r="F96" s="63">
        <v>0.80100000000000005</v>
      </c>
      <c r="G96" s="53">
        <v>1759540</v>
      </c>
      <c r="H96" s="63">
        <v>5805960</v>
      </c>
      <c r="I96" s="88"/>
      <c r="J96" s="88">
        <f>Tabelle2[[#This Row],[Strom (mrd.)]]*1000000000/Tabelle2[[#This Row],[Bevölkerung]]</f>
        <v>0</v>
      </c>
      <c r="K96" s="67"/>
      <c r="L96" s="53"/>
      <c r="M96" s="53">
        <f>Tabelle2[[#This Row],[Wohnimmobilien Anzahl]]/Tabelle2[[#This Row],[Bevölkerung]]</f>
        <v>0</v>
      </c>
      <c r="N96" s="53">
        <f t="shared" si="2"/>
        <v>0</v>
      </c>
      <c r="O96" s="53"/>
      <c r="P96" s="53"/>
      <c r="Q96" s="54"/>
      <c r="R96" s="54"/>
      <c r="S96" s="54"/>
      <c r="T96" s="54"/>
      <c r="U96" s="54"/>
      <c r="V96" s="54"/>
      <c r="W96" s="54"/>
      <c r="X96" s="54"/>
      <c r="Y96" s="54"/>
      <c r="Z96" s="54">
        <v>0</v>
      </c>
      <c r="AA96" s="54"/>
      <c r="AB96" s="54"/>
      <c r="AC96" s="53"/>
      <c r="AD96" s="53"/>
      <c r="AE96" s="53"/>
      <c r="AF96" s="53"/>
      <c r="AG96" s="54"/>
      <c r="AH96" s="54"/>
      <c r="AI96" s="54"/>
      <c r="AJ96" s="54"/>
      <c r="AK96" s="54"/>
      <c r="AL96" s="54"/>
      <c r="AM96" s="53"/>
      <c r="AN96" s="53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3"/>
      <c r="BE96" s="53"/>
      <c r="BF96" s="54"/>
      <c r="BG96" s="54"/>
      <c r="BH96" s="68"/>
    </row>
    <row r="97" spans="1:60" hidden="1" x14ac:dyDescent="0.3">
      <c r="B97" s="4" t="s">
        <v>189</v>
      </c>
      <c r="C97" s="5" t="s">
        <v>190</v>
      </c>
      <c r="D97" s="63">
        <v>7.000000000000001E-3</v>
      </c>
      <c r="E97" s="63">
        <f>Tabelle2[[#This Row],[BIP (mrd.)]]*1000000000/Tabelle2[[#This Row],[Bevölkerung]]</f>
        <v>174.12935323383087</v>
      </c>
      <c r="F97" s="63">
        <v>0.14299999999999999</v>
      </c>
      <c r="G97" s="53">
        <v>160</v>
      </c>
      <c r="H97" s="63">
        <v>40200</v>
      </c>
      <c r="I97" s="88"/>
      <c r="J97" s="88">
        <f>Tabelle2[[#This Row],[Strom (mrd.)]]*1000000000/Tabelle2[[#This Row],[Bevölkerung]]</f>
        <v>0</v>
      </c>
      <c r="K97" s="67"/>
      <c r="L97" s="53"/>
      <c r="M97" s="53">
        <f>Tabelle2[[#This Row],[Wohnimmobilien Anzahl]]/Tabelle2[[#This Row],[Bevölkerung]]</f>
        <v>0</v>
      </c>
      <c r="N97" s="53">
        <f t="shared" si="2"/>
        <v>0</v>
      </c>
      <c r="O97" s="53"/>
      <c r="P97" s="53"/>
      <c r="Q97" s="54"/>
      <c r="R97" s="54"/>
      <c r="S97" s="54"/>
      <c r="T97" s="54"/>
      <c r="U97" s="54"/>
      <c r="V97" s="54"/>
      <c r="W97" s="54"/>
      <c r="X97" s="54"/>
      <c r="Y97" s="54"/>
      <c r="Z97" s="54">
        <v>0</v>
      </c>
      <c r="AA97" s="54"/>
      <c r="AB97" s="54"/>
      <c r="AC97" s="53"/>
      <c r="AD97" s="53"/>
      <c r="AE97" s="53"/>
      <c r="AF97" s="53"/>
      <c r="AG97" s="54"/>
      <c r="AH97" s="54"/>
      <c r="AI97" s="54"/>
      <c r="AJ97" s="54"/>
      <c r="AK97" s="54"/>
      <c r="AL97" s="54"/>
      <c r="AM97" s="53"/>
      <c r="AN97" s="53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3"/>
      <c r="BE97" s="53"/>
      <c r="BF97" s="54"/>
      <c r="BG97" s="54"/>
      <c r="BH97" s="68"/>
    </row>
    <row r="98" spans="1:60" x14ac:dyDescent="0.3">
      <c r="A98" t="s">
        <v>589</v>
      </c>
      <c r="B98" s="2" t="s">
        <v>191</v>
      </c>
      <c r="C98" s="3" t="s">
        <v>192</v>
      </c>
      <c r="D98" s="63">
        <v>89.191999999999993</v>
      </c>
      <c r="E98" s="63">
        <f>Tabelle2[[#This Row],[BIP (mrd.)]]*1000000000/Tabelle2[[#This Row],[Bevölkerung]]</f>
        <v>30883.121829608212</v>
      </c>
      <c r="F98" s="63">
        <v>0.67700000000000005</v>
      </c>
      <c r="G98" s="53">
        <v>65290</v>
      </c>
      <c r="H98" s="63">
        <v>2888050</v>
      </c>
      <c r="I98" s="88">
        <v>10.992000000000001</v>
      </c>
      <c r="J98" s="88">
        <f>Tabelle2[[#This Row],[Strom (mrd.)]]*1000000000/Tabelle2[[#This Row],[Bevölkerung]]</f>
        <v>3806.0282889839164</v>
      </c>
      <c r="K98" s="67">
        <v>1.8</v>
      </c>
      <c r="L98" s="53">
        <v>510000</v>
      </c>
      <c r="M98" s="63">
        <f>Tabelle2[[#This Row],[Wohnimmobilien Anzahl]]/Tabelle2[[#This Row],[Bevölkerung]]</f>
        <v>0.17658974048233236</v>
      </c>
      <c r="N98" s="53">
        <f t="shared" ref="N98:N129" si="3">M98-L98</f>
        <v>-509999.8234102595</v>
      </c>
      <c r="O98" s="53"/>
      <c r="P98" s="53"/>
      <c r="Q98" s="54"/>
      <c r="R98" s="54"/>
      <c r="S98" s="54"/>
      <c r="T98" s="54"/>
      <c r="U98" s="54"/>
      <c r="V98" s="54"/>
      <c r="W98" s="54"/>
      <c r="X98" s="54"/>
      <c r="Y98" s="54">
        <v>1</v>
      </c>
      <c r="Z98" s="54" t="s">
        <v>989</v>
      </c>
      <c r="AA98" s="54">
        <v>1438000</v>
      </c>
      <c r="AB98" s="54"/>
      <c r="AC98" s="53"/>
      <c r="AD98" s="53"/>
      <c r="AE98" s="53"/>
      <c r="AF98" s="53"/>
      <c r="AG98" s="54"/>
      <c r="AH98" s="54"/>
      <c r="AI98" s="54"/>
      <c r="AJ98" s="54"/>
      <c r="AK98" s="54"/>
      <c r="AL98" s="54"/>
      <c r="AM98" s="53"/>
      <c r="AN98" s="53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3"/>
      <c r="BE98" s="53"/>
      <c r="BF98" s="54"/>
      <c r="BG98" s="54"/>
      <c r="BH98" s="68"/>
    </row>
    <row r="99" spans="1:60" x14ac:dyDescent="0.3">
      <c r="A99" t="s">
        <v>588</v>
      </c>
      <c r="B99" s="13" t="s">
        <v>193</v>
      </c>
      <c r="C99" s="14" t="s">
        <v>194</v>
      </c>
      <c r="D99" s="63">
        <v>96.613000000000014</v>
      </c>
      <c r="E99" s="63">
        <f>Tabelle2[[#This Row],[BIP (mrd.)]]*1000000000/Tabelle2[[#This Row],[Bevölkerung]]</f>
        <v>142555.92279997643</v>
      </c>
      <c r="F99" s="63">
        <v>0.91</v>
      </c>
      <c r="G99" s="53">
        <v>2590</v>
      </c>
      <c r="H99" s="63">
        <v>677720</v>
      </c>
      <c r="I99" s="88">
        <v>5.87</v>
      </c>
      <c r="J99" s="88">
        <f>Tabelle2[[#This Row],[Strom (mrd.)]]*1000000000/Tabelle2[[#This Row],[Bevölkerung]]</f>
        <v>8661.3940860532366</v>
      </c>
      <c r="K99" s="67">
        <v>2.2999999999999998</v>
      </c>
      <c r="L99" s="53">
        <v>138220</v>
      </c>
      <c r="M99" s="63">
        <f>Tabelle2[[#This Row],[Wohnimmobilien Anzahl]]/Tabelle2[[#This Row],[Bevölkerung]]</f>
        <v>0.2039485333175943</v>
      </c>
      <c r="N99" s="53">
        <f t="shared" si="3"/>
        <v>-138219.79605146669</v>
      </c>
      <c r="O99" s="53"/>
      <c r="P99" s="53"/>
      <c r="Q99" s="54"/>
      <c r="R99" s="54"/>
      <c r="S99" s="54"/>
      <c r="T99" s="54"/>
      <c r="U99" s="54"/>
      <c r="V99" s="54"/>
      <c r="W99" s="54"/>
      <c r="X99" s="54"/>
      <c r="Y99" s="54">
        <v>1</v>
      </c>
      <c r="Z99" s="54">
        <v>1</v>
      </c>
      <c r="AA99" s="87">
        <v>264311</v>
      </c>
      <c r="AB99" s="54"/>
      <c r="AC99" s="53"/>
      <c r="AD99" s="53"/>
      <c r="AE99" s="53"/>
      <c r="AF99" s="53"/>
      <c r="AG99" s="54"/>
      <c r="AH99" s="54"/>
      <c r="AI99" s="54"/>
      <c r="AJ99" s="54"/>
      <c r="AK99" s="54"/>
      <c r="AL99" s="54"/>
      <c r="AM99" s="53"/>
      <c r="AN99" s="53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3"/>
      <c r="BE99" s="53"/>
      <c r="BF99" s="54"/>
      <c r="BG99" s="54"/>
      <c r="BH99" s="68"/>
    </row>
    <row r="100" spans="1:60" hidden="1" x14ac:dyDescent="0.3">
      <c r="B100" s="2" t="s">
        <v>195</v>
      </c>
      <c r="C100" s="3" t="s">
        <v>196</v>
      </c>
      <c r="D100" s="63">
        <v>1.8707999999999999E-2</v>
      </c>
      <c r="E100" s="63">
        <f>Tabelle2[[#This Row],[BIP (mrd.)]]*1000000000/Tabelle2[[#This Row],[Bevölkerung]]</f>
        <v>0.58526586612340514</v>
      </c>
      <c r="F100" s="63">
        <v>0.372</v>
      </c>
      <c r="G100" s="53">
        <v>587295</v>
      </c>
      <c r="H100" s="63">
        <v>31964960</v>
      </c>
      <c r="I100" s="88"/>
      <c r="J100" s="88">
        <f>Tabelle2[[#This Row],[Strom (mrd.)]]*1000000000/Tabelle2[[#This Row],[Bevölkerung]]</f>
        <v>0</v>
      </c>
      <c r="K100" s="67"/>
      <c r="L100" s="53"/>
      <c r="M100" s="53">
        <f>Tabelle2[[#This Row],[Wohnimmobilien Anzahl]]/Tabelle2[[#This Row],[Bevölkerung]]</f>
        <v>0</v>
      </c>
      <c r="N100" s="53">
        <f t="shared" si="3"/>
        <v>0</v>
      </c>
      <c r="O100" s="53"/>
      <c r="P100" s="53"/>
      <c r="Q100" s="54"/>
      <c r="R100" s="54"/>
      <c r="S100" s="54"/>
      <c r="T100" s="54"/>
      <c r="U100" s="54"/>
      <c r="V100" s="54"/>
      <c r="W100" s="54"/>
      <c r="X100" s="54"/>
      <c r="Y100" s="54"/>
      <c r="Z100" s="54">
        <v>0</v>
      </c>
      <c r="AA100" s="54"/>
      <c r="AB100" s="54"/>
      <c r="AC100" s="53"/>
      <c r="AD100" s="53"/>
      <c r="AE100" s="53"/>
      <c r="AF100" s="53"/>
      <c r="AG100" s="54"/>
      <c r="AH100" s="54"/>
      <c r="AI100" s="54"/>
      <c r="AJ100" s="54"/>
      <c r="AK100" s="54"/>
      <c r="AL100" s="54"/>
      <c r="AM100" s="53"/>
      <c r="AN100" s="53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3"/>
      <c r="BE100" s="53"/>
      <c r="BF100" s="54"/>
      <c r="BG100" s="54"/>
      <c r="BH100" s="68"/>
    </row>
    <row r="101" spans="1:60" hidden="1" x14ac:dyDescent="0.3">
      <c r="B101" s="4" t="s">
        <v>197</v>
      </c>
      <c r="C101" s="5" t="s">
        <v>198</v>
      </c>
      <c r="D101" s="63">
        <v>13.959</v>
      </c>
      <c r="E101" s="63">
        <f>Tabelle2[[#This Row],[BIP (mrd.)]]*1000000000/Tabelle2[[#This Row],[Bevölkerung]]</f>
        <v>644.60000304775417</v>
      </c>
      <c r="F101" s="63">
        <v>0.16900000000000001</v>
      </c>
      <c r="G101" s="53">
        <v>118480</v>
      </c>
      <c r="H101" s="63">
        <v>21655290</v>
      </c>
      <c r="I101" s="88">
        <v>1.585</v>
      </c>
      <c r="J101" s="88">
        <f>Tabelle2[[#This Row],[Strom (mrd.)]]*1000000000/Tabelle2[[#This Row],[Bevölkerung]]</f>
        <v>73.192277729829527</v>
      </c>
      <c r="K101" s="67">
        <v>4.51</v>
      </c>
      <c r="L101" s="53"/>
      <c r="M101" s="53">
        <f>Tabelle2[[#This Row],[Wohnimmobilien Anzahl]]/Tabelle2[[#This Row],[Bevölkerung]]</f>
        <v>0</v>
      </c>
      <c r="N101" s="53">
        <f t="shared" si="3"/>
        <v>0</v>
      </c>
      <c r="O101" s="53"/>
      <c r="P101" s="53"/>
      <c r="Q101" s="54"/>
      <c r="R101" s="54"/>
      <c r="S101" s="54"/>
      <c r="T101" s="54"/>
      <c r="U101" s="54"/>
      <c r="V101" s="54"/>
      <c r="W101" s="54"/>
      <c r="X101" s="54"/>
      <c r="Y101" s="54">
        <v>0</v>
      </c>
      <c r="Z101" s="54" t="s">
        <v>987</v>
      </c>
      <c r="AA101" s="54">
        <v>4805431</v>
      </c>
      <c r="AB101" s="54"/>
      <c r="AC101" s="53"/>
      <c r="AD101" s="53"/>
      <c r="AE101" s="53"/>
      <c r="AF101" s="53"/>
      <c r="AG101" s="54"/>
      <c r="AH101" s="54"/>
      <c r="AI101" s="54"/>
      <c r="AJ101" s="54"/>
      <c r="AK101" s="54"/>
      <c r="AL101" s="54"/>
      <c r="AM101" s="53"/>
      <c r="AN101" s="53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3"/>
      <c r="BE101" s="53"/>
      <c r="BF101" s="54"/>
      <c r="BG101" s="54"/>
      <c r="BH101" s="68"/>
    </row>
    <row r="102" spans="1:60" hidden="1" x14ac:dyDescent="0.3">
      <c r="B102" s="13" t="s">
        <v>199</v>
      </c>
      <c r="C102" s="14" t="s">
        <v>200</v>
      </c>
      <c r="D102" s="63">
        <v>444.98399999999998</v>
      </c>
      <c r="E102" s="63">
        <f>Tabelle2[[#This Row],[BIP (mrd.)]]*1000000000/Tabelle2[[#This Row],[Bevölkerung]]</f>
        <v>12514.430782444406</v>
      </c>
      <c r="F102" s="63">
        <v>0.76</v>
      </c>
      <c r="G102" s="53">
        <v>330411</v>
      </c>
      <c r="H102" s="63">
        <v>35557670</v>
      </c>
      <c r="I102" s="88">
        <v>178.65299999999999</v>
      </c>
      <c r="J102" s="88">
        <f>Tabelle2[[#This Row],[Strom (mrd.)]]*1000000000/Tabelle2[[#This Row],[Bevölkerung]]</f>
        <v>5024.316835158209</v>
      </c>
      <c r="K102" s="67">
        <v>4.5599999999999996</v>
      </c>
      <c r="L102" s="53"/>
      <c r="M102" s="53">
        <f>Tabelle2[[#This Row],[Wohnimmobilien Anzahl]]/Tabelle2[[#This Row],[Bevölkerung]]</f>
        <v>0</v>
      </c>
      <c r="N102" s="53">
        <f t="shared" si="3"/>
        <v>0</v>
      </c>
      <c r="O102" s="53"/>
      <c r="P102" s="53"/>
      <c r="Q102" s="54"/>
      <c r="R102" s="54"/>
      <c r="S102" s="54"/>
      <c r="T102" s="54"/>
      <c r="U102" s="54"/>
      <c r="V102" s="54"/>
      <c r="W102" s="54"/>
      <c r="X102" s="54"/>
      <c r="Y102" s="54">
        <v>0</v>
      </c>
      <c r="Z102" s="54" t="s">
        <v>988</v>
      </c>
      <c r="AA102" s="54">
        <v>6343987</v>
      </c>
      <c r="AB102" s="54"/>
      <c r="AC102" s="53"/>
      <c r="AD102" s="53"/>
      <c r="AE102" s="53"/>
      <c r="AF102" s="53"/>
      <c r="AG102" s="54"/>
      <c r="AH102" s="54"/>
      <c r="AI102" s="54"/>
      <c r="AJ102" s="54"/>
      <c r="AK102" s="54">
        <v>123077</v>
      </c>
      <c r="AL102" s="54"/>
      <c r="AM102" s="53"/>
      <c r="AN102" s="53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3"/>
      <c r="BE102" s="53"/>
      <c r="BF102" s="54"/>
      <c r="BG102" s="54"/>
      <c r="BH102" s="68"/>
    </row>
    <row r="103" spans="1:60" hidden="1" x14ac:dyDescent="0.3">
      <c r="B103" s="4" t="s">
        <v>201</v>
      </c>
      <c r="C103" s="5" t="s">
        <v>202</v>
      </c>
      <c r="D103" s="63">
        <v>7.48</v>
      </c>
      <c r="E103" s="63">
        <f>Tabelle2[[#This Row],[BIP (mrd.)]]*1000000000/Tabelle2[[#This Row],[Bevölkerung]]</f>
        <v>14172.034861690034</v>
      </c>
      <c r="F103" s="63">
        <v>0.39800000000000002</v>
      </c>
      <c r="G103" s="53">
        <v>300</v>
      </c>
      <c r="H103" s="63">
        <v>527800</v>
      </c>
      <c r="I103" s="88">
        <v>0.82139700000000004</v>
      </c>
      <c r="J103" s="88">
        <f>Tabelle2[[#This Row],[Strom (mrd.)]]*1000000000/Tabelle2[[#This Row],[Bevölkerung]]</f>
        <v>1556.2656309208032</v>
      </c>
      <c r="K103" s="67">
        <v>5.4</v>
      </c>
      <c r="L103" s="53"/>
      <c r="M103" s="53">
        <f>Tabelle2[[#This Row],[Wohnimmobilien Anzahl]]/Tabelle2[[#This Row],[Bevölkerung]]</f>
        <v>0</v>
      </c>
      <c r="N103" s="53">
        <f t="shared" si="3"/>
        <v>0</v>
      </c>
      <c r="O103" s="53"/>
      <c r="P103" s="53"/>
      <c r="Q103" s="54"/>
      <c r="R103" s="54"/>
      <c r="S103" s="54"/>
      <c r="T103" s="54"/>
      <c r="U103" s="54"/>
      <c r="V103" s="54"/>
      <c r="W103" s="54"/>
      <c r="X103" s="54"/>
      <c r="Y103" s="54">
        <v>0</v>
      </c>
      <c r="Z103" s="54" t="s">
        <v>988</v>
      </c>
      <c r="AA103" s="54">
        <v>65764</v>
      </c>
      <c r="AB103" s="54"/>
      <c r="AC103" s="53"/>
      <c r="AD103" s="53"/>
      <c r="AE103" s="53"/>
      <c r="AF103" s="53"/>
      <c r="AG103" s="54"/>
      <c r="AH103" s="54"/>
      <c r="AI103" s="54"/>
      <c r="AJ103" s="54"/>
      <c r="AK103" s="54"/>
      <c r="AL103" s="54"/>
      <c r="AM103" s="53"/>
      <c r="AN103" s="53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3"/>
      <c r="BE103" s="53"/>
      <c r="BF103" s="54"/>
      <c r="BG103" s="54"/>
      <c r="BH103" s="68"/>
    </row>
    <row r="104" spans="1:60" hidden="1" x14ac:dyDescent="0.3">
      <c r="B104" s="2" t="s">
        <v>203</v>
      </c>
      <c r="C104" s="3" t="s">
        <v>204</v>
      </c>
      <c r="D104" s="63">
        <v>2.3207999999999996E-2</v>
      </c>
      <c r="E104" s="63">
        <f>Tabelle2[[#This Row],[BIP (mrd.)]]*1000000000/Tabelle2[[#This Row],[Bevölkerung]]</f>
        <v>0.94809343671615187</v>
      </c>
      <c r="F104" s="63">
        <v>0.42399999999999999</v>
      </c>
      <c r="G104" s="53">
        <v>1240190</v>
      </c>
      <c r="H104" s="63">
        <v>24478600</v>
      </c>
      <c r="I104" s="88"/>
      <c r="J104" s="88">
        <f>Tabelle2[[#This Row],[Strom (mrd.)]]*1000000000/Tabelle2[[#This Row],[Bevölkerung]]</f>
        <v>0</v>
      </c>
      <c r="K104" s="67"/>
      <c r="L104" s="53"/>
      <c r="M104" s="53">
        <f>Tabelle2[[#This Row],[Wohnimmobilien Anzahl]]/Tabelle2[[#This Row],[Bevölkerung]]</f>
        <v>0</v>
      </c>
      <c r="N104" s="53">
        <f t="shared" si="3"/>
        <v>0</v>
      </c>
      <c r="O104" s="53"/>
      <c r="P104" s="53"/>
      <c r="Q104" s="54"/>
      <c r="R104" s="54"/>
      <c r="S104" s="54"/>
      <c r="T104" s="54"/>
      <c r="U104" s="54"/>
      <c r="V104" s="54"/>
      <c r="W104" s="54"/>
      <c r="X104" s="54"/>
      <c r="Y104" s="54"/>
      <c r="Z104" s="54">
        <v>0</v>
      </c>
      <c r="AA104" s="54"/>
      <c r="AB104" s="54"/>
      <c r="AC104" s="53"/>
      <c r="AD104" s="53"/>
      <c r="AE104" s="53"/>
      <c r="AF104" s="53"/>
      <c r="AG104" s="54"/>
      <c r="AH104" s="54"/>
      <c r="AI104" s="54"/>
      <c r="AJ104" s="54"/>
      <c r="AK104" s="54"/>
      <c r="AL104" s="54"/>
      <c r="AM104" s="53"/>
      <c r="AN104" s="53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3"/>
      <c r="BE104" s="53"/>
      <c r="BF104" s="54"/>
      <c r="BG104" s="54"/>
      <c r="BH104" s="68"/>
    </row>
    <row r="105" spans="1:60" x14ac:dyDescent="0.3">
      <c r="A105" t="s">
        <v>588</v>
      </c>
      <c r="B105" s="22" t="s">
        <v>205</v>
      </c>
      <c r="C105" s="23" t="s">
        <v>206</v>
      </c>
      <c r="D105" s="63">
        <v>25.75</v>
      </c>
      <c r="E105" s="63">
        <f>Tabelle2[[#This Row],[BIP (mrd.)]]*1000000000/Tabelle2[[#This Row],[Bevölkerung]]</f>
        <v>44833.289805867505</v>
      </c>
      <c r="F105" s="63">
        <v>0.94599999999999995</v>
      </c>
      <c r="G105" s="53">
        <v>320</v>
      </c>
      <c r="H105" s="63">
        <v>574350</v>
      </c>
      <c r="I105" s="88">
        <v>2.766</v>
      </c>
      <c r="J105" s="88">
        <f>Tabelle2[[#This Row],[Strom (mrd.)]]*1000000000/Tabelle2[[#This Row],[Bevölkerung]]</f>
        <v>4815.8788195351262</v>
      </c>
      <c r="K105" s="67">
        <v>2.2999999999999998</v>
      </c>
      <c r="L105" s="53">
        <v>74820</v>
      </c>
      <c r="M105" s="63">
        <f>Tabelle2[[#This Row],[Wohnimmobilien Anzahl]]/Tabelle2[[#This Row],[Bevölkerung]]</f>
        <v>0.13026899973883521</v>
      </c>
      <c r="N105" s="53">
        <f t="shared" si="3"/>
        <v>-74819.869731000261</v>
      </c>
      <c r="O105" s="53"/>
      <c r="P105" s="53">
        <v>215691</v>
      </c>
      <c r="Q105" s="54"/>
      <c r="R105" s="54"/>
      <c r="S105" s="54"/>
      <c r="T105" s="54"/>
      <c r="U105" s="54"/>
      <c r="V105" s="54"/>
      <c r="W105" s="54"/>
      <c r="X105" s="54"/>
      <c r="Y105" s="54">
        <v>0</v>
      </c>
      <c r="Z105" s="54" t="s">
        <v>989</v>
      </c>
      <c r="AA105" s="54">
        <v>297304</v>
      </c>
      <c r="AB105" s="54"/>
      <c r="AC105" s="53"/>
      <c r="AD105" s="53"/>
      <c r="AE105" s="53"/>
      <c r="AF105" s="53"/>
      <c r="AG105" s="54"/>
      <c r="AH105" s="54"/>
      <c r="AI105" s="54"/>
      <c r="AJ105" s="54"/>
      <c r="AK105" s="54"/>
      <c r="AL105" s="54"/>
      <c r="AM105" s="53"/>
      <c r="AN105" s="53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3"/>
      <c r="BE105" s="53"/>
      <c r="BF105" s="54"/>
      <c r="BG105" s="54"/>
      <c r="BH105" s="68"/>
    </row>
    <row r="106" spans="1:60" hidden="1" x14ac:dyDescent="0.3">
      <c r="B106" s="22" t="s">
        <v>207</v>
      </c>
      <c r="C106" s="23" t="s">
        <v>208</v>
      </c>
      <c r="D106" s="63">
        <v>0.16583500000000001</v>
      </c>
      <c r="E106" s="63">
        <f>Tabelle2[[#This Row],[BIP (mrd.)]]*1000000000/Tabelle2[[#This Row],[Bevölkerung]]</f>
        <v>4.3547769146798796</v>
      </c>
      <c r="F106" s="63">
        <v>0.625</v>
      </c>
      <c r="G106" s="53">
        <v>446550</v>
      </c>
      <c r="H106" s="63">
        <v>38081170</v>
      </c>
      <c r="I106" s="88"/>
      <c r="J106" s="88">
        <f>Tabelle2[[#This Row],[Strom (mrd.)]]*1000000000/Tabelle2[[#This Row],[Bevölkerung]]</f>
        <v>0</v>
      </c>
      <c r="K106" s="67"/>
      <c r="L106" s="53"/>
      <c r="M106" s="53">
        <f>Tabelle2[[#This Row],[Wohnimmobilien Anzahl]]/Tabelle2[[#This Row],[Bevölkerung]]</f>
        <v>0</v>
      </c>
      <c r="N106" s="53">
        <f t="shared" si="3"/>
        <v>0</v>
      </c>
      <c r="O106" s="53"/>
      <c r="P106" s="53"/>
      <c r="Q106" s="54"/>
      <c r="R106" s="54"/>
      <c r="S106" s="54"/>
      <c r="T106" s="54"/>
      <c r="U106" s="54"/>
      <c r="V106" s="54"/>
      <c r="W106" s="54"/>
      <c r="X106" s="54"/>
      <c r="Y106" s="54"/>
      <c r="Z106" s="54">
        <v>0</v>
      </c>
      <c r="AA106" s="54"/>
      <c r="AB106" s="54"/>
      <c r="AC106" s="53"/>
      <c r="AD106" s="53"/>
      <c r="AE106" s="53"/>
      <c r="AF106" s="53"/>
      <c r="AG106" s="54"/>
      <c r="AH106" s="54"/>
      <c r="AI106" s="54"/>
      <c r="AJ106" s="54"/>
      <c r="AK106" s="54"/>
      <c r="AL106" s="54"/>
      <c r="AM106" s="53"/>
      <c r="AN106" s="53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3"/>
      <c r="BE106" s="53"/>
      <c r="BF106" s="54"/>
      <c r="BG106" s="54"/>
      <c r="BH106" s="68"/>
    </row>
    <row r="107" spans="1:60" hidden="1" x14ac:dyDescent="0.3">
      <c r="B107" s="2" t="s">
        <v>209</v>
      </c>
      <c r="C107" s="3" t="s">
        <v>210</v>
      </c>
      <c r="D107" s="63">
        <v>2.9699999999999997E-7</v>
      </c>
      <c r="E107" s="63">
        <f>Tabelle2[[#This Row],[BIP (mrd.)]]*1000000000/Tabelle2[[#This Row],[Bevölkerung]]</f>
        <v>7.909454061251665E-3</v>
      </c>
      <c r="F107" s="63">
        <v>0.77</v>
      </c>
      <c r="G107" s="53">
        <v>180</v>
      </c>
      <c r="H107" s="63">
        <v>37550</v>
      </c>
      <c r="I107" s="88"/>
      <c r="J107" s="88">
        <f>Tabelle2[[#This Row],[Strom (mrd.)]]*1000000000/Tabelle2[[#This Row],[Bevölkerung]]</f>
        <v>0</v>
      </c>
      <c r="K107" s="67"/>
      <c r="L107" s="53"/>
      <c r="M107" s="53">
        <f>Tabelle2[[#This Row],[Wohnimmobilien Anzahl]]/Tabelle2[[#This Row],[Bevölkerung]]</f>
        <v>0</v>
      </c>
      <c r="N107" s="53">
        <f t="shared" si="3"/>
        <v>0</v>
      </c>
      <c r="O107" s="53"/>
      <c r="P107" s="53"/>
      <c r="Q107" s="54"/>
      <c r="R107" s="54"/>
      <c r="S107" s="54"/>
      <c r="T107" s="54"/>
      <c r="U107" s="54"/>
      <c r="V107" s="54"/>
      <c r="W107" s="54"/>
      <c r="X107" s="54"/>
      <c r="Y107" s="54"/>
      <c r="Z107" s="54">
        <v>0</v>
      </c>
      <c r="AA107" s="54"/>
      <c r="AB107" s="54"/>
      <c r="AC107" s="53"/>
      <c r="AD107" s="53"/>
      <c r="AE107" s="53"/>
      <c r="AF107" s="53"/>
      <c r="AG107" s="54"/>
      <c r="AH107" s="54"/>
      <c r="AI107" s="54"/>
      <c r="AJ107" s="54"/>
      <c r="AK107" s="54"/>
      <c r="AL107" s="54"/>
      <c r="AM107" s="53"/>
      <c r="AN107" s="53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3"/>
      <c r="BE107" s="53"/>
      <c r="BF107" s="54"/>
      <c r="BG107" s="54"/>
      <c r="BH107" s="68"/>
    </row>
    <row r="108" spans="1:60" hidden="1" x14ac:dyDescent="0.3">
      <c r="B108" s="2" t="s">
        <v>211</v>
      </c>
      <c r="C108" s="3" t="s">
        <v>212</v>
      </c>
      <c r="D108" s="63">
        <v>1.1469999999999999E-2</v>
      </c>
      <c r="E108" s="63">
        <f>Tabelle2[[#This Row],[BIP (mrd.)]]*1000000000/Tabelle2[[#This Row],[Bevölkerung]]</f>
        <v>2.2188261693813596</v>
      </c>
      <c r="F108" s="63">
        <v>0.53700000000000003</v>
      </c>
      <c r="G108" s="53">
        <v>1030700</v>
      </c>
      <c r="H108" s="63">
        <v>5169400</v>
      </c>
      <c r="I108" s="88"/>
      <c r="J108" s="88">
        <f>Tabelle2[[#This Row],[Strom (mrd.)]]*1000000000/Tabelle2[[#This Row],[Bevölkerung]]</f>
        <v>0</v>
      </c>
      <c r="K108" s="67"/>
      <c r="L108" s="53"/>
      <c r="M108" s="53">
        <f>Tabelle2[[#This Row],[Wohnimmobilien Anzahl]]/Tabelle2[[#This Row],[Bevölkerung]]</f>
        <v>0</v>
      </c>
      <c r="N108" s="53">
        <f t="shared" si="3"/>
        <v>0</v>
      </c>
      <c r="O108" s="53"/>
      <c r="P108" s="53"/>
      <c r="Q108" s="54"/>
      <c r="R108" s="54"/>
      <c r="S108" s="54"/>
      <c r="T108" s="54"/>
      <c r="U108" s="54"/>
      <c r="V108" s="54"/>
      <c r="W108" s="54"/>
      <c r="X108" s="54"/>
      <c r="Y108" s="54"/>
      <c r="Z108" s="54">
        <v>0</v>
      </c>
      <c r="AA108" s="54"/>
      <c r="AB108" s="54"/>
      <c r="AC108" s="53"/>
      <c r="AD108" s="53"/>
      <c r="AE108" s="53"/>
      <c r="AF108" s="53"/>
      <c r="AG108" s="54"/>
      <c r="AH108" s="54"/>
      <c r="AI108" s="54"/>
      <c r="AJ108" s="54"/>
      <c r="AK108" s="54"/>
      <c r="AL108" s="54"/>
      <c r="AM108" s="53"/>
      <c r="AN108" s="53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3"/>
      <c r="BE108" s="53"/>
      <c r="BF108" s="54"/>
      <c r="BG108" s="54"/>
      <c r="BH108" s="68"/>
    </row>
    <row r="109" spans="1:60" x14ac:dyDescent="0.3">
      <c r="A109" t="s">
        <v>588</v>
      </c>
      <c r="B109" s="17" t="s">
        <v>213</v>
      </c>
      <c r="C109" s="18" t="s">
        <v>214</v>
      </c>
      <c r="D109" s="63">
        <v>15.494</v>
      </c>
      <c r="E109" s="63">
        <f>Tabelle2[[#This Row],[BIP (mrd.)]]*1000000000/Tabelle2[[#This Row],[Bevölkerung]]</f>
        <v>12301.609356019404</v>
      </c>
      <c r="F109" s="63">
        <v>0.40799999999999997</v>
      </c>
      <c r="G109" s="53">
        <v>2010</v>
      </c>
      <c r="H109" s="63">
        <v>1259510</v>
      </c>
      <c r="I109" s="88">
        <v>3.0840000000000001</v>
      </c>
      <c r="J109" s="88">
        <f>Tabelle2[[#This Row],[Strom (mrd.)]]*1000000000/Tabelle2[[#This Row],[Bevölkerung]]</f>
        <v>2448.5712697795175</v>
      </c>
      <c r="K109" s="67">
        <v>5.38</v>
      </c>
      <c r="L109" s="53">
        <v>329000</v>
      </c>
      <c r="M109" s="63">
        <f>Tabelle2[[#This Row],[Wohnimmobilien Anzahl]]/Tabelle2[[#This Row],[Bevölkerung]]</f>
        <v>0.26121269382537654</v>
      </c>
      <c r="N109" s="53">
        <f t="shared" si="3"/>
        <v>-328999.73878730618</v>
      </c>
      <c r="O109" s="53"/>
      <c r="P109" s="53">
        <v>354062</v>
      </c>
      <c r="Q109" s="54"/>
      <c r="R109" s="54"/>
      <c r="S109" s="54"/>
      <c r="T109" s="54"/>
      <c r="U109" s="54"/>
      <c r="V109" s="54"/>
      <c r="W109" s="54"/>
      <c r="X109" s="54"/>
      <c r="Y109" s="54">
        <v>0</v>
      </c>
      <c r="Z109" s="54" t="s">
        <v>990</v>
      </c>
      <c r="AA109" s="54">
        <v>411700</v>
      </c>
      <c r="AB109" s="54"/>
      <c r="AC109" s="53"/>
      <c r="AD109" s="53"/>
      <c r="AE109" s="53"/>
      <c r="AF109" s="53"/>
      <c r="AG109" s="54"/>
      <c r="AH109" s="54"/>
      <c r="AI109" s="54"/>
      <c r="AJ109" s="54"/>
      <c r="AK109" s="54"/>
      <c r="AL109" s="54"/>
      <c r="AM109" s="53"/>
      <c r="AN109" s="53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3"/>
      <c r="BE109" s="53"/>
      <c r="BF109" s="54"/>
      <c r="BG109" s="54"/>
      <c r="BH109" s="68"/>
    </row>
    <row r="110" spans="1:60" hidden="1" x14ac:dyDescent="0.3">
      <c r="B110" s="2" t="s">
        <v>215</v>
      </c>
      <c r="C110" s="3" t="s">
        <v>216</v>
      </c>
      <c r="D110" s="63">
        <v>17.885000000000002</v>
      </c>
      <c r="E110" s="63">
        <f>Tabelle2[[#This Row],[BIP (mrd.)]]*1000000000/Tabelle2[[#This Row],[Bevölkerung]]</f>
        <v>9979.4663482462693</v>
      </c>
      <c r="F110" s="63">
        <v>0.57999999999999996</v>
      </c>
      <c r="G110" s="53">
        <v>25710</v>
      </c>
      <c r="H110" s="63">
        <v>1792180</v>
      </c>
      <c r="I110" s="88">
        <v>5.8959999999999999</v>
      </c>
      <c r="J110" s="88">
        <f>Tabelle2[[#This Row],[Strom (mrd.)]]*1000000000/Tabelle2[[#This Row],[Bevölkerung]]</f>
        <v>3289.8481179345827</v>
      </c>
      <c r="K110" s="67">
        <v>3.5</v>
      </c>
      <c r="L110" s="53"/>
      <c r="M110" s="53">
        <f>Tabelle2[[#This Row],[Wohnimmobilien Anzahl]]/Tabelle2[[#This Row],[Bevölkerung]]</f>
        <v>0</v>
      </c>
      <c r="N110" s="53">
        <f t="shared" si="3"/>
        <v>0</v>
      </c>
      <c r="O110" s="53"/>
      <c r="P110" s="53">
        <v>531987</v>
      </c>
      <c r="Q110" s="54"/>
      <c r="R110" s="54"/>
      <c r="S110" s="54"/>
      <c r="T110" s="54"/>
      <c r="U110" s="54"/>
      <c r="V110" s="54"/>
      <c r="W110" s="54"/>
      <c r="X110" s="54"/>
      <c r="Y110" s="54">
        <v>0</v>
      </c>
      <c r="Z110" s="54" t="s">
        <v>987</v>
      </c>
      <c r="AA110" s="54">
        <v>839174</v>
      </c>
      <c r="AB110" s="54">
        <v>83062799</v>
      </c>
      <c r="AC110" s="53"/>
      <c r="AD110" s="53"/>
      <c r="AE110" s="53"/>
      <c r="AF110" s="53"/>
      <c r="AG110" s="54"/>
      <c r="AH110" s="54"/>
      <c r="AI110" s="54"/>
      <c r="AJ110" s="54"/>
      <c r="AK110" s="54"/>
      <c r="AL110" s="54"/>
      <c r="AM110" s="53"/>
      <c r="AN110" s="53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3"/>
      <c r="BE110" s="53"/>
      <c r="BF110" s="54"/>
      <c r="BG110" s="54"/>
      <c r="BH110" s="68"/>
    </row>
    <row r="111" spans="1:60" hidden="1" x14ac:dyDescent="0.3">
      <c r="B111" s="19" t="s">
        <v>217</v>
      </c>
      <c r="C111" s="20" t="s">
        <v>218</v>
      </c>
      <c r="D111" s="63">
        <v>1692.64</v>
      </c>
      <c r="E111" s="63">
        <f>Tabelle2[[#This Row],[BIP (mrd.)]]*1000000000/Tabelle2[[#This Row],[Bevölkerung]]</f>
        <v>12934.639584395689</v>
      </c>
      <c r="F111" s="63">
        <v>0.80200000000000005</v>
      </c>
      <c r="G111" s="53">
        <v>1957194</v>
      </c>
      <c r="H111" s="63">
        <v>130861010</v>
      </c>
      <c r="I111" s="88">
        <v>332.04199999999997</v>
      </c>
      <c r="J111" s="88">
        <f>Tabelle2[[#This Row],[Strom (mrd.)]]*1000000000/Tabelle2[[#This Row],[Bevölkerung]]</f>
        <v>2537.3638794320782</v>
      </c>
      <c r="K111" s="67">
        <v>3.74</v>
      </c>
      <c r="L111" s="53"/>
      <c r="M111" s="53">
        <f>Tabelle2[[#This Row],[Wohnimmobilien Anzahl]]/Tabelle2[[#This Row],[Bevölkerung]]</f>
        <v>0</v>
      </c>
      <c r="N111" s="53">
        <f t="shared" si="3"/>
        <v>0</v>
      </c>
      <c r="O111" s="53"/>
      <c r="P111" s="53"/>
      <c r="Q111" s="54"/>
      <c r="R111" s="54"/>
      <c r="S111" s="54"/>
      <c r="T111" s="54"/>
      <c r="U111" s="54"/>
      <c r="V111" s="54"/>
      <c r="W111" s="54"/>
      <c r="X111" s="54"/>
      <c r="Y111" s="54">
        <v>1</v>
      </c>
      <c r="Z111" s="54" t="s">
        <v>988</v>
      </c>
      <c r="AA111" s="54">
        <v>35219141</v>
      </c>
      <c r="AB111" s="54"/>
      <c r="AC111" s="53"/>
      <c r="AD111" s="53"/>
      <c r="AE111" s="53"/>
      <c r="AF111" s="53"/>
      <c r="AG111" s="54"/>
      <c r="AH111" s="54"/>
      <c r="AI111" s="54"/>
      <c r="AJ111" s="54"/>
      <c r="AK111" s="54"/>
      <c r="AL111" s="54"/>
      <c r="AM111" s="53"/>
      <c r="AN111" s="53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3"/>
      <c r="BE111" s="53"/>
      <c r="BF111" s="54"/>
      <c r="BG111" s="54"/>
      <c r="BH111" s="68"/>
    </row>
    <row r="112" spans="1:60" hidden="1" x14ac:dyDescent="0.3">
      <c r="B112" s="2" t="s">
        <v>219</v>
      </c>
      <c r="C112" s="3" t="s">
        <v>220</v>
      </c>
      <c r="D112" s="63">
        <v>5.0000000000000008E-7</v>
      </c>
      <c r="E112" s="63">
        <f>Tabelle2[[#This Row],[BIP (mrd.)]]*1000000000/Tabelle2[[#This Row],[Bevölkerung]]</f>
        <v>4.4185224460940265E-3</v>
      </c>
      <c r="F112" s="63">
        <v>0.22700000000000001</v>
      </c>
      <c r="G112" s="53">
        <v>700</v>
      </c>
      <c r="H112" s="63">
        <v>113160</v>
      </c>
      <c r="I112" s="88"/>
      <c r="J112" s="88">
        <f>Tabelle2[[#This Row],[Strom (mrd.)]]*1000000000/Tabelle2[[#This Row],[Bevölkerung]]</f>
        <v>0</v>
      </c>
      <c r="K112" s="67"/>
      <c r="L112" s="53"/>
      <c r="M112" s="53">
        <f>Tabelle2[[#This Row],[Wohnimmobilien Anzahl]]/Tabelle2[[#This Row],[Bevölkerung]]</f>
        <v>0</v>
      </c>
      <c r="N112" s="53">
        <f t="shared" si="3"/>
        <v>0</v>
      </c>
      <c r="O112" s="53"/>
      <c r="P112" s="53"/>
      <c r="Q112" s="54"/>
      <c r="R112" s="54"/>
      <c r="S112" s="54"/>
      <c r="T112" s="54"/>
      <c r="U112" s="54"/>
      <c r="V112" s="54"/>
      <c r="W112" s="54"/>
      <c r="X112" s="54"/>
      <c r="Y112" s="54"/>
      <c r="Z112" s="54">
        <v>0</v>
      </c>
      <c r="AA112" s="54"/>
      <c r="AB112" s="54"/>
      <c r="AC112" s="53"/>
      <c r="AD112" s="53"/>
      <c r="AE112" s="53"/>
      <c r="AF112" s="53"/>
      <c r="AG112" s="54"/>
      <c r="AH112" s="54"/>
      <c r="AI112" s="54"/>
      <c r="AJ112" s="54"/>
      <c r="AK112" s="54"/>
      <c r="AL112" s="54"/>
      <c r="AM112" s="53"/>
      <c r="AN112" s="53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3"/>
      <c r="BE112" s="53"/>
      <c r="BF112" s="54"/>
      <c r="BG112" s="54"/>
      <c r="BH112" s="68"/>
    </row>
    <row r="113" spans="1:60" hidden="1" x14ac:dyDescent="0.3">
      <c r="B113" s="2" t="s">
        <v>221</v>
      </c>
      <c r="C113" s="3" t="s">
        <v>222</v>
      </c>
      <c r="D113" s="63">
        <v>19.462</v>
      </c>
      <c r="E113" s="63">
        <f>Tabelle2[[#This Row],[BIP (mrd.)]]*1000000000/Tabelle2[[#This Row],[Bevölkerung]]</f>
        <v>8145.5501238866937</v>
      </c>
      <c r="F113" s="63">
        <v>0.42599999999999999</v>
      </c>
      <c r="G113" s="53">
        <v>33850</v>
      </c>
      <c r="H113" s="63">
        <v>2389280</v>
      </c>
      <c r="I113" s="88">
        <v>5.6740000000000004</v>
      </c>
      <c r="J113" s="88">
        <f>Tabelle2[[#This Row],[Strom (mrd.)]]*1000000000/Tabelle2[[#This Row],[Bevölkerung]]</f>
        <v>2374.773990490859</v>
      </c>
      <c r="K113" s="67">
        <v>2.89</v>
      </c>
      <c r="L113" s="53"/>
      <c r="M113" s="53">
        <f>Tabelle2[[#This Row],[Wohnimmobilien Anzahl]]/Tabelle2[[#This Row],[Bevölkerung]]</f>
        <v>0</v>
      </c>
      <c r="N113" s="53">
        <f t="shared" si="3"/>
        <v>0</v>
      </c>
      <c r="O113" s="53"/>
      <c r="P113" s="53">
        <v>996965</v>
      </c>
      <c r="Q113" s="54"/>
      <c r="R113" s="54"/>
      <c r="S113" s="54"/>
      <c r="T113" s="54"/>
      <c r="U113" s="54"/>
      <c r="V113" s="54"/>
      <c r="W113" s="54"/>
      <c r="X113" s="54"/>
      <c r="Y113" s="54">
        <v>0</v>
      </c>
      <c r="Z113" s="54" t="s">
        <v>988</v>
      </c>
      <c r="AA113" s="54">
        <v>1236575</v>
      </c>
      <c r="AB113" s="54"/>
      <c r="AC113" s="53"/>
      <c r="AD113" s="53"/>
      <c r="AE113" s="53"/>
      <c r="AF113" s="53"/>
      <c r="AG113" s="54"/>
      <c r="AH113" s="54"/>
      <c r="AI113" s="54"/>
      <c r="AJ113" s="54"/>
      <c r="AK113" s="54"/>
      <c r="AL113" s="54"/>
      <c r="AM113" s="53"/>
      <c r="AN113" s="53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3"/>
      <c r="BE113" s="53"/>
      <c r="BF113" s="54"/>
      <c r="BG113" s="54"/>
      <c r="BH113" s="68"/>
    </row>
    <row r="114" spans="1:60" hidden="1" x14ac:dyDescent="0.3">
      <c r="B114" s="2" t="s">
        <v>223</v>
      </c>
      <c r="C114" s="3" t="s">
        <v>224</v>
      </c>
      <c r="D114" s="63">
        <v>0.01</v>
      </c>
      <c r="E114" s="63">
        <f>Tabelle2[[#This Row],[BIP (mrd.)]]*1000000000/Tabelle2[[#This Row],[Bevölkerung]]</f>
        <v>258.86616619207871</v>
      </c>
      <c r="F114" s="63">
        <v>1</v>
      </c>
      <c r="G114" s="53">
        <v>75</v>
      </c>
      <c r="H114" s="63">
        <v>38630</v>
      </c>
      <c r="I114" s="88"/>
      <c r="J114" s="88">
        <f>Tabelle2[[#This Row],[Strom (mrd.)]]*1000000000/Tabelle2[[#This Row],[Bevölkerung]]</f>
        <v>0</v>
      </c>
      <c r="K114" s="67"/>
      <c r="L114" s="53"/>
      <c r="M114" s="53">
        <f>Tabelle2[[#This Row],[Wohnimmobilien Anzahl]]/Tabelle2[[#This Row],[Bevölkerung]]</f>
        <v>0</v>
      </c>
      <c r="N114" s="53">
        <f t="shared" si="3"/>
        <v>0</v>
      </c>
      <c r="O114" s="53"/>
      <c r="P114" s="53"/>
      <c r="Q114" s="54"/>
      <c r="R114" s="54"/>
      <c r="S114" s="54"/>
      <c r="T114" s="54"/>
      <c r="U114" s="54"/>
      <c r="V114" s="54"/>
      <c r="W114" s="54"/>
      <c r="X114" s="54"/>
      <c r="Y114" s="54"/>
      <c r="Z114" s="54">
        <v>0</v>
      </c>
      <c r="AA114" s="54"/>
      <c r="AB114" s="54"/>
      <c r="AC114" s="53"/>
      <c r="AD114" s="53"/>
      <c r="AE114" s="53"/>
      <c r="AF114" s="53"/>
      <c r="AG114" s="54"/>
      <c r="AH114" s="54"/>
      <c r="AI114" s="54"/>
      <c r="AJ114" s="54"/>
      <c r="AK114" s="54"/>
      <c r="AL114" s="54"/>
      <c r="AM114" s="53"/>
      <c r="AN114" s="53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3"/>
      <c r="BE114" s="53"/>
      <c r="BF114" s="54"/>
      <c r="BG114" s="54"/>
      <c r="BH114" s="68"/>
    </row>
    <row r="115" spans="1:60" hidden="1" x14ac:dyDescent="0.3">
      <c r="B115" s="4" t="s">
        <v>225</v>
      </c>
      <c r="C115" s="5" t="s">
        <v>226</v>
      </c>
      <c r="D115" s="63">
        <v>2.5804000000000001E-2</v>
      </c>
      <c r="E115" s="63">
        <f>Tabelle2[[#This Row],[BIP (mrd.)]]*1000000000/Tabelle2[[#This Row],[Bevölkerung]]</f>
        <v>7.3207198159322964</v>
      </c>
      <c r="F115" s="63">
        <v>0.68400000000000005</v>
      </c>
      <c r="G115" s="53">
        <v>1564116</v>
      </c>
      <c r="H115" s="63">
        <v>3524790</v>
      </c>
      <c r="I115" s="88"/>
      <c r="J115" s="88">
        <f>Tabelle2[[#This Row],[Strom (mrd.)]]*1000000000/Tabelle2[[#This Row],[Bevölkerung]]</f>
        <v>0</v>
      </c>
      <c r="K115" s="67"/>
      <c r="L115" s="53"/>
      <c r="M115" s="53">
        <f>Tabelle2[[#This Row],[Wohnimmobilien Anzahl]]/Tabelle2[[#This Row],[Bevölkerung]]</f>
        <v>0</v>
      </c>
      <c r="N115" s="53">
        <f t="shared" si="3"/>
        <v>0</v>
      </c>
      <c r="O115" s="53"/>
      <c r="P115" s="53"/>
      <c r="Q115" s="54"/>
      <c r="R115" s="54"/>
      <c r="S115" s="54"/>
      <c r="T115" s="54"/>
      <c r="U115" s="54"/>
      <c r="V115" s="54"/>
      <c r="W115" s="54"/>
      <c r="X115" s="54"/>
      <c r="Y115" s="54"/>
      <c r="Z115" s="54">
        <v>0</v>
      </c>
      <c r="AA115" s="54"/>
      <c r="AB115" s="54"/>
      <c r="AC115" s="53"/>
      <c r="AD115" s="53"/>
      <c r="AE115" s="53"/>
      <c r="AF115" s="53"/>
      <c r="AG115" s="54"/>
      <c r="AH115" s="54"/>
      <c r="AI115" s="54"/>
      <c r="AJ115" s="54"/>
      <c r="AK115" s="54"/>
      <c r="AL115" s="54"/>
      <c r="AM115" s="53"/>
      <c r="AN115" s="53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3"/>
      <c r="BE115" s="53"/>
      <c r="BF115" s="54"/>
      <c r="BG115" s="54"/>
      <c r="BH115" s="68"/>
    </row>
    <row r="116" spans="1:60" hidden="1" x14ac:dyDescent="0.3">
      <c r="B116" s="4" t="s">
        <v>227</v>
      </c>
      <c r="C116" s="5" t="s">
        <v>228</v>
      </c>
      <c r="D116" s="63">
        <v>8.5619999999999994</v>
      </c>
      <c r="E116" s="63">
        <f>Tabelle2[[#This Row],[BIP (mrd.)]]*1000000000/Tabelle2[[#This Row],[Bevölkerung]]</f>
        <v>13724.892999695428</v>
      </c>
      <c r="F116" s="63">
        <v>0.66800000000000004</v>
      </c>
      <c r="G116" s="53">
        <v>13888</v>
      </c>
      <c r="H116" s="63">
        <v>623830</v>
      </c>
      <c r="I116" s="88">
        <v>2.7189999999999999</v>
      </c>
      <c r="J116" s="88">
        <f>Tabelle2[[#This Row],[Strom (mrd.)]]*1000000000/Tabelle2[[#This Row],[Bevölkerung]]</f>
        <v>4358.559222865204</v>
      </c>
      <c r="K116" s="67">
        <v>3.21</v>
      </c>
      <c r="L116" s="53"/>
      <c r="M116" s="53">
        <f>Tabelle2[[#This Row],[Wohnimmobilien Anzahl]]/Tabelle2[[#This Row],[Bevölkerung]]</f>
        <v>0</v>
      </c>
      <c r="N116" s="53">
        <f t="shared" si="3"/>
        <v>0</v>
      </c>
      <c r="O116" s="53"/>
      <c r="P116" s="53"/>
      <c r="Q116" s="54"/>
      <c r="R116" s="54"/>
      <c r="S116" s="54"/>
      <c r="T116" s="54"/>
      <c r="U116" s="54"/>
      <c r="V116" s="54"/>
      <c r="W116" s="54"/>
      <c r="X116" s="54"/>
      <c r="Y116" s="54">
        <v>0</v>
      </c>
      <c r="Z116" s="54" t="s">
        <v>988</v>
      </c>
      <c r="AA116" s="54">
        <v>247000</v>
      </c>
      <c r="AB116" s="54">
        <v>17673000</v>
      </c>
      <c r="AC116" s="53"/>
      <c r="AD116" s="53"/>
      <c r="AE116" s="53"/>
      <c r="AF116" s="53"/>
      <c r="AG116" s="54"/>
      <c r="AH116" s="54"/>
      <c r="AI116" s="54"/>
      <c r="AJ116" s="54"/>
      <c r="AK116" s="54"/>
      <c r="AL116" s="54"/>
      <c r="AM116" s="53"/>
      <c r="AN116" s="53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3"/>
      <c r="BE116" s="53"/>
      <c r="BF116" s="54"/>
      <c r="BG116" s="54"/>
      <c r="BH116" s="68"/>
    </row>
    <row r="117" spans="1:60" hidden="1" x14ac:dyDescent="0.3">
      <c r="B117" s="24" t="s">
        <v>229</v>
      </c>
      <c r="C117" s="25" t="s">
        <v>230</v>
      </c>
      <c r="D117" s="63">
        <v>2.3771E-2</v>
      </c>
      <c r="E117" s="63">
        <f>Tabelle2[[#This Row],[BIP (mrd.)]]*1000000000/Tabelle2[[#This Row],[Bevölkerung]]</f>
        <v>0.68639286989951709</v>
      </c>
      <c r="F117" s="63">
        <v>0.36</v>
      </c>
      <c r="G117" s="53">
        <v>799380</v>
      </c>
      <c r="H117" s="63">
        <v>34631770</v>
      </c>
      <c r="I117" s="88"/>
      <c r="J117" s="88">
        <f>Tabelle2[[#This Row],[Strom (mrd.)]]*1000000000/Tabelle2[[#This Row],[Bevölkerung]]</f>
        <v>0</v>
      </c>
      <c r="K117" s="67"/>
      <c r="L117" s="53"/>
      <c r="M117" s="53">
        <f>Tabelle2[[#This Row],[Wohnimmobilien Anzahl]]/Tabelle2[[#This Row],[Bevölkerung]]</f>
        <v>0</v>
      </c>
      <c r="N117" s="53">
        <f t="shared" si="3"/>
        <v>0</v>
      </c>
      <c r="O117" s="53"/>
      <c r="P117" s="53"/>
      <c r="Q117" s="54"/>
      <c r="R117" s="54"/>
      <c r="S117" s="54"/>
      <c r="T117" s="54"/>
      <c r="U117" s="54"/>
      <c r="V117" s="54"/>
      <c r="W117" s="54"/>
      <c r="X117" s="54"/>
      <c r="Y117" s="54"/>
      <c r="Z117" s="54">
        <v>0</v>
      </c>
      <c r="AA117" s="54"/>
      <c r="AB117" s="54"/>
      <c r="AC117" s="53"/>
      <c r="AD117" s="53"/>
      <c r="AE117" s="53"/>
      <c r="AF117" s="53"/>
      <c r="AG117" s="54"/>
      <c r="AH117" s="54"/>
      <c r="AI117" s="54"/>
      <c r="AJ117" s="54"/>
      <c r="AK117" s="54"/>
      <c r="AL117" s="54"/>
      <c r="AM117" s="53"/>
      <c r="AN117" s="53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3"/>
      <c r="BE117" s="53"/>
      <c r="BF117" s="54"/>
      <c r="BG117" s="54"/>
      <c r="BH117" s="68"/>
    </row>
    <row r="118" spans="1:60" hidden="1" x14ac:dyDescent="0.3">
      <c r="B118" s="2" t="s">
        <v>231</v>
      </c>
      <c r="C118" s="3" t="s">
        <v>232</v>
      </c>
      <c r="D118" s="63">
        <v>6.4944000000000002E-2</v>
      </c>
      <c r="E118" s="63">
        <f>Tabelle2[[#This Row],[BIP (mrd.)]]*1000000000/Tabelle2[[#This Row],[Bevölkerung]]</f>
        <v>1.191631059691828</v>
      </c>
      <c r="F118" s="63">
        <v>0.30599999999999999</v>
      </c>
      <c r="G118" s="53">
        <v>676590</v>
      </c>
      <c r="H118" s="63">
        <v>54500090</v>
      </c>
      <c r="I118" s="88"/>
      <c r="J118" s="88">
        <f>Tabelle2[[#This Row],[Strom (mrd.)]]*1000000000/Tabelle2[[#This Row],[Bevölkerung]]</f>
        <v>0</v>
      </c>
      <c r="K118" s="67"/>
      <c r="L118" s="53"/>
      <c r="M118" s="53">
        <f>Tabelle2[[#This Row],[Wohnimmobilien Anzahl]]/Tabelle2[[#This Row],[Bevölkerung]]</f>
        <v>0</v>
      </c>
      <c r="N118" s="53">
        <f t="shared" si="3"/>
        <v>0</v>
      </c>
      <c r="O118" s="53"/>
      <c r="P118" s="53"/>
      <c r="Q118" s="54"/>
      <c r="R118" s="54"/>
      <c r="S118" s="54"/>
      <c r="T118" s="54"/>
      <c r="U118" s="54"/>
      <c r="V118" s="54"/>
      <c r="W118" s="54"/>
      <c r="X118" s="54"/>
      <c r="Y118" s="54"/>
      <c r="Z118" s="54">
        <v>0</v>
      </c>
      <c r="AA118" s="54"/>
      <c r="AB118" s="54"/>
      <c r="AC118" s="53"/>
      <c r="AD118" s="53"/>
      <c r="AE118" s="53"/>
      <c r="AF118" s="53"/>
      <c r="AG118" s="54"/>
      <c r="AH118" s="54"/>
      <c r="AI118" s="54"/>
      <c r="AJ118" s="54"/>
      <c r="AK118" s="54"/>
      <c r="AL118" s="54"/>
      <c r="AM118" s="53"/>
      <c r="AN118" s="53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3"/>
      <c r="BE118" s="53"/>
      <c r="BF118" s="54"/>
      <c r="BG118" s="54"/>
      <c r="BH118" s="68"/>
    </row>
    <row r="119" spans="1:60" hidden="1" x14ac:dyDescent="0.3">
      <c r="B119" s="4" t="s">
        <v>233</v>
      </c>
      <c r="C119" s="5" t="s">
        <v>234</v>
      </c>
      <c r="D119" s="63">
        <v>1.4214000000000001E-2</v>
      </c>
      <c r="E119" s="63">
        <f>Tabelle2[[#This Row],[BIP (mrd.)]]*1000000000/Tabelle2[[#This Row],[Bevölkerung]]</f>
        <v>4.6908878496962183</v>
      </c>
      <c r="F119" s="63">
        <v>0.5</v>
      </c>
      <c r="G119" s="53">
        <v>824290</v>
      </c>
      <c r="H119" s="63">
        <v>3030130</v>
      </c>
      <c r="I119" s="88"/>
      <c r="J119" s="88">
        <f>Tabelle2[[#This Row],[Strom (mrd.)]]*1000000000/Tabelle2[[#This Row],[Bevölkerung]]</f>
        <v>0</v>
      </c>
      <c r="K119" s="67"/>
      <c r="L119" s="53"/>
      <c r="M119" s="53">
        <f>Tabelle2[[#This Row],[Wohnimmobilien Anzahl]]/Tabelle2[[#This Row],[Bevölkerung]]</f>
        <v>0</v>
      </c>
      <c r="N119" s="53">
        <f t="shared" si="3"/>
        <v>0</v>
      </c>
      <c r="O119" s="53"/>
      <c r="P119" s="53"/>
      <c r="Q119" s="54"/>
      <c r="R119" s="54"/>
      <c r="S119" s="54"/>
      <c r="T119" s="54"/>
      <c r="U119" s="54"/>
      <c r="V119" s="54"/>
      <c r="W119" s="54"/>
      <c r="X119" s="54"/>
      <c r="Y119" s="54"/>
      <c r="Z119" s="54">
        <v>0</v>
      </c>
      <c r="AA119" s="54"/>
      <c r="AB119" s="54"/>
      <c r="AC119" s="53"/>
      <c r="AD119" s="53"/>
      <c r="AE119" s="53"/>
      <c r="AF119" s="53"/>
      <c r="AG119" s="54"/>
      <c r="AH119" s="54"/>
      <c r="AI119" s="54"/>
      <c r="AJ119" s="54"/>
      <c r="AK119" s="54"/>
      <c r="AL119" s="54"/>
      <c r="AM119" s="53"/>
      <c r="AN119" s="53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3"/>
      <c r="BE119" s="53"/>
      <c r="BF119" s="54"/>
      <c r="BG119" s="54"/>
      <c r="BH119" s="68"/>
    </row>
    <row r="120" spans="1:60" hidden="1" x14ac:dyDescent="0.3">
      <c r="B120" s="2" t="s">
        <v>235</v>
      </c>
      <c r="C120" s="3" t="s">
        <v>236</v>
      </c>
      <c r="D120" s="63">
        <v>1.6900000000000004E-7</v>
      </c>
      <c r="E120" s="63">
        <f>Tabelle2[[#This Row],[BIP (mrd.)]]*1000000000/Tabelle2[[#This Row],[Bevölkerung]]</f>
        <v>1.4142259414225946E-2</v>
      </c>
      <c r="F120" s="63">
        <v>1</v>
      </c>
      <c r="G120" s="53">
        <v>20</v>
      </c>
      <c r="H120" s="63">
        <v>11950</v>
      </c>
      <c r="I120" s="88"/>
      <c r="J120" s="88">
        <f>Tabelle2[[#This Row],[Strom (mrd.)]]*1000000000/Tabelle2[[#This Row],[Bevölkerung]]</f>
        <v>0</v>
      </c>
      <c r="K120" s="67"/>
      <c r="L120" s="53"/>
      <c r="M120" s="53">
        <f>Tabelle2[[#This Row],[Wohnimmobilien Anzahl]]/Tabelle2[[#This Row],[Bevölkerung]]</f>
        <v>0</v>
      </c>
      <c r="N120" s="53">
        <f t="shared" si="3"/>
        <v>0</v>
      </c>
      <c r="O120" s="53"/>
      <c r="P120" s="53"/>
      <c r="Q120" s="54"/>
      <c r="R120" s="54"/>
      <c r="S120" s="54"/>
      <c r="T120" s="54"/>
      <c r="U120" s="54"/>
      <c r="V120" s="54"/>
      <c r="W120" s="54"/>
      <c r="X120" s="54"/>
      <c r="Y120" s="54"/>
      <c r="Z120" s="54">
        <v>0</v>
      </c>
      <c r="AA120" s="54"/>
      <c r="AB120" s="54"/>
      <c r="AC120" s="53"/>
      <c r="AD120" s="53"/>
      <c r="AE120" s="53"/>
      <c r="AF120" s="53"/>
      <c r="AG120" s="54"/>
      <c r="AH120" s="54"/>
      <c r="AI120" s="54"/>
      <c r="AJ120" s="54"/>
      <c r="AK120" s="54"/>
      <c r="AL120" s="54"/>
      <c r="AM120" s="53"/>
      <c r="AN120" s="53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3"/>
      <c r="BE120" s="53"/>
      <c r="BF120" s="54"/>
      <c r="BG120" s="54"/>
      <c r="BH120" s="68"/>
    </row>
    <row r="121" spans="1:60" hidden="1" x14ac:dyDescent="0.3">
      <c r="B121" s="2" t="s">
        <v>237</v>
      </c>
      <c r="C121" s="3" t="s">
        <v>238</v>
      </c>
      <c r="D121" s="63">
        <v>4.6079999999999996E-2</v>
      </c>
      <c r="E121" s="63">
        <f>Tabelle2[[#This Row],[BIP (mrd.)]]*1000000000/Tabelle2[[#This Row],[Bevölkerung]]</f>
        <v>1.5540764998204109</v>
      </c>
      <c r="F121" s="63">
        <v>0.19700000000000001</v>
      </c>
      <c r="G121" s="53">
        <v>147180</v>
      </c>
      <c r="H121" s="63">
        <v>29651050</v>
      </c>
      <c r="I121" s="88"/>
      <c r="J121" s="88">
        <f>Tabelle2[[#This Row],[Strom (mrd.)]]*1000000000/Tabelle2[[#This Row],[Bevölkerung]]</f>
        <v>0</v>
      </c>
      <c r="K121" s="67"/>
      <c r="L121" s="53"/>
      <c r="M121" s="53">
        <f>Tabelle2[[#This Row],[Wohnimmobilien Anzahl]]/Tabelle2[[#This Row],[Bevölkerung]]</f>
        <v>0</v>
      </c>
      <c r="N121" s="53">
        <f t="shared" si="3"/>
        <v>0</v>
      </c>
      <c r="O121" s="53"/>
      <c r="P121" s="53"/>
      <c r="Q121" s="54"/>
      <c r="R121" s="54"/>
      <c r="S121" s="54"/>
      <c r="T121" s="54"/>
      <c r="U121" s="54"/>
      <c r="V121" s="54"/>
      <c r="W121" s="54"/>
      <c r="X121" s="54"/>
      <c r="Y121" s="54"/>
      <c r="Z121" s="54">
        <v>0</v>
      </c>
      <c r="AA121" s="54"/>
      <c r="AB121" s="54"/>
      <c r="AC121" s="53"/>
      <c r="AD121" s="53"/>
      <c r="AE121" s="53"/>
      <c r="AF121" s="53"/>
      <c r="AG121" s="54"/>
      <c r="AH121" s="54"/>
      <c r="AI121" s="54"/>
      <c r="AJ121" s="54"/>
      <c r="AK121" s="54"/>
      <c r="AL121" s="54"/>
      <c r="AM121" s="53"/>
      <c r="AN121" s="53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3"/>
      <c r="BE121" s="53"/>
      <c r="BF121" s="54"/>
      <c r="BG121" s="54"/>
      <c r="BH121" s="68"/>
    </row>
    <row r="122" spans="1:60" hidden="1" x14ac:dyDescent="0.3">
      <c r="B122" s="11" t="s">
        <v>239</v>
      </c>
      <c r="C122" s="12" t="s">
        <v>240</v>
      </c>
      <c r="D122" s="63">
        <v>248.666</v>
      </c>
      <c r="E122" s="63">
        <f>Tabelle2[[#This Row],[BIP (mrd.)]]*1000000000/Tabelle2[[#This Row],[Bevölkerung]]</f>
        <v>46579.750866348222</v>
      </c>
      <c r="F122" s="63">
        <v>0.86499999999999999</v>
      </c>
      <c r="G122" s="53">
        <v>267710</v>
      </c>
      <c r="H122" s="63">
        <v>5338500</v>
      </c>
      <c r="I122" s="88">
        <v>40.793999999999997</v>
      </c>
      <c r="J122" s="88">
        <f>Tabelle2[[#This Row],[Strom (mrd.)]]*1000000000/Tabelle2[[#This Row],[Bevölkerung]]</f>
        <v>7641.4723236864284</v>
      </c>
      <c r="K122" s="67">
        <v>2.67</v>
      </c>
      <c r="L122" s="53"/>
      <c r="M122" s="53">
        <f>Tabelle2[[#This Row],[Wohnimmobilien Anzahl]]/Tabelle2[[#This Row],[Bevölkerung]]</f>
        <v>0</v>
      </c>
      <c r="N122" s="53">
        <f t="shared" si="3"/>
        <v>0</v>
      </c>
      <c r="O122" s="53"/>
      <c r="P122" s="53">
        <v>1804101</v>
      </c>
      <c r="Q122" s="54"/>
      <c r="R122" s="54"/>
      <c r="S122" s="54"/>
      <c r="T122" s="54"/>
      <c r="U122" s="54"/>
      <c r="V122" s="54"/>
      <c r="W122" s="54"/>
      <c r="X122" s="54"/>
      <c r="Y122" s="54">
        <v>1</v>
      </c>
      <c r="Z122" s="54" t="s">
        <v>989</v>
      </c>
      <c r="AA122" s="54">
        <v>2056578</v>
      </c>
      <c r="AB122" s="54"/>
      <c r="AC122" s="53"/>
      <c r="AD122" s="53"/>
      <c r="AE122" s="53"/>
      <c r="AF122" s="53"/>
      <c r="AG122" s="54"/>
      <c r="AH122" s="54"/>
      <c r="AI122" s="54"/>
      <c r="AJ122" s="54"/>
      <c r="AK122" s="54"/>
      <c r="AL122" s="54"/>
      <c r="AM122" s="53"/>
      <c r="AN122" s="53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3"/>
      <c r="BE122" s="53"/>
      <c r="BF122" s="54"/>
      <c r="BG122" s="54"/>
      <c r="BH122" s="68"/>
    </row>
    <row r="123" spans="1:60" hidden="1" x14ac:dyDescent="0.3">
      <c r="B123" s="2" t="s">
        <v>241</v>
      </c>
      <c r="C123" s="3" t="s">
        <v>242</v>
      </c>
      <c r="D123" s="63">
        <v>2.1155E-2</v>
      </c>
      <c r="E123" s="63">
        <f>Tabelle2[[#This Row],[BIP (mrd.)]]*1000000000/Tabelle2[[#This Row],[Bevölkerung]]</f>
        <v>3.0587871269233995</v>
      </c>
      <c r="F123" s="63">
        <v>0.58499999999999996</v>
      </c>
      <c r="G123" s="53">
        <v>130370</v>
      </c>
      <c r="H123" s="63">
        <v>6916140</v>
      </c>
      <c r="I123" s="88"/>
      <c r="J123" s="88">
        <f>Tabelle2[[#This Row],[Strom (mrd.)]]*1000000000/Tabelle2[[#This Row],[Bevölkerung]]</f>
        <v>0</v>
      </c>
      <c r="K123" s="67"/>
      <c r="L123" s="53"/>
      <c r="M123" s="53">
        <f>Tabelle2[[#This Row],[Wohnimmobilien Anzahl]]/Tabelle2[[#This Row],[Bevölkerung]]</f>
        <v>0</v>
      </c>
      <c r="N123" s="53">
        <f t="shared" si="3"/>
        <v>0</v>
      </c>
      <c r="O123" s="53"/>
      <c r="P123" s="53"/>
      <c r="Q123" s="54"/>
      <c r="R123" s="54"/>
      <c r="S123" s="54"/>
      <c r="T123" s="54"/>
      <c r="U123" s="54"/>
      <c r="V123" s="54"/>
      <c r="W123" s="54"/>
      <c r="X123" s="54"/>
      <c r="Y123" s="54"/>
      <c r="Z123" s="54">
        <v>0</v>
      </c>
      <c r="AA123" s="54"/>
      <c r="AB123" s="54"/>
      <c r="AC123" s="53"/>
      <c r="AD123" s="53"/>
      <c r="AE123" s="53"/>
      <c r="AF123" s="53"/>
      <c r="AG123" s="54"/>
      <c r="AH123" s="54"/>
      <c r="AI123" s="54"/>
      <c r="AJ123" s="54"/>
      <c r="AK123" s="54"/>
      <c r="AL123" s="54"/>
      <c r="AM123" s="53"/>
      <c r="AN123" s="53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3"/>
      <c r="BE123" s="53"/>
      <c r="BF123" s="54"/>
      <c r="BG123" s="54"/>
      <c r="BH123" s="68"/>
    </row>
    <row r="124" spans="1:60" x14ac:dyDescent="0.3">
      <c r="A124" t="s">
        <v>589</v>
      </c>
      <c r="B124" s="11" t="s">
        <v>243</v>
      </c>
      <c r="C124" s="12" t="s">
        <v>244</v>
      </c>
      <c r="D124" s="63">
        <v>1272.011</v>
      </c>
      <c r="E124" s="63">
        <f>Tabelle2[[#This Row],[BIP (mrd.)]]*1000000000/Tabelle2[[#This Row],[Bevölkerung]]</f>
        <v>70689.898545312273</v>
      </c>
      <c r="F124" s="63">
        <v>0.91500000000000004</v>
      </c>
      <c r="G124" s="53">
        <v>41540</v>
      </c>
      <c r="H124" s="63">
        <v>17994240</v>
      </c>
      <c r="I124" s="88">
        <v>108.14100000000001</v>
      </c>
      <c r="J124" s="88">
        <f>Tabelle2[[#This Row],[Strom (mrd.)]]*1000000000/Tabelle2[[#This Row],[Bevölkerung]]</f>
        <v>6009.7564553990615</v>
      </c>
      <c r="K124" s="67">
        <v>2</v>
      </c>
      <c r="L124" s="53">
        <v>8218573</v>
      </c>
      <c r="M124" s="63">
        <f>Tabelle2[[#This Row],[Wohnimmobilien Anzahl]]/Tabelle2[[#This Row],[Bevölkerung]]</f>
        <v>0.45673354362284818</v>
      </c>
      <c r="N124" s="53">
        <f t="shared" si="3"/>
        <v>-8218572.5432664566</v>
      </c>
      <c r="O124" s="53"/>
      <c r="P124" s="53"/>
      <c r="Q124" s="54"/>
      <c r="R124" s="54"/>
      <c r="S124" s="54"/>
      <c r="T124" s="54"/>
      <c r="U124" s="54"/>
      <c r="V124" s="54"/>
      <c r="W124" s="54"/>
      <c r="X124" s="54"/>
      <c r="Y124" s="54">
        <v>1</v>
      </c>
      <c r="Z124" s="54" t="s">
        <v>989</v>
      </c>
      <c r="AA124" s="87">
        <v>8097408</v>
      </c>
      <c r="AB124" s="54"/>
      <c r="AC124" s="53">
        <v>1199595</v>
      </c>
      <c r="AD124" s="53"/>
      <c r="AE124" s="53"/>
      <c r="AF124" s="53"/>
      <c r="AG124" s="54">
        <v>30000</v>
      </c>
      <c r="AH124" s="54">
        <v>40000000</v>
      </c>
      <c r="AI124" s="54"/>
      <c r="AJ124" s="54"/>
      <c r="AK124" s="54"/>
      <c r="AL124" s="54"/>
      <c r="AM124" s="53"/>
      <c r="AN124" s="53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3">
        <v>9506280</v>
      </c>
      <c r="BE124" s="53"/>
      <c r="BF124" s="54"/>
      <c r="BG124" s="54"/>
      <c r="BH124" s="68"/>
    </row>
    <row r="125" spans="1:60" hidden="1" x14ac:dyDescent="0.3">
      <c r="B125" s="2" t="s">
        <v>245</v>
      </c>
      <c r="C125" s="3" t="s">
        <v>246</v>
      </c>
      <c r="D125" s="63">
        <v>2.1873999999999998E-2</v>
      </c>
      <c r="E125" s="63">
        <f>Tabelle2[[#This Row],[BIP (mrd.)]]*1000000000/Tabelle2[[#This Row],[Bevölkerung]]</f>
        <v>0.80917683624952408</v>
      </c>
      <c r="F125" s="63">
        <v>0.16400000000000001</v>
      </c>
      <c r="G125" s="53">
        <v>1267000</v>
      </c>
      <c r="H125" s="63">
        <v>27032410</v>
      </c>
      <c r="I125" s="88"/>
      <c r="J125" s="88">
        <f>Tabelle2[[#This Row],[Strom (mrd.)]]*1000000000/Tabelle2[[#This Row],[Bevölkerung]]</f>
        <v>0</v>
      </c>
      <c r="K125" s="67"/>
      <c r="L125" s="53"/>
      <c r="M125" s="53">
        <f>Tabelle2[[#This Row],[Wohnimmobilien Anzahl]]/Tabelle2[[#This Row],[Bevölkerung]]</f>
        <v>0</v>
      </c>
      <c r="N125" s="53">
        <f t="shared" si="3"/>
        <v>0</v>
      </c>
      <c r="O125" s="53"/>
      <c r="P125" s="53"/>
      <c r="Q125" s="54"/>
      <c r="R125" s="54"/>
      <c r="S125" s="54"/>
      <c r="T125" s="54"/>
      <c r="U125" s="54"/>
      <c r="V125" s="54"/>
      <c r="W125" s="54"/>
      <c r="X125" s="54"/>
      <c r="Y125" s="54"/>
      <c r="Z125" s="54">
        <v>0</v>
      </c>
      <c r="AA125" s="54"/>
      <c r="AB125" s="54"/>
      <c r="AC125" s="53"/>
      <c r="AD125" s="53"/>
      <c r="AE125" s="53"/>
      <c r="AF125" s="53"/>
      <c r="AG125" s="54"/>
      <c r="AH125" s="54"/>
      <c r="AI125" s="54"/>
      <c r="AJ125" s="54"/>
      <c r="AK125" s="54"/>
      <c r="AL125" s="54"/>
      <c r="AM125" s="53"/>
      <c r="AN125" s="53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3"/>
      <c r="BE125" s="53"/>
      <c r="BF125" s="54"/>
      <c r="BG125" s="54"/>
      <c r="BH125" s="68"/>
    </row>
    <row r="126" spans="1:60" hidden="1" x14ac:dyDescent="0.3">
      <c r="B126" s="24" t="s">
        <v>247</v>
      </c>
      <c r="C126" s="25" t="s">
        <v>248</v>
      </c>
      <c r="D126" s="63">
        <v>0.18827099999999999</v>
      </c>
      <c r="E126" s="63">
        <f>Tabelle2[[#This Row],[BIP (mrd.)]]*1000000000/Tabelle2[[#This Row],[Bevölkerung]]</f>
        <v>0.80914311825004936</v>
      </c>
      <c r="F126" s="63">
        <v>0.503</v>
      </c>
      <c r="G126" s="53">
        <v>923770</v>
      </c>
      <c r="H126" s="63">
        <v>232679480</v>
      </c>
      <c r="I126" s="88"/>
      <c r="J126" s="88">
        <f>Tabelle2[[#This Row],[Strom (mrd.)]]*1000000000/Tabelle2[[#This Row],[Bevölkerung]]</f>
        <v>0</v>
      </c>
      <c r="K126" s="67"/>
      <c r="L126" s="53"/>
      <c r="M126" s="53">
        <f>Tabelle2[[#This Row],[Wohnimmobilien Anzahl]]/Tabelle2[[#This Row],[Bevölkerung]]</f>
        <v>0</v>
      </c>
      <c r="N126" s="53">
        <f t="shared" si="3"/>
        <v>0</v>
      </c>
      <c r="O126" s="53"/>
      <c r="P126" s="53"/>
      <c r="Q126" s="54"/>
      <c r="R126" s="54"/>
      <c r="S126" s="54"/>
      <c r="T126" s="54"/>
      <c r="U126" s="54"/>
      <c r="V126" s="54"/>
      <c r="W126" s="54"/>
      <c r="X126" s="54"/>
      <c r="Y126" s="54"/>
      <c r="Z126" s="54">
        <v>0</v>
      </c>
      <c r="AA126" s="54"/>
      <c r="AB126" s="54"/>
      <c r="AC126" s="53"/>
      <c r="AD126" s="53"/>
      <c r="AE126" s="53"/>
      <c r="AF126" s="53"/>
      <c r="AG126" s="54"/>
      <c r="AH126" s="54"/>
      <c r="AI126" s="54"/>
      <c r="AJ126" s="54"/>
      <c r="AK126" s="54"/>
      <c r="AL126" s="54"/>
      <c r="AM126" s="53"/>
      <c r="AN126" s="53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39"/>
      <c r="BE126" s="53"/>
      <c r="BF126" s="54"/>
      <c r="BG126" s="54"/>
      <c r="BH126" s="68"/>
    </row>
    <row r="127" spans="1:60" hidden="1" x14ac:dyDescent="0.3">
      <c r="B127" s="4" t="s">
        <v>249</v>
      </c>
      <c r="C127" s="5" t="s">
        <v>250</v>
      </c>
      <c r="D127" s="63" t="s">
        <v>592</v>
      </c>
      <c r="E127" s="63" t="e">
        <f>Tabelle2[[#This Row],[BIP (mrd.)]]*1000000000/Tabelle2[[#This Row],[Bevölkerung]]</f>
        <v>#VALUE!</v>
      </c>
      <c r="F127" s="63">
        <v>0.44800000000000001</v>
      </c>
      <c r="G127" s="53">
        <v>262</v>
      </c>
      <c r="H127" s="63">
        <v>1780</v>
      </c>
      <c r="I127" s="88"/>
      <c r="J127" s="88">
        <f>Tabelle2[[#This Row],[Strom (mrd.)]]*1000000000/Tabelle2[[#This Row],[Bevölkerung]]</f>
        <v>0</v>
      </c>
      <c r="K127" s="67"/>
      <c r="L127" s="53"/>
      <c r="M127" s="53">
        <f>Tabelle2[[#This Row],[Wohnimmobilien Anzahl]]/Tabelle2[[#This Row],[Bevölkerung]]</f>
        <v>0</v>
      </c>
      <c r="N127" s="53">
        <f t="shared" si="3"/>
        <v>0</v>
      </c>
      <c r="O127" s="53"/>
      <c r="P127" s="53"/>
      <c r="Q127" s="54"/>
      <c r="R127" s="54"/>
      <c r="S127" s="54"/>
      <c r="T127" s="54"/>
      <c r="U127" s="54"/>
      <c r="V127" s="54"/>
      <c r="W127" s="54"/>
      <c r="X127" s="54"/>
      <c r="Y127" s="54"/>
      <c r="Z127" s="54">
        <v>0</v>
      </c>
      <c r="AA127" s="54"/>
      <c r="AB127" s="54"/>
      <c r="AC127" s="53"/>
      <c r="AD127" s="53"/>
      <c r="AE127" s="53"/>
      <c r="AF127" s="53"/>
      <c r="AG127" s="54"/>
      <c r="AH127" s="54"/>
      <c r="AI127" s="54"/>
      <c r="AJ127" s="54"/>
      <c r="AK127" s="54"/>
      <c r="AL127" s="54"/>
      <c r="AM127" s="53"/>
      <c r="AN127" s="53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3"/>
      <c r="BE127" s="53"/>
      <c r="BF127" s="54"/>
      <c r="BG127" s="54"/>
      <c r="BH127" s="68"/>
    </row>
    <row r="128" spans="1:60" x14ac:dyDescent="0.3">
      <c r="A128" t="s">
        <v>588</v>
      </c>
      <c r="B128" s="13" t="s">
        <v>251</v>
      </c>
      <c r="C128" s="14" t="s">
        <v>252</v>
      </c>
      <c r="D128" s="63">
        <v>504.27600000000001</v>
      </c>
      <c r="E128" s="63">
        <f>Tabelle2[[#This Row],[BIP (mrd.)]]*1000000000/Tabelle2[[#This Row],[Bevölkerung]]</f>
        <v>90497.409493796964</v>
      </c>
      <c r="F128" s="63">
        <v>0.82199999999999995</v>
      </c>
      <c r="G128" s="53">
        <v>624500</v>
      </c>
      <c r="H128" s="63">
        <v>5572270</v>
      </c>
      <c r="I128" s="88">
        <v>127.33499999999999</v>
      </c>
      <c r="J128" s="88">
        <f>Tabelle2[[#This Row],[Strom (mrd.)]]*1000000000/Tabelle2[[#This Row],[Bevölkerung]]</f>
        <v>22851.548830189491</v>
      </c>
      <c r="K128" s="67">
        <v>2</v>
      </c>
      <c r="L128" s="53">
        <v>1604505</v>
      </c>
      <c r="M128" s="63">
        <f>Tabelle2[[#This Row],[Wohnimmobilien Anzahl]]/Tabelle2[[#This Row],[Bevölkerung]]</f>
        <v>0.28794458990680638</v>
      </c>
      <c r="N128" s="53">
        <f t="shared" si="3"/>
        <v>-1604504.71205541</v>
      </c>
      <c r="O128" s="53"/>
      <c r="P128" s="53"/>
      <c r="Q128" s="54">
        <v>1191500</v>
      </c>
      <c r="R128" s="54"/>
      <c r="S128" s="54">
        <v>178441</v>
      </c>
      <c r="T128" s="54"/>
      <c r="U128" s="54">
        <v>183896</v>
      </c>
      <c r="V128" s="54"/>
      <c r="W128" s="54">
        <v>45087</v>
      </c>
      <c r="X128" s="54"/>
      <c r="Y128" s="54">
        <v>1</v>
      </c>
      <c r="Z128" s="54">
        <v>1</v>
      </c>
      <c r="AA128" s="87">
        <v>2786135</v>
      </c>
      <c r="AB128" s="54"/>
      <c r="AC128" s="53">
        <v>2738537</v>
      </c>
      <c r="AD128" s="53"/>
      <c r="AE128" s="53"/>
      <c r="AF128" s="53"/>
      <c r="AG128" s="54">
        <v>38809</v>
      </c>
      <c r="AH128" s="54"/>
      <c r="AI128" s="54"/>
      <c r="AJ128" s="54"/>
      <c r="AK128" s="54">
        <v>118367</v>
      </c>
      <c r="AL128" s="54"/>
      <c r="AM128" s="53"/>
      <c r="AN128" s="53"/>
      <c r="AO128" s="54"/>
      <c r="AP128" s="54"/>
      <c r="AQ128" s="54"/>
      <c r="AR128" s="54"/>
      <c r="AS128" s="54"/>
      <c r="AT128" s="54">
        <v>5618</v>
      </c>
      <c r="AU128" s="54"/>
      <c r="AV128" s="54"/>
      <c r="AW128" s="54"/>
      <c r="AX128" s="54">
        <v>33510</v>
      </c>
      <c r="AY128" s="54"/>
      <c r="AZ128" s="54"/>
      <c r="BA128" s="54"/>
      <c r="BB128" s="54"/>
      <c r="BC128" s="54"/>
      <c r="BD128" s="53">
        <v>4343042</v>
      </c>
      <c r="BE128" s="53"/>
      <c r="BF128" s="54"/>
      <c r="BG128" s="54"/>
      <c r="BH128" s="68"/>
    </row>
    <row r="129" spans="1:60" x14ac:dyDescent="0.3">
      <c r="A129" t="s">
        <v>588</v>
      </c>
      <c r="B129" s="24" t="s">
        <v>253</v>
      </c>
      <c r="C129" s="25" t="s">
        <v>254</v>
      </c>
      <c r="D129" s="63">
        <v>104.351</v>
      </c>
      <c r="E129" s="63">
        <f>Tabelle2[[#This Row],[BIP (mrd.)]]*1000000000/Tabelle2[[#This Row],[Bevölkerung]]</f>
        <v>19757.684311772704</v>
      </c>
      <c r="F129" s="63">
        <v>0.84499999999999997</v>
      </c>
      <c r="G129" s="53">
        <v>309500</v>
      </c>
      <c r="H129" s="63">
        <v>5281540</v>
      </c>
      <c r="I129" s="88">
        <v>40.738</v>
      </c>
      <c r="J129" s="88">
        <f>Tabelle2[[#This Row],[Strom (mrd.)]]*1000000000/Tabelle2[[#This Row],[Bevölkerung]]</f>
        <v>7713.2805961897475</v>
      </c>
      <c r="K129" s="67">
        <v>6.5</v>
      </c>
      <c r="L129" s="53">
        <v>700439</v>
      </c>
      <c r="M129" s="63">
        <f>Tabelle2[[#This Row],[Wohnimmobilien Anzahl]]/Tabelle2[[#This Row],[Bevölkerung]]</f>
        <v>0.13262022061747142</v>
      </c>
      <c r="N129" s="53">
        <f t="shared" si="3"/>
        <v>-700438.86737977935</v>
      </c>
      <c r="O129" s="53"/>
      <c r="P129" s="53">
        <v>1104621</v>
      </c>
      <c r="Q129" s="54"/>
      <c r="R129" s="54"/>
      <c r="S129" s="54"/>
      <c r="T129" s="54"/>
      <c r="U129" s="54"/>
      <c r="V129" s="54"/>
      <c r="W129" s="54"/>
      <c r="X129" s="54"/>
      <c r="Y129" s="54">
        <v>0</v>
      </c>
      <c r="Z129" s="54" t="s">
        <v>989</v>
      </c>
      <c r="AA129" s="54">
        <v>1527247</v>
      </c>
      <c r="AB129" s="54"/>
      <c r="AC129" s="53"/>
      <c r="AD129" s="53"/>
      <c r="AE129" s="53">
        <v>115734</v>
      </c>
      <c r="AF129" s="53"/>
      <c r="AG129" s="54"/>
      <c r="AH129" s="54"/>
      <c r="AI129" s="54"/>
      <c r="AJ129" s="54"/>
      <c r="AK129" s="54"/>
      <c r="AL129" s="54"/>
      <c r="AM129" s="39"/>
      <c r="AN129" s="53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3">
        <v>870652</v>
      </c>
      <c r="BE129" s="53"/>
      <c r="BF129" s="54"/>
      <c r="BG129" s="54"/>
      <c r="BH129" s="68"/>
    </row>
    <row r="130" spans="1:60" x14ac:dyDescent="0.3">
      <c r="A130" t="s">
        <v>588</v>
      </c>
      <c r="B130" s="4" t="s">
        <v>255</v>
      </c>
      <c r="C130" s="5" t="s">
        <v>256</v>
      </c>
      <c r="D130" s="63">
        <v>534.30100000000004</v>
      </c>
      <c r="E130" s="63">
        <f>Tabelle2[[#This Row],[BIP (mrd.)]]*1000000000/Tabelle2[[#This Row],[Bevölkerung]]</f>
        <v>58215.403362018566</v>
      </c>
      <c r="F130" s="63">
        <v>0.58299999999999996</v>
      </c>
      <c r="G130" s="53">
        <v>83879</v>
      </c>
      <c r="H130" s="63">
        <v>9178000.4800000004</v>
      </c>
      <c r="I130" s="88">
        <v>64.611000000000004</v>
      </c>
      <c r="J130" s="88">
        <f>Tabelle2[[#This Row],[Strom (mrd.)]]*1000000000/Tabelle2[[#This Row],[Bevölkerung]]</f>
        <v>7039.7686446841417</v>
      </c>
      <c r="K130" s="67">
        <v>2.2000000000000002</v>
      </c>
      <c r="L130" s="53">
        <v>2374777</v>
      </c>
      <c r="M130" s="63">
        <f>Tabelle2[[#This Row],[Wohnimmobilien Anzahl]]/Tabelle2[[#This Row],[Bevölkerung]]</f>
        <v>0.25874666330372648</v>
      </c>
      <c r="N130" s="53">
        <f t="shared" ref="N130:N161" si="4">M130-L130</f>
        <v>-2374776.7412533369</v>
      </c>
      <c r="O130" s="53">
        <v>517921000</v>
      </c>
      <c r="P130" s="53">
        <v>4015886</v>
      </c>
      <c r="Q130" s="54">
        <v>1530000</v>
      </c>
      <c r="R130" s="54"/>
      <c r="S130" s="54">
        <v>293000</v>
      </c>
      <c r="T130" s="54"/>
      <c r="U130" s="54"/>
      <c r="V130" s="54"/>
      <c r="W130" s="54">
        <v>274000</v>
      </c>
      <c r="X130" s="54"/>
      <c r="Y130" s="54">
        <v>1</v>
      </c>
      <c r="Z130" s="54" t="s">
        <v>989</v>
      </c>
      <c r="AA130" s="54">
        <v>4909410</v>
      </c>
      <c r="AB130" s="54"/>
      <c r="AC130" s="54">
        <v>276781</v>
      </c>
      <c r="AD130" s="54">
        <v>329227000</v>
      </c>
      <c r="AE130" s="54"/>
      <c r="AF130" s="54"/>
      <c r="AG130" s="54">
        <v>47279</v>
      </c>
      <c r="AH130" s="54"/>
      <c r="AI130" s="54">
        <v>43753</v>
      </c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>
        <v>44191</v>
      </c>
      <c r="AY130" s="54"/>
      <c r="AZ130" s="54"/>
      <c r="BA130" s="54"/>
      <c r="BB130" s="54"/>
      <c r="BC130" s="54"/>
      <c r="BD130" s="54"/>
      <c r="BE130" s="54"/>
      <c r="BF130" s="54"/>
      <c r="BG130" s="54"/>
      <c r="BH130" s="68"/>
    </row>
    <row r="131" spans="1:60" hidden="1" x14ac:dyDescent="0.3">
      <c r="B131" s="22" t="s">
        <v>257</v>
      </c>
      <c r="C131" s="23" t="s">
        <v>258</v>
      </c>
      <c r="D131" s="63">
        <v>0.37307799999999991</v>
      </c>
      <c r="E131" s="63">
        <f>Tabelle2[[#This Row],[BIP (mrd.)]]*1000000000/Tabelle2[[#This Row],[Bevölkerung]]</f>
        <v>1.484774335218854</v>
      </c>
      <c r="F131" s="63">
        <v>0.36699999999999999</v>
      </c>
      <c r="G131" s="53">
        <v>796100</v>
      </c>
      <c r="H131" s="63">
        <v>251269160</v>
      </c>
      <c r="I131" s="88"/>
      <c r="J131" s="88">
        <f>Tabelle2[[#This Row],[Strom (mrd.)]]*1000000000/Tabelle2[[#This Row],[Bevölkerung]]</f>
        <v>0</v>
      </c>
      <c r="K131" s="67"/>
      <c r="L131" s="53"/>
      <c r="M131" s="53">
        <f>Tabelle2[[#This Row],[Wohnimmobilien Anzahl]]/Tabelle2[[#This Row],[Bevölkerung]]</f>
        <v>0</v>
      </c>
      <c r="N131" s="53">
        <f t="shared" si="4"/>
        <v>0</v>
      </c>
      <c r="O131" s="53"/>
      <c r="P131" s="53"/>
      <c r="Q131" s="54"/>
      <c r="R131" s="54"/>
      <c r="S131" s="54"/>
      <c r="T131" s="54"/>
      <c r="U131" s="54"/>
      <c r="V131" s="54"/>
      <c r="W131" s="54"/>
      <c r="X131" s="54"/>
      <c r="Y131" s="54"/>
      <c r="Z131" s="54">
        <v>0</v>
      </c>
      <c r="AA131" s="54"/>
      <c r="AB131" s="54"/>
      <c r="AC131" s="53"/>
      <c r="AD131" s="53"/>
      <c r="AE131" s="53"/>
      <c r="AF131" s="53"/>
      <c r="AG131" s="54"/>
      <c r="AH131" s="54"/>
      <c r="AI131" s="54"/>
      <c r="AJ131" s="54"/>
      <c r="AK131" s="54"/>
      <c r="AL131" s="54"/>
      <c r="AM131" s="84"/>
      <c r="AN131" s="53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3"/>
      <c r="BE131" s="53"/>
      <c r="BF131" s="54"/>
      <c r="BG131" s="54"/>
      <c r="BH131" s="68"/>
    </row>
    <row r="132" spans="1:60" hidden="1" x14ac:dyDescent="0.3">
      <c r="B132" s="2" t="s">
        <v>259</v>
      </c>
      <c r="C132" s="3" t="s">
        <v>260</v>
      </c>
      <c r="D132" s="63">
        <v>3.3299999999999998E-7</v>
      </c>
      <c r="E132" s="63">
        <f>Tabelle2[[#This Row],[BIP (mrd.)]]*1000000000/Tabelle2[[#This Row],[Bevölkerung]]</f>
        <v>1.8813559322033897E-2</v>
      </c>
      <c r="F132" s="63">
        <v>0.79900000000000004</v>
      </c>
      <c r="G132" s="53">
        <v>460</v>
      </c>
      <c r="H132" s="63">
        <v>17700</v>
      </c>
      <c r="I132" s="88"/>
      <c r="J132" s="88">
        <f>Tabelle2[[#This Row],[Strom (mrd.)]]*1000000000/Tabelle2[[#This Row],[Bevölkerung]]</f>
        <v>0</v>
      </c>
      <c r="K132" s="67"/>
      <c r="L132" s="53"/>
      <c r="M132" s="53">
        <f>Tabelle2[[#This Row],[Wohnimmobilien Anzahl]]/Tabelle2[[#This Row],[Bevölkerung]]</f>
        <v>0</v>
      </c>
      <c r="N132" s="53">
        <f t="shared" si="4"/>
        <v>0</v>
      </c>
      <c r="O132" s="53"/>
      <c r="P132" s="53"/>
      <c r="Q132" s="54"/>
      <c r="R132" s="54"/>
      <c r="S132" s="54"/>
      <c r="T132" s="54"/>
      <c r="U132" s="54"/>
      <c r="V132" s="54"/>
      <c r="W132" s="54"/>
      <c r="X132" s="54"/>
      <c r="Y132" s="54"/>
      <c r="Z132" s="54">
        <v>0</v>
      </c>
      <c r="AA132" s="54"/>
      <c r="AB132" s="54"/>
      <c r="AC132" s="53"/>
      <c r="AD132" s="53"/>
      <c r="AE132" s="53"/>
      <c r="AF132" s="53"/>
      <c r="AG132" s="54"/>
      <c r="AH132" s="54"/>
      <c r="AI132" s="54"/>
      <c r="AJ132" s="54"/>
      <c r="AK132" s="54"/>
      <c r="AL132" s="54"/>
      <c r="AM132" s="53"/>
      <c r="AN132" s="53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3"/>
      <c r="BE132" s="53"/>
      <c r="BF132" s="54"/>
      <c r="BG132" s="54"/>
      <c r="BH132" s="68"/>
    </row>
    <row r="133" spans="1:60" hidden="1" x14ac:dyDescent="0.3">
      <c r="B133" s="22" t="s">
        <v>261</v>
      </c>
      <c r="C133" s="23" t="s">
        <v>262</v>
      </c>
      <c r="D133" s="63">
        <v>9.1675000000000006E-2</v>
      </c>
      <c r="E133" s="63">
        <f>Tabelle2[[#This Row],[BIP (mrd.)]]*1000000000/Tabelle2[[#This Row],[Bevölkerung]]</f>
        <v>20.301932420641425</v>
      </c>
      <c r="F133" s="63">
        <v>0.67700000000000005</v>
      </c>
      <c r="G133" s="53">
        <v>75320</v>
      </c>
      <c r="H133" s="63">
        <v>4515580</v>
      </c>
      <c r="I133" s="88"/>
      <c r="J133" s="88">
        <f>Tabelle2[[#This Row],[Strom (mrd.)]]*1000000000/Tabelle2[[#This Row],[Bevölkerung]]</f>
        <v>0</v>
      </c>
      <c r="K133" s="67"/>
      <c r="L133" s="53"/>
      <c r="M133" s="53">
        <f>Tabelle2[[#This Row],[Wohnimmobilien Anzahl]]/Tabelle2[[#This Row],[Bevölkerung]]</f>
        <v>0</v>
      </c>
      <c r="N133" s="53">
        <f t="shared" si="4"/>
        <v>0</v>
      </c>
      <c r="O133" s="53"/>
      <c r="P133" s="53"/>
      <c r="Q133" s="54"/>
      <c r="R133" s="54"/>
      <c r="S133" s="54"/>
      <c r="T133" s="54"/>
      <c r="U133" s="54"/>
      <c r="V133" s="54"/>
      <c r="W133" s="54"/>
      <c r="X133" s="54"/>
      <c r="Y133" s="54"/>
      <c r="Z133" s="54">
        <v>0</v>
      </c>
      <c r="AA133" s="54"/>
      <c r="AB133" s="54"/>
      <c r="AC133" s="53"/>
      <c r="AD133" s="53"/>
      <c r="AE133" s="53"/>
      <c r="AF133" s="53"/>
      <c r="AG133" s="54"/>
      <c r="AH133" s="54"/>
      <c r="AI133" s="54"/>
      <c r="AJ133" s="54"/>
      <c r="AK133" s="54"/>
      <c r="AL133" s="54"/>
      <c r="AM133" s="53"/>
      <c r="AN133" s="53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3"/>
      <c r="BE133" s="53"/>
      <c r="BF133" s="54"/>
      <c r="BG133" s="54"/>
      <c r="BH133" s="68"/>
    </row>
    <row r="134" spans="1:60" hidden="1" x14ac:dyDescent="0.3">
      <c r="B134" s="2" t="s">
        <v>263</v>
      </c>
      <c r="C134" s="3" t="s">
        <v>264</v>
      </c>
      <c r="D134" s="63">
        <v>3.2835000000000003E-2</v>
      </c>
      <c r="E134" s="63">
        <f>Tabelle2[[#This Row],[BIP (mrd.)]]*1000000000/Tabelle2[[#This Row],[Bevölkerung]]</f>
        <v>3.104524180967239</v>
      </c>
      <c r="F134" s="63">
        <v>0.13200000000000001</v>
      </c>
      <c r="G134" s="53">
        <v>462840</v>
      </c>
      <c r="H134" s="63">
        <v>10576500</v>
      </c>
      <c r="I134" s="88"/>
      <c r="J134" s="88">
        <f>Tabelle2[[#This Row],[Strom (mrd.)]]*1000000000/Tabelle2[[#This Row],[Bevölkerung]]</f>
        <v>0</v>
      </c>
      <c r="K134" s="67"/>
      <c r="L134" s="53"/>
      <c r="M134" s="53">
        <f>Tabelle2[[#This Row],[Wohnimmobilien Anzahl]]/Tabelle2[[#This Row],[Bevölkerung]]</f>
        <v>0</v>
      </c>
      <c r="N134" s="53">
        <f t="shared" si="4"/>
        <v>0</v>
      </c>
      <c r="O134" s="53"/>
      <c r="P134" s="53"/>
      <c r="Q134" s="54"/>
      <c r="R134" s="54"/>
      <c r="S134" s="54"/>
      <c r="T134" s="54"/>
      <c r="U134" s="54"/>
      <c r="V134" s="54"/>
      <c r="W134" s="54"/>
      <c r="X134" s="54"/>
      <c r="Y134" s="54"/>
      <c r="Z134" s="54">
        <v>0</v>
      </c>
      <c r="AA134" s="54"/>
      <c r="AB134" s="54"/>
      <c r="AC134" s="53"/>
      <c r="AD134" s="53"/>
      <c r="AE134" s="53"/>
      <c r="AF134" s="53"/>
      <c r="AG134" s="54"/>
      <c r="AH134" s="54"/>
      <c r="AI134" s="54"/>
      <c r="AJ134" s="54"/>
      <c r="AK134" s="54"/>
      <c r="AL134" s="54"/>
      <c r="AM134" s="53"/>
      <c r="AN134" s="53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3"/>
      <c r="BE134" s="53"/>
      <c r="BF134" s="54"/>
      <c r="BG134" s="54"/>
      <c r="BH134" s="68"/>
    </row>
    <row r="135" spans="1:60" hidden="1" x14ac:dyDescent="0.3">
      <c r="B135" s="4" t="s">
        <v>265</v>
      </c>
      <c r="C135" s="5" t="s">
        <v>266</v>
      </c>
      <c r="D135" s="63">
        <v>45.465000000000003</v>
      </c>
      <c r="E135" s="63">
        <f>Tabelle2[[#This Row],[BIP (mrd.)]]*1000000000/Tabelle2[[#This Row],[Bevölkerung]]</f>
        <v>6561.4108512588127</v>
      </c>
      <c r="F135" s="63">
        <v>0.61599999999999999</v>
      </c>
      <c r="G135" s="53">
        <v>406752</v>
      </c>
      <c r="H135" s="63">
        <v>6929150</v>
      </c>
      <c r="I135" s="88">
        <v>14.835000000000001</v>
      </c>
      <c r="J135" s="88">
        <f>Tabelle2[[#This Row],[Strom (mrd.)]]*1000000000/Tabelle2[[#This Row],[Bevölkerung]]</f>
        <v>2140.9552398201799</v>
      </c>
      <c r="K135" s="67">
        <v>4.63</v>
      </c>
      <c r="L135" s="53"/>
      <c r="M135" s="53">
        <f>Tabelle2[[#This Row],[Wohnimmobilien Anzahl]]/Tabelle2[[#This Row],[Bevölkerung]]</f>
        <v>0</v>
      </c>
      <c r="N135" s="53">
        <f t="shared" si="4"/>
        <v>0</v>
      </c>
      <c r="O135" s="53"/>
      <c r="P135" s="53"/>
      <c r="Q135" s="54"/>
      <c r="R135" s="54"/>
      <c r="S135" s="54"/>
      <c r="T135" s="54"/>
      <c r="U135" s="54"/>
      <c r="V135" s="54"/>
      <c r="W135" s="54"/>
      <c r="X135" s="54"/>
      <c r="Y135" s="54">
        <v>0</v>
      </c>
      <c r="Z135" s="54" t="s">
        <v>988</v>
      </c>
      <c r="AA135" s="54">
        <v>1749336</v>
      </c>
      <c r="AB135" s="54"/>
      <c r="AC135" s="53"/>
      <c r="AD135" s="53"/>
      <c r="AE135" s="53"/>
      <c r="AF135" s="53"/>
      <c r="AG135" s="54"/>
      <c r="AH135" s="54"/>
      <c r="AI135" s="54"/>
      <c r="AJ135" s="54"/>
      <c r="AK135" s="54"/>
      <c r="AL135" s="54"/>
      <c r="AM135" s="53"/>
      <c r="AN135" s="53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3"/>
      <c r="BE135" s="53"/>
      <c r="BF135" s="54"/>
      <c r="BG135" s="54"/>
      <c r="BH135" s="68"/>
    </row>
    <row r="136" spans="1:60" hidden="1" x14ac:dyDescent="0.3">
      <c r="B136" s="19" t="s">
        <v>267</v>
      </c>
      <c r="C136" s="20" t="s">
        <v>268</v>
      </c>
      <c r="D136" s="63">
        <v>303.29300000000001</v>
      </c>
      <c r="E136" s="63">
        <f>Tabelle2[[#This Row],[BIP (mrd.)]]*1000000000/Tabelle2[[#This Row],[Bevölkerung]]</f>
        <v>8863.5902021897928</v>
      </c>
      <c r="F136" s="63">
        <v>0.77900000000000003</v>
      </c>
      <c r="G136" s="53">
        <v>1285216</v>
      </c>
      <c r="H136" s="63">
        <v>34217850</v>
      </c>
      <c r="I136" s="88">
        <v>53.3</v>
      </c>
      <c r="J136" s="88">
        <f>Tabelle2[[#This Row],[Strom (mrd.)]]*1000000000/Tabelle2[[#This Row],[Bevölkerung]]</f>
        <v>1557.6665395400355</v>
      </c>
      <c r="K136" s="67">
        <v>3.75</v>
      </c>
      <c r="L136" s="53"/>
      <c r="M136" s="53">
        <f>Tabelle2[[#This Row],[Wohnimmobilien Anzahl]]/Tabelle2[[#This Row],[Bevölkerung]]</f>
        <v>0</v>
      </c>
      <c r="N136" s="53">
        <f t="shared" si="4"/>
        <v>0</v>
      </c>
      <c r="O136" s="53"/>
      <c r="P136" s="53">
        <v>9218299</v>
      </c>
      <c r="Q136" s="54"/>
      <c r="R136" s="54"/>
      <c r="S136" s="54"/>
      <c r="T136" s="54"/>
      <c r="U136" s="54"/>
      <c r="V136" s="54"/>
      <c r="W136" s="54"/>
      <c r="X136" s="54"/>
      <c r="Y136" s="54">
        <v>0</v>
      </c>
      <c r="Z136" s="54" t="s">
        <v>988</v>
      </c>
      <c r="AA136" s="54">
        <v>10102849</v>
      </c>
      <c r="AB136" s="54"/>
      <c r="AC136" s="53"/>
      <c r="AD136" s="53"/>
      <c r="AE136" s="53"/>
      <c r="AF136" s="53"/>
      <c r="AG136" s="54"/>
      <c r="AH136" s="54"/>
      <c r="AI136" s="54"/>
      <c r="AJ136" s="54"/>
      <c r="AK136" s="54"/>
      <c r="AL136" s="54"/>
      <c r="AM136" s="53"/>
      <c r="AN136" s="53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3"/>
      <c r="BE136" s="53"/>
      <c r="BF136" s="54"/>
      <c r="BG136" s="54"/>
      <c r="BH136" s="68"/>
    </row>
    <row r="137" spans="1:60" hidden="1" x14ac:dyDescent="0.3">
      <c r="B137" s="17" t="s">
        <v>269</v>
      </c>
      <c r="C137" s="18" t="s">
        <v>270</v>
      </c>
      <c r="D137" s="63">
        <v>0.49749499999999997</v>
      </c>
      <c r="E137" s="63">
        <f>Tabelle2[[#This Row],[BIP (mrd.)]]*1000000000/Tabelle2[[#This Row],[Bevölkerung]]</f>
        <v>4.2945376298938038</v>
      </c>
      <c r="F137" s="63">
        <v>0.46899999999999997</v>
      </c>
      <c r="G137" s="53">
        <v>300000</v>
      </c>
      <c r="H137" s="63">
        <v>115843670</v>
      </c>
      <c r="I137" s="88"/>
      <c r="J137" s="88">
        <f>Tabelle2[[#This Row],[Strom (mrd.)]]*1000000000/Tabelle2[[#This Row],[Bevölkerung]]</f>
        <v>0</v>
      </c>
      <c r="K137" s="67"/>
      <c r="L137" s="53"/>
      <c r="M137" s="53">
        <f>Tabelle2[[#This Row],[Wohnimmobilien Anzahl]]/Tabelle2[[#This Row],[Bevölkerung]]</f>
        <v>0</v>
      </c>
      <c r="N137" s="53">
        <f t="shared" si="4"/>
        <v>0</v>
      </c>
      <c r="O137" s="53"/>
      <c r="P137" s="53"/>
      <c r="Q137" s="54"/>
      <c r="R137" s="54"/>
      <c r="S137" s="54"/>
      <c r="T137" s="54"/>
      <c r="U137" s="54"/>
      <c r="V137" s="54"/>
      <c r="W137" s="54"/>
      <c r="X137" s="54"/>
      <c r="Y137" s="54"/>
      <c r="Z137" s="54">
        <v>0</v>
      </c>
      <c r="AA137" s="54"/>
      <c r="AB137" s="54"/>
      <c r="AC137" s="53"/>
      <c r="AD137" s="53"/>
      <c r="AE137" s="53"/>
      <c r="AF137" s="53"/>
      <c r="AG137" s="54"/>
      <c r="AH137" s="54"/>
      <c r="AI137" s="54"/>
      <c r="AJ137" s="54"/>
      <c r="AK137" s="54"/>
      <c r="AL137" s="54"/>
      <c r="AM137" s="53"/>
      <c r="AN137" s="53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3"/>
      <c r="BE137" s="53"/>
      <c r="BF137" s="54"/>
      <c r="BG137" s="54"/>
      <c r="BH137" s="68"/>
    </row>
    <row r="138" spans="1:60" hidden="1" x14ac:dyDescent="0.3">
      <c r="B138" s="15" t="s">
        <v>271</v>
      </c>
      <c r="C138" s="16" t="s">
        <v>272</v>
      </c>
      <c r="D138" s="63">
        <v>979.96</v>
      </c>
      <c r="E138" s="63">
        <f>Tabelle2[[#This Row],[BIP (mrd.)]]*1000000000/Tabelle2[[#This Row],[Bevölkerung]]</f>
        <v>26808.036501999333</v>
      </c>
      <c r="F138" s="63">
        <v>0.60099999999999998</v>
      </c>
      <c r="G138" s="53">
        <v>313930</v>
      </c>
      <c r="H138" s="63">
        <v>36554710</v>
      </c>
      <c r="I138" s="88">
        <v>159.63900000000001</v>
      </c>
      <c r="J138" s="88">
        <f>Tabelle2[[#This Row],[Strom (mrd.)]]*1000000000/Tabelle2[[#This Row],[Bevölkerung]]</f>
        <v>4367.1253307713287</v>
      </c>
      <c r="K138" s="67">
        <v>2.4</v>
      </c>
      <c r="L138" s="53"/>
      <c r="M138" s="53">
        <f>Tabelle2[[#This Row],[Wohnimmobilien Anzahl]]/Tabelle2[[#This Row],[Bevölkerung]]</f>
        <v>0</v>
      </c>
      <c r="N138" s="53">
        <f t="shared" si="4"/>
        <v>0</v>
      </c>
      <c r="O138" s="53"/>
      <c r="P138" s="53"/>
      <c r="Q138" s="54"/>
      <c r="R138" s="54"/>
      <c r="S138" s="54"/>
      <c r="T138" s="54"/>
      <c r="U138" s="54"/>
      <c r="V138" s="54"/>
      <c r="W138" s="54"/>
      <c r="X138" s="54"/>
      <c r="Y138" s="54">
        <v>1</v>
      </c>
      <c r="Z138" s="54" t="s">
        <v>989</v>
      </c>
      <c r="AA138" s="54">
        <v>15700000</v>
      </c>
      <c r="AB138" s="54">
        <v>11907000000</v>
      </c>
      <c r="AC138" s="53"/>
      <c r="AD138" s="53"/>
      <c r="AE138" s="53"/>
      <c r="AF138" s="53"/>
      <c r="AG138" s="54"/>
      <c r="AH138" s="54"/>
      <c r="AI138" s="54"/>
      <c r="AJ138" s="54"/>
      <c r="AK138" s="54"/>
      <c r="AL138" s="54"/>
      <c r="AM138" s="53"/>
      <c r="AN138" s="53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3"/>
      <c r="BE138" s="53"/>
      <c r="BF138" s="54"/>
      <c r="BG138" s="54"/>
      <c r="BH138" s="68"/>
    </row>
    <row r="139" spans="1:60" x14ac:dyDescent="0.3">
      <c r="A139" t="s">
        <v>588</v>
      </c>
      <c r="B139" s="13" t="s">
        <v>273</v>
      </c>
      <c r="C139" s="14" t="s">
        <v>274</v>
      </c>
      <c r="D139" s="63">
        <v>321.44</v>
      </c>
      <c r="E139" s="63">
        <f>Tabelle2[[#This Row],[BIP (mrd.)]]*1000000000/Tabelle2[[#This Row],[Bevölkerung]]</f>
        <v>30036.517767370235</v>
      </c>
      <c r="F139" s="63">
        <v>0.65200000000000002</v>
      </c>
      <c r="G139" s="53">
        <v>92230</v>
      </c>
      <c r="H139" s="63">
        <v>10701640</v>
      </c>
      <c r="I139" s="88">
        <v>50.317</v>
      </c>
      <c r="J139" s="88">
        <f>Tabelle2[[#This Row],[Strom (mrd.)]]*1000000000/Tabelle2[[#This Row],[Bevölkerung]]</f>
        <v>4701.8027143503241</v>
      </c>
      <c r="K139" s="67">
        <v>2.4</v>
      </c>
      <c r="L139" s="53">
        <v>3573416</v>
      </c>
      <c r="M139" s="63">
        <f>Tabelle2[[#This Row],[Wohnimmobilien Anzahl]]/Tabelle2[[#This Row],[Bevölkerung]]</f>
        <v>0.33391293297102126</v>
      </c>
      <c r="N139" s="53">
        <f t="shared" si="4"/>
        <v>-3573415.6660870672</v>
      </c>
      <c r="O139" s="53"/>
      <c r="P139" s="53"/>
      <c r="Q139" s="54"/>
      <c r="R139" s="54"/>
      <c r="S139" s="54"/>
      <c r="T139" s="54"/>
      <c r="U139" s="54"/>
      <c r="V139" s="54"/>
      <c r="W139" s="54"/>
      <c r="X139" s="54"/>
      <c r="Y139" s="54">
        <v>1</v>
      </c>
      <c r="Z139" s="54" t="s">
        <v>989</v>
      </c>
      <c r="AA139" s="54">
        <v>5981482</v>
      </c>
      <c r="AB139" s="54"/>
      <c r="AC139" s="53"/>
      <c r="AD139" s="53"/>
      <c r="AE139" s="53"/>
      <c r="AF139" s="53"/>
      <c r="AG139" s="54"/>
      <c r="AH139" s="54"/>
      <c r="AI139" s="54"/>
      <c r="AJ139" s="54"/>
      <c r="AK139" s="54"/>
      <c r="AL139" s="54"/>
      <c r="AM139" s="53"/>
      <c r="AN139" s="53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3"/>
      <c r="BE139" s="53"/>
      <c r="BF139" s="54"/>
      <c r="BG139" s="54"/>
      <c r="BH139" s="68"/>
    </row>
    <row r="140" spans="1:60" hidden="1" x14ac:dyDescent="0.3">
      <c r="B140" s="4" t="s">
        <v>275</v>
      </c>
      <c r="C140" s="5" t="s">
        <v>276</v>
      </c>
      <c r="D140" s="63">
        <v>1.4771000000000001E-2</v>
      </c>
      <c r="E140" s="63">
        <f>Tabelle2[[#This Row],[BIP (mrd.)]]*1000000000/Tabelle2[[#This Row],[Bevölkerung]]</f>
        <v>1.0360837143857184</v>
      </c>
      <c r="F140" s="63">
        <v>0.17199999999999999</v>
      </c>
      <c r="G140" s="53">
        <v>26338</v>
      </c>
      <c r="H140" s="63">
        <v>14256570</v>
      </c>
      <c r="I140" s="88"/>
      <c r="J140" s="88">
        <f>Tabelle2[[#This Row],[Strom (mrd.)]]*1000000000/Tabelle2[[#This Row],[Bevölkerung]]</f>
        <v>0</v>
      </c>
      <c r="K140" s="67"/>
      <c r="L140" s="53"/>
      <c r="M140" s="53">
        <f>Tabelle2[[#This Row],[Wohnimmobilien Anzahl]]/Tabelle2[[#This Row],[Bevölkerung]]</f>
        <v>0</v>
      </c>
      <c r="N140" s="53">
        <f t="shared" si="4"/>
        <v>0</v>
      </c>
      <c r="O140" s="53"/>
      <c r="P140" s="53"/>
      <c r="Q140" s="54"/>
      <c r="R140" s="54"/>
      <c r="S140" s="54"/>
      <c r="T140" s="54"/>
      <c r="U140" s="54"/>
      <c r="V140" s="54"/>
      <c r="W140" s="54"/>
      <c r="X140" s="54"/>
      <c r="Y140" s="54"/>
      <c r="Z140" s="54">
        <v>0</v>
      </c>
      <c r="AA140" s="54"/>
      <c r="AB140" s="54"/>
      <c r="AC140" s="53"/>
      <c r="AD140" s="53"/>
      <c r="AE140" s="53"/>
      <c r="AF140" s="53"/>
      <c r="AG140" s="54"/>
      <c r="AH140" s="54"/>
      <c r="AI140" s="54"/>
      <c r="AJ140" s="54"/>
      <c r="AK140" s="54"/>
      <c r="AL140" s="54"/>
      <c r="AM140" s="53"/>
      <c r="AN140" s="53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3"/>
      <c r="BE140" s="53"/>
      <c r="BF140" s="54"/>
      <c r="BG140" s="54"/>
      <c r="BH140" s="68"/>
    </row>
    <row r="141" spans="1:60" x14ac:dyDescent="0.3">
      <c r="A141" t="s">
        <v>588</v>
      </c>
      <c r="B141" s="13" t="s">
        <v>277</v>
      </c>
      <c r="C141" s="14" t="s">
        <v>278</v>
      </c>
      <c r="D141" s="63">
        <v>403.39500000000004</v>
      </c>
      <c r="E141" s="63">
        <f>Tabelle2[[#This Row],[BIP (mrd.)]]*1000000000/Tabelle2[[#This Row],[Bevölkerung]]</f>
        <v>21154.114405637534</v>
      </c>
      <c r="F141" s="63">
        <v>0.54</v>
      </c>
      <c r="G141" s="53">
        <v>238400</v>
      </c>
      <c r="H141" s="63">
        <v>19069340</v>
      </c>
      <c r="I141" s="88">
        <v>48.73</v>
      </c>
      <c r="J141" s="88">
        <f>Tabelle2[[#This Row],[Strom (mrd.)]]*1000000000/Tabelle2[[#This Row],[Bevölkerung]]</f>
        <v>2555.4109371378349</v>
      </c>
      <c r="K141" s="67">
        <v>2.5</v>
      </c>
      <c r="L141" s="53">
        <v>4790000</v>
      </c>
      <c r="M141" s="63">
        <f>Tabelle2[[#This Row],[Wohnimmobilien Anzahl]]/Tabelle2[[#This Row],[Bevölkerung]]</f>
        <v>0.25118855712887811</v>
      </c>
      <c r="N141" s="53">
        <f t="shared" si="4"/>
        <v>-4789999.7488114433</v>
      </c>
      <c r="O141" s="53"/>
      <c r="P141" s="53">
        <v>7396059</v>
      </c>
      <c r="Q141" s="54"/>
      <c r="R141" s="54"/>
      <c r="S141" s="54"/>
      <c r="T141" s="54"/>
      <c r="U141" s="54"/>
      <c r="V141" s="54"/>
      <c r="W141" s="54"/>
      <c r="X141" s="54"/>
      <c r="Y141" s="54">
        <v>0</v>
      </c>
      <c r="Z141" s="54" t="s">
        <v>989</v>
      </c>
      <c r="AA141" s="54">
        <v>9908552</v>
      </c>
      <c r="AB141" s="54"/>
      <c r="AC141" s="53"/>
      <c r="AD141" s="53"/>
      <c r="AE141" s="53"/>
      <c r="AF141" s="53"/>
      <c r="AG141" s="54"/>
      <c r="AH141" s="54"/>
      <c r="AI141" s="54"/>
      <c r="AJ141" s="54"/>
      <c r="AK141" s="54"/>
      <c r="AL141" s="54"/>
      <c r="AM141" s="53"/>
      <c r="AN141" s="53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3"/>
      <c r="BE141" s="53"/>
      <c r="BF141" s="54"/>
      <c r="BG141" s="54"/>
      <c r="BH141" s="68"/>
    </row>
    <row r="142" spans="1:60" hidden="1" x14ac:dyDescent="0.3">
      <c r="B142" s="2" t="s">
        <v>279</v>
      </c>
      <c r="C142" s="3" t="s">
        <v>280</v>
      </c>
      <c r="D142" s="63">
        <v>2.0763959999999999</v>
      </c>
      <c r="E142" s="63">
        <f>Tabelle2[[#This Row],[BIP (mrd.)]]*1000000000/Tabelle2[[#This Row],[Bevölkerung]]</f>
        <v>14.466246115463356</v>
      </c>
      <c r="F142" s="63">
        <v>0.74399999999999999</v>
      </c>
      <c r="G142" s="53">
        <v>17125190</v>
      </c>
      <c r="H142" s="63">
        <v>143533850</v>
      </c>
      <c r="I142" s="88"/>
      <c r="J142" s="88">
        <f>Tabelle2[[#This Row],[Strom (mrd.)]]*1000000000/Tabelle2[[#This Row],[Bevölkerung]]</f>
        <v>0</v>
      </c>
      <c r="K142" s="67"/>
      <c r="L142" s="53"/>
      <c r="M142" s="53">
        <f>Tabelle2[[#This Row],[Wohnimmobilien Anzahl]]/Tabelle2[[#This Row],[Bevölkerung]]</f>
        <v>0</v>
      </c>
      <c r="N142" s="53">
        <f t="shared" si="4"/>
        <v>0</v>
      </c>
      <c r="O142" s="53"/>
      <c r="P142" s="53"/>
      <c r="Q142" s="54"/>
      <c r="R142" s="54"/>
      <c r="S142" s="54"/>
      <c r="T142" s="54"/>
      <c r="U142" s="54"/>
      <c r="V142" s="54"/>
      <c r="W142" s="54"/>
      <c r="X142" s="54"/>
      <c r="Y142" s="54"/>
      <c r="Z142" s="54">
        <v>0</v>
      </c>
      <c r="AA142" s="54"/>
      <c r="AB142" s="54"/>
      <c r="AC142" s="53"/>
      <c r="AD142" s="53"/>
      <c r="AE142" s="53"/>
      <c r="AF142" s="53"/>
      <c r="AG142" s="54"/>
      <c r="AH142" s="54"/>
      <c r="AI142" s="54"/>
      <c r="AJ142" s="54"/>
      <c r="AK142" s="54"/>
      <c r="AL142" s="54"/>
      <c r="AM142" s="53"/>
      <c r="AN142" s="53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3"/>
      <c r="BE142" s="53"/>
      <c r="BF142" s="54"/>
      <c r="BG142" s="54"/>
      <c r="BH142" s="68"/>
    </row>
    <row r="143" spans="1:60" hidden="1" x14ac:dyDescent="0.3">
      <c r="B143" s="2" t="s">
        <v>281</v>
      </c>
      <c r="C143" s="3" t="s">
        <v>282</v>
      </c>
      <c r="D143" s="63">
        <v>1.8979999999999999E-3</v>
      </c>
      <c r="E143" s="63">
        <f>Tabelle2[[#This Row],[BIP (mrd.)]]*1000000000/Tabelle2[[#This Row],[Bevölkerung]]</f>
        <v>2.31689453125</v>
      </c>
      <c r="F143" s="63">
        <v>0.23699999999999999</v>
      </c>
      <c r="G143" s="53">
        <v>28900</v>
      </c>
      <c r="H143" s="63">
        <v>819200</v>
      </c>
      <c r="I143" s="88"/>
      <c r="J143" s="88">
        <f>Tabelle2[[#This Row],[Strom (mrd.)]]*1000000000/Tabelle2[[#This Row],[Bevölkerung]]</f>
        <v>0</v>
      </c>
      <c r="K143" s="67"/>
      <c r="L143" s="53"/>
      <c r="M143" s="53">
        <f>Tabelle2[[#This Row],[Wohnimmobilien Anzahl]]/Tabelle2[[#This Row],[Bevölkerung]]</f>
        <v>0</v>
      </c>
      <c r="N143" s="53">
        <f t="shared" si="4"/>
        <v>0</v>
      </c>
      <c r="O143" s="53"/>
      <c r="P143" s="53"/>
      <c r="Q143" s="54"/>
      <c r="R143" s="54"/>
      <c r="S143" s="54"/>
      <c r="T143" s="54"/>
      <c r="U143" s="54"/>
      <c r="V143" s="54"/>
      <c r="W143" s="54"/>
      <c r="X143" s="54"/>
      <c r="Y143" s="54"/>
      <c r="Z143" s="54">
        <v>0</v>
      </c>
      <c r="AA143" s="54"/>
      <c r="AB143" s="54"/>
      <c r="AC143" s="53"/>
      <c r="AD143" s="53"/>
      <c r="AE143" s="53"/>
      <c r="AF143" s="53"/>
      <c r="AG143" s="54"/>
      <c r="AH143" s="54"/>
      <c r="AI143" s="54"/>
      <c r="AJ143" s="54"/>
      <c r="AK143" s="54"/>
      <c r="AL143" s="54"/>
      <c r="AM143" s="53"/>
      <c r="AN143" s="53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3"/>
      <c r="BE143" s="53"/>
      <c r="BF143" s="54"/>
      <c r="BG143" s="54"/>
      <c r="BH143" s="68"/>
    </row>
    <row r="144" spans="1:60" hidden="1" x14ac:dyDescent="0.3">
      <c r="B144" s="22" t="s">
        <v>283</v>
      </c>
      <c r="C144" s="23" t="s">
        <v>284</v>
      </c>
      <c r="D144" s="63">
        <v>2.8910000000000002E-2</v>
      </c>
      <c r="E144" s="63">
        <f>Tabelle2[[#This Row],[BIP (mrd.)]]*1000000000/Tabelle2[[#This Row],[Bevölkerung]]</f>
        <v>1.356324384376044</v>
      </c>
      <c r="F144" s="63">
        <v>0.435</v>
      </c>
      <c r="G144" s="53">
        <v>752610</v>
      </c>
      <c r="H144" s="63">
        <v>21314960</v>
      </c>
      <c r="I144" s="88"/>
      <c r="J144" s="88">
        <f>Tabelle2[[#This Row],[Strom (mrd.)]]*1000000000/Tabelle2[[#This Row],[Bevölkerung]]</f>
        <v>0</v>
      </c>
      <c r="K144" s="67"/>
      <c r="L144" s="53"/>
      <c r="M144" s="53">
        <f>Tabelle2[[#This Row],[Wohnimmobilien Anzahl]]/Tabelle2[[#This Row],[Bevölkerung]]</f>
        <v>0</v>
      </c>
      <c r="N144" s="53">
        <f t="shared" si="4"/>
        <v>0</v>
      </c>
      <c r="O144" s="53"/>
      <c r="P144" s="53"/>
      <c r="Q144" s="54"/>
      <c r="R144" s="54"/>
      <c r="S144" s="54"/>
      <c r="T144" s="54"/>
      <c r="U144" s="54"/>
      <c r="V144" s="54"/>
      <c r="W144" s="54"/>
      <c r="X144" s="54"/>
      <c r="Y144" s="54"/>
      <c r="Z144" s="54">
        <v>0</v>
      </c>
      <c r="AA144" s="54"/>
      <c r="AB144" s="54"/>
      <c r="AC144" s="53"/>
      <c r="AD144" s="53"/>
      <c r="AE144" s="53"/>
      <c r="AF144" s="53"/>
      <c r="AG144" s="54"/>
      <c r="AH144" s="54"/>
      <c r="AI144" s="54"/>
      <c r="AJ144" s="54"/>
      <c r="AK144" s="54"/>
      <c r="AL144" s="54"/>
      <c r="AM144" s="53"/>
      <c r="AN144" s="53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3"/>
      <c r="BE144" s="53"/>
      <c r="BF144" s="54"/>
      <c r="BG144" s="54"/>
      <c r="BH144" s="68"/>
    </row>
    <row r="145" spans="1:60" hidden="1" x14ac:dyDescent="0.3">
      <c r="B145" s="2" t="s">
        <v>285</v>
      </c>
      <c r="C145" s="3" t="s">
        <v>286</v>
      </c>
      <c r="D145" s="63">
        <v>1.16E-3</v>
      </c>
      <c r="E145" s="63">
        <f>Tabelle2[[#This Row],[BIP (mrd.)]]*1000000000/Tabelle2[[#This Row],[Bevölkerung]]</f>
        <v>5.3206127878176313</v>
      </c>
      <c r="F145" s="63">
        <v>0.182</v>
      </c>
      <c r="G145" s="53">
        <v>2840</v>
      </c>
      <c r="H145" s="63">
        <v>218020</v>
      </c>
      <c r="I145" s="88"/>
      <c r="J145" s="88">
        <f>Tabelle2[[#This Row],[Strom (mrd.)]]*1000000000/Tabelle2[[#This Row],[Bevölkerung]]</f>
        <v>0</v>
      </c>
      <c r="K145" s="67"/>
      <c r="L145" s="53"/>
      <c r="M145" s="53">
        <f>Tabelle2[[#This Row],[Wohnimmobilien Anzahl]]/Tabelle2[[#This Row],[Bevölkerung]]</f>
        <v>0</v>
      </c>
      <c r="N145" s="53">
        <f t="shared" si="4"/>
        <v>0</v>
      </c>
      <c r="O145" s="53"/>
      <c r="P145" s="53"/>
      <c r="Q145" s="54"/>
      <c r="R145" s="54"/>
      <c r="S145" s="54"/>
      <c r="T145" s="54"/>
      <c r="U145" s="54"/>
      <c r="V145" s="54"/>
      <c r="W145" s="54"/>
      <c r="X145" s="54"/>
      <c r="Y145" s="54"/>
      <c r="Z145" s="54">
        <v>0</v>
      </c>
      <c r="AA145" s="54"/>
      <c r="AB145" s="54"/>
      <c r="AC145" s="53"/>
      <c r="AD145" s="53"/>
      <c r="AE145" s="53"/>
      <c r="AF145" s="53"/>
      <c r="AG145" s="54"/>
      <c r="AH145" s="54"/>
      <c r="AI145" s="54"/>
      <c r="AJ145" s="54"/>
      <c r="AK145" s="54"/>
      <c r="AL145" s="54"/>
      <c r="AM145" s="53"/>
      <c r="AN145" s="53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3"/>
      <c r="BE145" s="53"/>
      <c r="BF145" s="54"/>
      <c r="BG145" s="54"/>
      <c r="BH145" s="68"/>
    </row>
    <row r="146" spans="1:60" hidden="1" x14ac:dyDescent="0.3">
      <c r="B146" s="2" t="s">
        <v>287</v>
      </c>
      <c r="C146" s="3" t="s">
        <v>288</v>
      </c>
      <c r="D146" s="63">
        <v>2.0470000000000002E-3</v>
      </c>
      <c r="E146" s="63">
        <f>Tabelle2[[#This Row],[BIP (mrd.)]]*1000000000/Tabelle2[[#This Row],[Bevölkerung]]</f>
        <v>60.241318422601537</v>
      </c>
      <c r="F146" s="63">
        <v>0.97199999999999998</v>
      </c>
      <c r="G146" s="53">
        <v>60</v>
      </c>
      <c r="H146" s="63">
        <v>33980</v>
      </c>
      <c r="I146" s="88"/>
      <c r="J146" s="88">
        <f>Tabelle2[[#This Row],[Strom (mrd.)]]*1000000000/Tabelle2[[#This Row],[Bevölkerung]]</f>
        <v>0</v>
      </c>
      <c r="K146" s="67"/>
      <c r="L146" s="53"/>
      <c r="M146" s="53">
        <f>Tabelle2[[#This Row],[Wohnimmobilien Anzahl]]/Tabelle2[[#This Row],[Bevölkerung]]</f>
        <v>0</v>
      </c>
      <c r="N146" s="53">
        <f t="shared" si="4"/>
        <v>0</v>
      </c>
      <c r="O146" s="53"/>
      <c r="P146" s="53"/>
      <c r="Q146" s="54"/>
      <c r="R146" s="54"/>
      <c r="S146" s="54"/>
      <c r="T146" s="54"/>
      <c r="U146" s="54"/>
      <c r="V146" s="54"/>
      <c r="W146" s="54"/>
      <c r="X146" s="54"/>
      <c r="Y146" s="54"/>
      <c r="Z146" s="54">
        <v>0</v>
      </c>
      <c r="AA146" s="54"/>
      <c r="AB146" s="54"/>
      <c r="AC146" s="53"/>
      <c r="AD146" s="53"/>
      <c r="AE146" s="53"/>
      <c r="AF146" s="53"/>
      <c r="AG146" s="54"/>
      <c r="AH146" s="54"/>
      <c r="AI146" s="54"/>
      <c r="AJ146" s="54"/>
      <c r="AK146" s="54"/>
      <c r="AL146" s="54"/>
      <c r="AM146" s="53"/>
      <c r="AN146" s="53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3"/>
      <c r="BE146" s="53"/>
      <c r="BF146" s="54"/>
      <c r="BG146" s="54"/>
      <c r="BH146" s="68"/>
    </row>
    <row r="147" spans="1:60" hidden="1" x14ac:dyDescent="0.3">
      <c r="B147" s="2" t="s">
        <v>289</v>
      </c>
      <c r="C147" s="3" t="s">
        <v>290</v>
      </c>
      <c r="D147" s="63">
        <v>8.6400000000000001E-7</v>
      </c>
      <c r="E147" s="63">
        <f>Tabelle2[[#This Row],[BIP (mrd.)]]*1000000000/Tabelle2[[#This Row],[Bevölkerung]]</f>
        <v>3.6681667657298125E-3</v>
      </c>
      <c r="F147" s="63">
        <v>0.72799999999999998</v>
      </c>
      <c r="G147" s="53">
        <v>960</v>
      </c>
      <c r="H147" s="63">
        <v>235540</v>
      </c>
      <c r="I147" s="88"/>
      <c r="J147" s="88">
        <f>Tabelle2[[#This Row],[Strom (mrd.)]]*1000000000/Tabelle2[[#This Row],[Bevölkerung]]</f>
        <v>0</v>
      </c>
      <c r="K147" s="67"/>
      <c r="L147" s="53"/>
      <c r="M147" s="53">
        <f>Tabelle2[[#This Row],[Wohnimmobilien Anzahl]]/Tabelle2[[#This Row],[Bevölkerung]]</f>
        <v>0</v>
      </c>
      <c r="N147" s="53">
        <f t="shared" si="4"/>
        <v>0</v>
      </c>
      <c r="O147" s="53"/>
      <c r="P147" s="53"/>
      <c r="Q147" s="54"/>
      <c r="R147" s="54"/>
      <c r="S147" s="54"/>
      <c r="T147" s="54"/>
      <c r="U147" s="54"/>
      <c r="V147" s="54"/>
      <c r="W147" s="54"/>
      <c r="X147" s="54"/>
      <c r="Y147" s="54"/>
      <c r="Z147" s="54">
        <v>0</v>
      </c>
      <c r="AA147" s="54"/>
      <c r="AB147" s="54"/>
      <c r="AC147" s="53"/>
      <c r="AD147" s="53"/>
      <c r="AE147" s="53"/>
      <c r="AF147" s="53"/>
      <c r="AG147" s="54"/>
      <c r="AH147" s="54"/>
      <c r="AI147" s="54"/>
      <c r="AJ147" s="54"/>
      <c r="AK147" s="54"/>
      <c r="AL147" s="54"/>
      <c r="AM147" s="53"/>
      <c r="AN147" s="53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3"/>
      <c r="BE147" s="53"/>
      <c r="BF147" s="54"/>
      <c r="BG147" s="54"/>
      <c r="BH147" s="68"/>
    </row>
    <row r="148" spans="1:60" hidden="1" x14ac:dyDescent="0.3">
      <c r="B148" s="17" t="s">
        <v>291</v>
      </c>
      <c r="C148" s="18" t="s">
        <v>292</v>
      </c>
      <c r="D148" s="63">
        <v>1083.749</v>
      </c>
      <c r="E148" s="63">
        <f>Tabelle2[[#This Row],[BIP (mrd.)]]*1000000000/Tabelle2[[#This Row],[Bevölkerung]]</f>
        <v>30700.861296284336</v>
      </c>
      <c r="F148" s="63">
        <v>0.83799999999999997</v>
      </c>
      <c r="G148" s="53">
        <v>2149690</v>
      </c>
      <c r="H148" s="63">
        <v>35300280</v>
      </c>
      <c r="I148" s="88">
        <v>383.512</v>
      </c>
      <c r="J148" s="88">
        <f>Tabelle2[[#This Row],[Strom (mrd.)]]*1000000000/Tabelle2[[#This Row],[Bevölkerung]]</f>
        <v>10864.276430668539</v>
      </c>
      <c r="K148" s="67">
        <v>5.2</v>
      </c>
      <c r="L148" s="53"/>
      <c r="M148" s="53">
        <f>Tabelle2[[#This Row],[Wohnimmobilien Anzahl]]/Tabelle2[[#This Row],[Bevölkerung]]</f>
        <v>0</v>
      </c>
      <c r="N148" s="53">
        <f t="shared" si="4"/>
        <v>0</v>
      </c>
      <c r="O148" s="53"/>
      <c r="P148" s="53"/>
      <c r="Q148" s="54"/>
      <c r="R148" s="54"/>
      <c r="S148" s="54"/>
      <c r="T148" s="54"/>
      <c r="U148" s="54"/>
      <c r="V148" s="54"/>
      <c r="W148" s="54"/>
      <c r="X148" s="54"/>
      <c r="Y148" s="54">
        <v>0</v>
      </c>
      <c r="Z148" s="54" t="s">
        <v>989</v>
      </c>
      <c r="AA148" s="54">
        <v>8174674</v>
      </c>
      <c r="AB148" s="54"/>
      <c r="AC148" s="53"/>
      <c r="AD148" s="53"/>
      <c r="AE148" s="53"/>
      <c r="AF148" s="53"/>
      <c r="AG148" s="54"/>
      <c r="AH148" s="54"/>
      <c r="AI148" s="54"/>
      <c r="AJ148" s="54"/>
      <c r="AK148" s="54"/>
      <c r="AL148" s="54"/>
      <c r="AM148" s="53"/>
      <c r="AN148" s="53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3"/>
      <c r="BE148" s="53"/>
      <c r="BF148" s="54"/>
      <c r="BG148" s="54"/>
      <c r="BH148" s="68"/>
    </row>
    <row r="149" spans="1:60" x14ac:dyDescent="0.3">
      <c r="A149" t="s">
        <v>588</v>
      </c>
      <c r="B149" s="9" t="s">
        <v>293</v>
      </c>
      <c r="C149" s="10" t="s">
        <v>294</v>
      </c>
      <c r="D149" s="63">
        <v>620.29700000000003</v>
      </c>
      <c r="E149" s="63">
        <f>Tabelle2[[#This Row],[BIP (mrd.)]]*1000000000/Tabelle2[[#This Row],[Bevölkerung]]</f>
        <v>58686.283729638752</v>
      </c>
      <c r="F149" s="63">
        <v>0.874</v>
      </c>
      <c r="G149" s="53">
        <v>528660</v>
      </c>
      <c r="H149" s="63">
        <v>10569710</v>
      </c>
      <c r="I149" s="88">
        <v>125.273</v>
      </c>
      <c r="J149" s="88">
        <f>Tabelle2[[#This Row],[Strom (mrd.)]]*1000000000/Tabelle2[[#This Row],[Bevölkerung]]</f>
        <v>11852.075411718959</v>
      </c>
      <c r="K149" s="67">
        <v>2.2000000000000002</v>
      </c>
      <c r="L149" s="53">
        <v>2540000</v>
      </c>
      <c r="M149" s="63">
        <f>Tabelle2[[#This Row],[Wohnimmobilien Anzahl]]/Tabelle2[[#This Row],[Bevölkerung]]</f>
        <v>0.2403093367746135</v>
      </c>
      <c r="N149" s="53">
        <f t="shared" si="4"/>
        <v>-2539999.7596906633</v>
      </c>
      <c r="O149" s="53"/>
      <c r="P149" s="53"/>
      <c r="Q149" s="54"/>
      <c r="R149" s="54"/>
      <c r="S149" s="54"/>
      <c r="T149" s="54"/>
      <c r="U149" s="54"/>
      <c r="V149" s="54"/>
      <c r="W149" s="54">
        <v>2756647</v>
      </c>
      <c r="X149" s="54"/>
      <c r="Y149" s="54">
        <v>1</v>
      </c>
      <c r="Z149" s="54" t="s">
        <v>989</v>
      </c>
      <c r="AA149" s="54">
        <v>5260876</v>
      </c>
      <c r="AB149" s="54"/>
      <c r="AC149" s="53"/>
      <c r="AD149" s="53"/>
      <c r="AE149" s="53"/>
      <c r="AF149" s="53"/>
      <c r="AG149" s="54"/>
      <c r="AH149" s="54"/>
      <c r="AI149" s="54"/>
      <c r="AJ149" s="54"/>
      <c r="AK149" s="54"/>
      <c r="AL149" s="54"/>
      <c r="AM149" s="53"/>
      <c r="AN149" s="53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3"/>
      <c r="BE149" s="53"/>
      <c r="BF149" s="54"/>
      <c r="BG149" s="54"/>
      <c r="BH149" s="68"/>
    </row>
    <row r="150" spans="1:60" x14ac:dyDescent="0.3">
      <c r="A150" t="s">
        <v>588</v>
      </c>
      <c r="B150" s="13" t="s">
        <v>295</v>
      </c>
      <c r="C150" s="14" t="s">
        <v>296</v>
      </c>
      <c r="D150" s="63">
        <v>947.125</v>
      </c>
      <c r="E150" s="63">
        <f>Tabelle2[[#This Row],[BIP (mrd.)]]*1000000000/Tabelle2[[#This Row],[Bevölkerung]]</f>
        <v>104838.88821243953</v>
      </c>
      <c r="F150" s="63">
        <v>0.73799999999999999</v>
      </c>
      <c r="G150" s="53">
        <v>41291</v>
      </c>
      <c r="H150" s="63">
        <v>9034100</v>
      </c>
      <c r="I150" s="88">
        <v>55.643000000000001</v>
      </c>
      <c r="J150" s="88">
        <f>Tabelle2[[#This Row],[Strom (mrd.)]]*1000000000/Tabelle2[[#This Row],[Bevölkerung]]</f>
        <v>6159.2189592765189</v>
      </c>
      <c r="K150" s="67">
        <v>2.1800000000000002</v>
      </c>
      <c r="L150" s="53">
        <v>1790000</v>
      </c>
      <c r="M150" s="63">
        <f>Tabelle2[[#This Row],[Wohnimmobilien Anzahl]]/Tabelle2[[#This Row],[Bevölkerung]]</f>
        <v>0.19813816539555684</v>
      </c>
      <c r="N150" s="53">
        <f t="shared" si="4"/>
        <v>-1789999.8018618347</v>
      </c>
      <c r="O150" s="53"/>
      <c r="P150" s="53"/>
      <c r="Q150" s="54">
        <v>1145600</v>
      </c>
      <c r="R150" s="54"/>
      <c r="S150" s="54">
        <v>227330</v>
      </c>
      <c r="T150" s="54"/>
      <c r="U150" s="54"/>
      <c r="V150" s="54"/>
      <c r="W150" s="54">
        <v>417070</v>
      </c>
      <c r="X150" s="54"/>
      <c r="Y150" s="54">
        <v>1</v>
      </c>
      <c r="Z150" s="54" t="s">
        <v>989</v>
      </c>
      <c r="AA150" s="54">
        <v>4790000</v>
      </c>
      <c r="AB150" s="54"/>
      <c r="AC150" s="53"/>
      <c r="AD150" s="53"/>
      <c r="AE150" s="53"/>
      <c r="AF150" s="53"/>
      <c r="AG150" s="54"/>
      <c r="AH150" s="54"/>
      <c r="AI150" s="54"/>
      <c r="AJ150" s="54"/>
      <c r="AK150" s="54"/>
      <c r="AL150" s="54"/>
      <c r="AM150" s="53"/>
      <c r="AN150" s="53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3"/>
      <c r="BE150" s="53"/>
      <c r="BF150" s="54"/>
      <c r="BG150" s="54"/>
      <c r="BH150" s="68"/>
    </row>
    <row r="151" spans="1:60" hidden="1" x14ac:dyDescent="0.3">
      <c r="B151" s="24" t="s">
        <v>297</v>
      </c>
      <c r="C151" s="25" t="s">
        <v>298</v>
      </c>
      <c r="D151" s="63">
        <v>3.4728000000000002E-2</v>
      </c>
      <c r="E151" s="63">
        <f>Tabelle2[[#This Row],[BIP (mrd.)]]*1000000000/Tabelle2[[#This Row],[Bevölkerung]]</f>
        <v>1.8769883007115995</v>
      </c>
      <c r="F151" s="63">
        <v>0.47199999999999998</v>
      </c>
      <c r="G151" s="53">
        <v>196710</v>
      </c>
      <c r="H151" s="63">
        <v>18501980</v>
      </c>
      <c r="I151" s="88"/>
      <c r="J151" s="88">
        <f>Tabelle2[[#This Row],[Strom (mrd.)]]*1000000000/Tabelle2[[#This Row],[Bevölkerung]]</f>
        <v>0</v>
      </c>
      <c r="K151" s="67"/>
      <c r="L151" s="53"/>
      <c r="M151" s="53">
        <f>Tabelle2[[#This Row],[Wohnimmobilien Anzahl]]/Tabelle2[[#This Row],[Bevölkerung]]</f>
        <v>0</v>
      </c>
      <c r="N151" s="53">
        <f t="shared" si="4"/>
        <v>0</v>
      </c>
      <c r="O151" s="53"/>
      <c r="P151" s="53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v>0</v>
      </c>
      <c r="AA151" s="54"/>
      <c r="AB151" s="54"/>
      <c r="AC151" s="53"/>
      <c r="AD151" s="53"/>
      <c r="AE151" s="53"/>
      <c r="AF151" s="53"/>
      <c r="AG151" s="54"/>
      <c r="AH151" s="54"/>
      <c r="AI151" s="54"/>
      <c r="AJ151" s="54"/>
      <c r="AK151" s="54"/>
      <c r="AL151" s="54"/>
      <c r="AM151" s="53"/>
      <c r="AN151" s="53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3"/>
      <c r="BE151" s="53"/>
      <c r="BF151" s="54"/>
      <c r="BG151" s="54"/>
      <c r="BH151" s="68"/>
    </row>
    <row r="152" spans="1:60" hidden="1" x14ac:dyDescent="0.3">
      <c r="B152" s="19" t="s">
        <v>299</v>
      </c>
      <c r="C152" s="20" t="s">
        <v>300</v>
      </c>
      <c r="D152" s="63">
        <v>92.549000000000007</v>
      </c>
      <c r="E152" s="63">
        <f>Tabelle2[[#This Row],[BIP (mrd.)]]*1000000000/Tabelle2[[#This Row],[Bevölkerung]]</f>
        <v>14049.823900898713</v>
      </c>
      <c r="F152" s="63">
        <v>0.56100000000000005</v>
      </c>
      <c r="G152" s="53">
        <v>84990</v>
      </c>
      <c r="H152" s="63">
        <v>6587200</v>
      </c>
      <c r="I152" s="88">
        <v>34.412999999999997</v>
      </c>
      <c r="J152" s="88">
        <f>Tabelle2[[#This Row],[Strom (mrd.)]]*1000000000/Tabelle2[[#This Row],[Bevölkerung]]</f>
        <v>5224.2227350012145</v>
      </c>
      <c r="K152" s="67">
        <v>2.9</v>
      </c>
      <c r="L152" s="53"/>
      <c r="M152" s="53">
        <f>Tabelle2[[#This Row],[Wohnimmobilien Anzahl]]/Tabelle2[[#This Row],[Bevölkerung]]</f>
        <v>0</v>
      </c>
      <c r="N152" s="53">
        <f t="shared" si="4"/>
        <v>0</v>
      </c>
      <c r="O152" s="53"/>
      <c r="P152" s="53">
        <v>2625711</v>
      </c>
      <c r="Q152" s="54"/>
      <c r="R152" s="54"/>
      <c r="S152" s="54"/>
      <c r="T152" s="54"/>
      <c r="U152" s="54"/>
      <c r="V152" s="54"/>
      <c r="W152" s="54"/>
      <c r="X152" s="54"/>
      <c r="Y152" s="54">
        <v>0</v>
      </c>
      <c r="Z152" s="54" t="s">
        <v>988</v>
      </c>
      <c r="AA152" s="54">
        <v>3613352</v>
      </c>
      <c r="AB152" s="54">
        <v>269747120</v>
      </c>
      <c r="AC152" s="53"/>
      <c r="AD152" s="53"/>
      <c r="AE152" s="53"/>
      <c r="AF152" s="53"/>
      <c r="AG152" s="54"/>
      <c r="AH152" s="54"/>
      <c r="AI152" s="54"/>
      <c r="AJ152" s="54"/>
      <c r="AK152" s="54"/>
      <c r="AL152" s="54"/>
      <c r="AM152" s="53"/>
      <c r="AN152" s="53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3"/>
      <c r="BE152" s="53"/>
      <c r="BF152" s="54"/>
      <c r="BG152" s="54"/>
      <c r="BH152" s="68"/>
    </row>
    <row r="153" spans="1:60" hidden="1" x14ac:dyDescent="0.3">
      <c r="B153" s="2" t="s">
        <v>301</v>
      </c>
      <c r="C153" s="3" t="s">
        <v>302</v>
      </c>
      <c r="D153" s="63">
        <v>2.1979999999999999E-3</v>
      </c>
      <c r="E153" s="63">
        <f>Tabelle2[[#This Row],[BIP (mrd.)]]*1000000000/Tabelle2[[#This Row],[Bevölkerung]]</f>
        <v>18.112896580140092</v>
      </c>
      <c r="F153" s="63">
        <v>0.56699999999999995</v>
      </c>
      <c r="G153" s="53">
        <v>460</v>
      </c>
      <c r="H153" s="63">
        <v>121350</v>
      </c>
      <c r="I153" s="88"/>
      <c r="J153" s="88">
        <f>Tabelle2[[#This Row],[Strom (mrd.)]]*1000000000/Tabelle2[[#This Row],[Bevölkerung]]</f>
        <v>0</v>
      </c>
      <c r="K153" s="67"/>
      <c r="L153" s="53"/>
      <c r="M153" s="53">
        <f>Tabelle2[[#This Row],[Wohnimmobilien Anzahl]]/Tabelle2[[#This Row],[Bevölkerung]]</f>
        <v>0</v>
      </c>
      <c r="N153" s="53">
        <f t="shared" si="4"/>
        <v>0</v>
      </c>
      <c r="O153" s="53"/>
      <c r="P153" s="53"/>
      <c r="Q153" s="54"/>
      <c r="R153" s="54"/>
      <c r="S153" s="54"/>
      <c r="T153" s="54"/>
      <c r="U153" s="54"/>
      <c r="V153" s="54"/>
      <c r="W153" s="54"/>
      <c r="X153" s="54"/>
      <c r="Y153" s="54"/>
      <c r="Z153" s="54">
        <v>0</v>
      </c>
      <c r="AA153" s="54"/>
      <c r="AB153" s="54"/>
      <c r="AC153" s="53"/>
      <c r="AD153" s="53"/>
      <c r="AE153" s="53"/>
      <c r="AF153" s="53"/>
      <c r="AG153" s="54"/>
      <c r="AH153" s="54"/>
      <c r="AI153" s="54"/>
      <c r="AJ153" s="54"/>
      <c r="AK153" s="54"/>
      <c r="AL153" s="54"/>
      <c r="AM153" s="53"/>
      <c r="AN153" s="53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3"/>
      <c r="BE153" s="53"/>
      <c r="BF153" s="54"/>
      <c r="BG153" s="54"/>
      <c r="BH153" s="68"/>
    </row>
    <row r="154" spans="1:60" hidden="1" x14ac:dyDescent="0.3">
      <c r="B154" s="4" t="s">
        <v>303</v>
      </c>
      <c r="C154" s="5" t="s">
        <v>304</v>
      </c>
      <c r="D154" s="63">
        <v>8.3859999999999994E-3</v>
      </c>
      <c r="E154" s="63">
        <f>Tabelle2[[#This Row],[BIP (mrd.)]]*1000000000/Tabelle2[[#This Row],[Bevölkerung]]</f>
        <v>0.97037498177509418</v>
      </c>
      <c r="F154" s="63">
        <v>0.42099999999999999</v>
      </c>
      <c r="G154" s="53">
        <v>72300</v>
      </c>
      <c r="H154" s="63">
        <v>8642020</v>
      </c>
      <c r="I154" s="88"/>
      <c r="J154" s="88">
        <f>Tabelle2[[#This Row],[Strom (mrd.)]]*1000000000/Tabelle2[[#This Row],[Bevölkerung]]</f>
        <v>0</v>
      </c>
      <c r="K154" s="67"/>
      <c r="L154" s="53"/>
      <c r="M154" s="53">
        <f>Tabelle2[[#This Row],[Wohnimmobilien Anzahl]]/Tabelle2[[#This Row],[Bevölkerung]]</f>
        <v>0</v>
      </c>
      <c r="N154" s="53">
        <f t="shared" si="4"/>
        <v>0</v>
      </c>
      <c r="O154" s="53"/>
      <c r="P154" s="53"/>
      <c r="Q154" s="54"/>
      <c r="R154" s="54"/>
      <c r="S154" s="54"/>
      <c r="T154" s="54"/>
      <c r="U154" s="54"/>
      <c r="V154" s="54"/>
      <c r="W154" s="54"/>
      <c r="X154" s="54"/>
      <c r="Y154" s="54"/>
      <c r="Z154" s="54">
        <v>0</v>
      </c>
      <c r="AA154" s="54"/>
      <c r="AB154" s="54"/>
      <c r="AC154" s="53"/>
      <c r="AD154" s="53"/>
      <c r="AE154" s="53"/>
      <c r="AF154" s="53"/>
      <c r="AG154" s="54"/>
      <c r="AH154" s="54"/>
      <c r="AI154" s="54"/>
      <c r="AJ154" s="54"/>
      <c r="AK154" s="54"/>
      <c r="AL154" s="54"/>
      <c r="AM154" s="53"/>
      <c r="AN154" s="53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3"/>
      <c r="BE154" s="53"/>
      <c r="BF154" s="54"/>
      <c r="BG154" s="54"/>
      <c r="BH154" s="68"/>
    </row>
    <row r="155" spans="1:60" hidden="1" x14ac:dyDescent="0.3">
      <c r="B155" s="2" t="s">
        <v>305</v>
      </c>
      <c r="C155" s="3" t="s">
        <v>306</v>
      </c>
      <c r="D155" s="63">
        <v>3.8171999999999998E-2</v>
      </c>
      <c r="E155" s="63">
        <f>Tabelle2[[#This Row],[BIP (mrd.)]]*1000000000/Tabelle2[[#This Row],[Bevölkerung]]</f>
        <v>2.2947667991033027</v>
      </c>
      <c r="F155" s="63">
        <v>0.32200000000000001</v>
      </c>
      <c r="G155" s="53">
        <v>390760</v>
      </c>
      <c r="H155" s="63">
        <v>16634369.999999998</v>
      </c>
      <c r="I155" s="88"/>
      <c r="J155" s="88">
        <f>Tabelle2[[#This Row],[Strom (mrd.)]]*1000000000/Tabelle2[[#This Row],[Bevölkerung]]</f>
        <v>0</v>
      </c>
      <c r="K155" s="67"/>
      <c r="L155" s="53"/>
      <c r="M155" s="53">
        <f>Tabelle2[[#This Row],[Wohnimmobilien Anzahl]]/Tabelle2[[#This Row],[Bevölkerung]]</f>
        <v>0</v>
      </c>
      <c r="N155" s="53">
        <f t="shared" si="4"/>
        <v>0</v>
      </c>
      <c r="O155" s="53"/>
      <c r="P155" s="53"/>
      <c r="Q155" s="54"/>
      <c r="R155" s="54"/>
      <c r="S155" s="54"/>
      <c r="T155" s="54"/>
      <c r="U155" s="54"/>
      <c r="V155" s="54"/>
      <c r="W155" s="54"/>
      <c r="X155" s="54"/>
      <c r="Y155" s="54"/>
      <c r="Z155" s="54">
        <v>0</v>
      </c>
      <c r="AA155" s="54"/>
      <c r="AB155" s="54"/>
      <c r="AC155" s="53"/>
      <c r="AD155" s="53"/>
      <c r="AE155" s="53"/>
      <c r="AF155" s="53"/>
      <c r="AG155" s="54"/>
      <c r="AH155" s="54"/>
      <c r="AI155" s="54"/>
      <c r="AJ155" s="54"/>
      <c r="AK155" s="54"/>
      <c r="AL155" s="54"/>
      <c r="AM155" s="53"/>
      <c r="AN155" s="53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3"/>
      <c r="BE155" s="53"/>
      <c r="BF155" s="54"/>
      <c r="BG155" s="54"/>
      <c r="BH155" s="68"/>
    </row>
    <row r="156" spans="1:60" hidden="1" x14ac:dyDescent="0.3">
      <c r="B156" s="9" t="s">
        <v>307</v>
      </c>
      <c r="C156" s="10" t="s">
        <v>308</v>
      </c>
      <c r="D156" s="63">
        <v>564.774</v>
      </c>
      <c r="E156" s="63">
        <f>Tabelle2[[#This Row],[BIP (mrd.)]]*1000000000/Tabelle2[[#This Row],[Bevölkerung]]</f>
        <v>93554.264965561568</v>
      </c>
      <c r="F156" s="63">
        <v>1</v>
      </c>
      <c r="G156" s="53">
        <v>728</v>
      </c>
      <c r="H156" s="63">
        <v>6036860</v>
      </c>
      <c r="I156" s="88">
        <v>56.671999999999997</v>
      </c>
      <c r="J156" s="88">
        <f>Tabelle2[[#This Row],[Strom (mrd.)]]*1000000000/Tabelle2[[#This Row],[Bevölkerung]]</f>
        <v>9387.6617976895268</v>
      </c>
      <c r="K156" s="67">
        <v>3.29</v>
      </c>
      <c r="L156" s="53"/>
      <c r="M156" s="53">
        <f>Tabelle2[[#This Row],[Wohnimmobilien Anzahl]]/Tabelle2[[#This Row],[Bevölkerung]]</f>
        <v>0</v>
      </c>
      <c r="N156" s="53">
        <f t="shared" si="4"/>
        <v>0</v>
      </c>
      <c r="O156" s="53"/>
      <c r="P156" s="53"/>
      <c r="Q156" s="54"/>
      <c r="R156" s="54"/>
      <c r="S156" s="54"/>
      <c r="T156" s="54"/>
      <c r="U156" s="54"/>
      <c r="V156" s="54"/>
      <c r="W156" s="54"/>
      <c r="X156" s="54"/>
      <c r="Y156" s="54">
        <v>0</v>
      </c>
      <c r="Z156" s="54" t="s">
        <v>989</v>
      </c>
      <c r="AA156" s="54">
        <v>1596629</v>
      </c>
      <c r="AB156" s="54"/>
      <c r="AC156" s="53"/>
      <c r="AD156" s="53"/>
      <c r="AE156" s="53"/>
      <c r="AF156" s="53"/>
      <c r="AG156" s="1"/>
      <c r="AH156" s="1"/>
      <c r="AI156" s="54"/>
      <c r="AJ156" s="54"/>
      <c r="AK156" s="54"/>
      <c r="AL156" s="54">
        <v>53500000</v>
      </c>
      <c r="AM156" s="53"/>
      <c r="AN156" s="53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3"/>
      <c r="BE156" s="53"/>
      <c r="BF156" s="54"/>
      <c r="BG156" s="54"/>
      <c r="BH156" s="68"/>
    </row>
    <row r="157" spans="1:60" x14ac:dyDescent="0.3">
      <c r="A157" t="s">
        <v>589</v>
      </c>
      <c r="B157" s="15" t="s">
        <v>309</v>
      </c>
      <c r="C157" s="16" t="s">
        <v>310</v>
      </c>
      <c r="D157" s="63">
        <v>147.03100000000001</v>
      </c>
      <c r="E157" s="63">
        <f>Tabelle2[[#This Row],[BIP (mrd.)]]*1000000000/Tabelle2[[#This Row],[Bevölkerung]]</f>
        <v>27117.134231022468</v>
      </c>
      <c r="F157" s="63">
        <v>0.53700000000000003</v>
      </c>
      <c r="G157" s="53">
        <v>49030</v>
      </c>
      <c r="H157" s="63">
        <v>5422070</v>
      </c>
      <c r="I157" s="88">
        <v>24.18</v>
      </c>
      <c r="J157" s="88">
        <f>Tabelle2[[#This Row],[Strom (mrd.)]]*1000000000/Tabelle2[[#This Row],[Bevölkerung]]</f>
        <v>4459.551425931425</v>
      </c>
      <c r="K157" s="67">
        <v>3.1</v>
      </c>
      <c r="L157" s="53">
        <v>1234592</v>
      </c>
      <c r="M157" s="63">
        <f>Tabelle2[[#This Row],[Wohnimmobilien Anzahl]]/Tabelle2[[#This Row],[Bevölkerung]]</f>
        <v>0.22769753986945945</v>
      </c>
      <c r="N157" s="53">
        <f t="shared" si="4"/>
        <v>-1234591.7723024602</v>
      </c>
      <c r="O157" s="53"/>
      <c r="P157" s="53"/>
      <c r="Q157" s="54"/>
      <c r="R157" s="54"/>
      <c r="S157" s="54"/>
      <c r="T157" s="54"/>
      <c r="U157" s="54"/>
      <c r="V157" s="54"/>
      <c r="W157" s="54"/>
      <c r="X157" s="54"/>
      <c r="Y157" s="54">
        <v>1</v>
      </c>
      <c r="Z157" s="54" t="s">
        <v>989</v>
      </c>
      <c r="AA157" s="54">
        <v>2235586</v>
      </c>
      <c r="AB157" s="54"/>
      <c r="AC157" s="53"/>
      <c r="AD157" s="53"/>
      <c r="AE157" s="53"/>
      <c r="AF157" s="53"/>
      <c r="AG157" s="54"/>
      <c r="AH157" s="54"/>
      <c r="AI157" s="54"/>
      <c r="AJ157" s="54"/>
      <c r="AK157" s="54"/>
      <c r="AL157" s="54"/>
      <c r="AM157" s="53"/>
      <c r="AN157" s="53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3"/>
      <c r="BE157" s="53"/>
      <c r="BF157" s="54"/>
      <c r="BG157" s="54"/>
      <c r="BH157" s="68"/>
    </row>
    <row r="158" spans="1:60" x14ac:dyDescent="0.3">
      <c r="A158" t="s">
        <v>588</v>
      </c>
      <c r="B158" s="17" t="s">
        <v>311</v>
      </c>
      <c r="C158" s="18" t="s">
        <v>312</v>
      </c>
      <c r="D158" s="63">
        <v>75.224000000000004</v>
      </c>
      <c r="E158" s="63">
        <f>Tabelle2[[#This Row],[BIP (mrd.)]]*1000000000/Tabelle2[[#This Row],[Bevölkerung]]</f>
        <v>35377.553707814441</v>
      </c>
      <c r="F158" s="63">
        <v>0.54500000000000004</v>
      </c>
      <c r="G158" s="53">
        <v>20480</v>
      </c>
      <c r="H158" s="63">
        <v>2126320</v>
      </c>
      <c r="I158" s="88">
        <v>12.952999999999999</v>
      </c>
      <c r="J158" s="88">
        <f>Tabelle2[[#This Row],[Strom (mrd.)]]*1000000000/Tabelle2[[#This Row],[Bevölkerung]]</f>
        <v>6091.7453628804697</v>
      </c>
      <c r="K158" s="67">
        <v>2.4</v>
      </c>
      <c r="L158" s="53">
        <v>590000</v>
      </c>
      <c r="M158" s="63">
        <f>Tabelle2[[#This Row],[Wohnimmobilien Anzahl]]/Tabelle2[[#This Row],[Bevölkerung]]</f>
        <v>0.27747469806990482</v>
      </c>
      <c r="N158" s="53">
        <f t="shared" si="4"/>
        <v>-589999.72252530197</v>
      </c>
      <c r="O158" s="53"/>
      <c r="P158" s="53">
        <v>698700</v>
      </c>
      <c r="Q158" s="54"/>
      <c r="R158" s="54"/>
      <c r="S158" s="54"/>
      <c r="T158" s="54"/>
      <c r="U158" s="54"/>
      <c r="V158" s="54"/>
      <c r="W158" s="54"/>
      <c r="X158" s="54"/>
      <c r="Y158" s="54">
        <v>1</v>
      </c>
      <c r="Z158" s="54" t="s">
        <v>989</v>
      </c>
      <c r="AA158" s="54">
        <v>864300</v>
      </c>
      <c r="AB158" s="54"/>
      <c r="AC158" s="53"/>
      <c r="AD158" s="53"/>
      <c r="AE158" s="53"/>
      <c r="AF158" s="53"/>
      <c r="AG158" s="56"/>
      <c r="AH158" s="56"/>
      <c r="AI158" s="54"/>
      <c r="AJ158" s="54"/>
      <c r="AK158" s="54"/>
      <c r="AL158" s="54"/>
      <c r="AM158" s="53"/>
      <c r="AN158" s="53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3"/>
      <c r="BE158" s="53"/>
      <c r="BF158" s="54"/>
      <c r="BG158" s="54"/>
      <c r="BH158" s="68"/>
    </row>
    <row r="159" spans="1:60" hidden="1" x14ac:dyDescent="0.3">
      <c r="B159" s="2" t="s">
        <v>313</v>
      </c>
      <c r="C159" s="3" t="s">
        <v>314</v>
      </c>
      <c r="D159" s="63">
        <v>1.2994E-2</v>
      </c>
      <c r="E159" s="63">
        <f>Tabelle2[[#This Row],[BIP (mrd.)]]*1000000000/Tabelle2[[#This Row],[Bevölkerung]]</f>
        <v>0.68356554606597353</v>
      </c>
      <c r="F159" s="63">
        <v>0.45</v>
      </c>
      <c r="G159" s="53">
        <v>637660</v>
      </c>
      <c r="H159" s="63">
        <v>19009150</v>
      </c>
      <c r="I159" s="88"/>
      <c r="J159" s="88">
        <f>Tabelle2[[#This Row],[Strom (mrd.)]]*1000000000/Tabelle2[[#This Row],[Bevölkerung]]</f>
        <v>0</v>
      </c>
      <c r="K159" s="67"/>
      <c r="L159" s="53"/>
      <c r="M159" s="53">
        <f>Tabelle2[[#This Row],[Wohnimmobilien Anzahl]]/Tabelle2[[#This Row],[Bevölkerung]]</f>
        <v>0</v>
      </c>
      <c r="N159" s="53">
        <f t="shared" si="4"/>
        <v>0</v>
      </c>
      <c r="O159" s="53"/>
      <c r="P159" s="53"/>
      <c r="Q159" s="54"/>
      <c r="R159" s="54"/>
      <c r="S159" s="54"/>
      <c r="T159" s="54"/>
      <c r="U159" s="54"/>
      <c r="V159" s="54"/>
      <c r="W159" s="54"/>
      <c r="X159" s="54"/>
      <c r="Y159" s="54"/>
      <c r="Z159" s="54">
        <v>0</v>
      </c>
      <c r="AA159" s="54"/>
      <c r="AB159" s="54"/>
      <c r="AC159" s="53"/>
      <c r="AD159" s="53"/>
      <c r="AE159" s="53"/>
      <c r="AF159" s="53"/>
      <c r="AG159" s="54"/>
      <c r="AH159" s="54"/>
      <c r="AI159" s="54"/>
      <c r="AJ159" s="54"/>
      <c r="AK159" s="54"/>
      <c r="AL159" s="54"/>
      <c r="AM159" s="53"/>
      <c r="AN159" s="53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3"/>
      <c r="BE159" s="53"/>
      <c r="BF159" s="54"/>
      <c r="BG159" s="54"/>
      <c r="BH159" s="68"/>
    </row>
    <row r="160" spans="1:60" x14ac:dyDescent="0.3">
      <c r="A160" t="s">
        <v>588</v>
      </c>
      <c r="B160" s="13" t="s">
        <v>315</v>
      </c>
      <c r="C160" s="14" t="s">
        <v>316</v>
      </c>
      <c r="D160" s="63">
        <v>1799.511</v>
      </c>
      <c r="E160" s="63">
        <f>Tabelle2[[#This Row],[BIP (mrd.)]]*1000000000/Tabelle2[[#This Row],[Bevölkerung]]</f>
        <v>36869.83093047452</v>
      </c>
      <c r="F160" s="63">
        <v>0.80300000000000005</v>
      </c>
      <c r="G160" s="53">
        <v>505976</v>
      </c>
      <c r="H160" s="63">
        <v>48807140</v>
      </c>
      <c r="I160" s="88">
        <v>227.18700000000001</v>
      </c>
      <c r="J160" s="88">
        <f>Tabelle2[[#This Row],[Strom (mrd.)]]*1000000000/Tabelle2[[#This Row],[Bevölkerung]]</f>
        <v>4654.7902622444171</v>
      </c>
      <c r="K160" s="67">
        <v>2.5</v>
      </c>
      <c r="L160" s="53">
        <v>8820000</v>
      </c>
      <c r="M160" s="63">
        <f>Tabelle2[[#This Row],[Wohnimmobilien Anzahl]]/Tabelle2[[#This Row],[Bevölkerung]]</f>
        <v>0.18071126478625874</v>
      </c>
      <c r="N160" s="53">
        <f t="shared" si="4"/>
        <v>-8819999.8192887343</v>
      </c>
      <c r="O160" s="53"/>
      <c r="P160" s="53"/>
      <c r="Q160" s="54"/>
      <c r="R160" s="54"/>
      <c r="S160" s="54"/>
      <c r="T160" s="54"/>
      <c r="U160" s="54"/>
      <c r="V160" s="54"/>
      <c r="W160" s="54"/>
      <c r="X160" s="54"/>
      <c r="Y160" s="54">
        <v>1</v>
      </c>
      <c r="Z160" s="54" t="s">
        <v>989</v>
      </c>
      <c r="AA160" s="54">
        <v>18539223</v>
      </c>
      <c r="AB160" s="54"/>
      <c r="AC160" s="53"/>
      <c r="AD160" s="53"/>
      <c r="AE160" s="53"/>
      <c r="AF160" s="53"/>
      <c r="AG160" s="54"/>
      <c r="AH160" s="54"/>
      <c r="AI160" s="54"/>
      <c r="AJ160" s="54"/>
      <c r="AK160" s="54"/>
      <c r="AL160" s="54"/>
      <c r="AM160" s="53"/>
      <c r="AN160" s="53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3"/>
      <c r="BE160" s="53"/>
      <c r="BF160" s="54"/>
      <c r="BG160" s="54"/>
      <c r="BH160" s="68"/>
    </row>
    <row r="161" spans="1:60" hidden="1" x14ac:dyDescent="0.3">
      <c r="B161" s="24" t="s">
        <v>317</v>
      </c>
      <c r="C161" s="25" t="s">
        <v>318</v>
      </c>
      <c r="D161" s="63" t="s">
        <v>592</v>
      </c>
      <c r="E161" s="63" t="e">
        <f>Tabelle2[[#This Row],[BIP (mrd.)]]*1000000000/Tabelle2[[#This Row],[Bevölkerung]]</f>
        <v>#VALUE!</v>
      </c>
      <c r="F161" s="63">
        <v>0.185</v>
      </c>
      <c r="G161" s="53">
        <v>65610</v>
      </c>
      <c r="H161" s="63">
        <v>21916000</v>
      </c>
      <c r="I161" s="88"/>
      <c r="J161" s="88">
        <f>Tabelle2[[#This Row],[Strom (mrd.)]]*1000000000/Tabelle2[[#This Row],[Bevölkerung]]</f>
        <v>0</v>
      </c>
      <c r="K161" s="67"/>
      <c r="L161" s="53"/>
      <c r="M161" s="53">
        <f>Tabelle2[[#This Row],[Wohnimmobilien Anzahl]]/Tabelle2[[#This Row],[Bevölkerung]]</f>
        <v>0</v>
      </c>
      <c r="N161" s="53">
        <f t="shared" si="4"/>
        <v>0</v>
      </c>
      <c r="O161" s="53"/>
      <c r="P161" s="53"/>
      <c r="Q161" s="54"/>
      <c r="R161" s="54"/>
      <c r="S161" s="54"/>
      <c r="T161" s="54"/>
      <c r="U161" s="54"/>
      <c r="V161" s="54"/>
      <c r="W161" s="54"/>
      <c r="X161" s="54"/>
      <c r="Y161" s="54"/>
      <c r="Z161" s="54">
        <v>0</v>
      </c>
      <c r="AA161" s="54"/>
      <c r="AB161" s="54"/>
      <c r="AC161" s="53"/>
      <c r="AD161" s="53"/>
      <c r="AE161" s="53"/>
      <c r="AF161" s="53"/>
      <c r="AG161" s="54"/>
      <c r="AH161" s="54"/>
      <c r="AI161" s="54"/>
      <c r="AJ161" s="54"/>
      <c r="AK161" s="54"/>
      <c r="AL161" s="54"/>
      <c r="AM161" s="53"/>
      <c r="AN161" s="53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3"/>
      <c r="BE161" s="53"/>
      <c r="BF161" s="54"/>
      <c r="BG161" s="54"/>
      <c r="BH161" s="68"/>
    </row>
    <row r="162" spans="1:60" hidden="1" x14ac:dyDescent="0.3">
      <c r="B162" s="2" t="s">
        <v>319</v>
      </c>
      <c r="C162" s="3" t="s">
        <v>320</v>
      </c>
      <c r="D162" s="63">
        <v>1.129E-3</v>
      </c>
      <c r="E162" s="63">
        <f>Tabelle2[[#This Row],[BIP (mrd.)]]*1000000000/Tabelle2[[#This Row],[Bevölkerung]]</f>
        <v>24.103330486763451</v>
      </c>
      <c r="F162" s="63">
        <v>0.308</v>
      </c>
      <c r="G162" s="53">
        <v>260</v>
      </c>
      <c r="H162" s="63">
        <v>46840</v>
      </c>
      <c r="I162" s="88"/>
      <c r="J162" s="88">
        <f>Tabelle2[[#This Row],[Strom (mrd.)]]*1000000000/Tabelle2[[#This Row],[Bevölkerung]]</f>
        <v>0</v>
      </c>
      <c r="K162" s="67"/>
      <c r="L162" s="53"/>
      <c r="M162" s="53">
        <f>Tabelle2[[#This Row],[Wohnimmobilien Anzahl]]/Tabelle2[[#This Row],[Bevölkerung]]</f>
        <v>0</v>
      </c>
      <c r="N162" s="53">
        <f t="shared" ref="N162:N193" si="5">M162-L162</f>
        <v>0</v>
      </c>
      <c r="O162" s="53"/>
      <c r="P162" s="53"/>
      <c r="Q162" s="54"/>
      <c r="R162" s="54"/>
      <c r="S162" s="54"/>
      <c r="T162" s="54"/>
      <c r="U162" s="54"/>
      <c r="V162" s="54"/>
      <c r="W162" s="54"/>
      <c r="X162" s="54"/>
      <c r="Y162" s="54"/>
      <c r="Z162" s="54">
        <v>0</v>
      </c>
      <c r="AA162" s="54"/>
      <c r="AB162" s="54"/>
      <c r="AC162" s="53"/>
      <c r="AD162" s="53"/>
      <c r="AE162" s="53"/>
      <c r="AF162" s="53"/>
      <c r="AG162" s="54"/>
      <c r="AH162" s="54"/>
      <c r="AI162" s="54"/>
      <c r="AJ162" s="54"/>
      <c r="AK162" s="54"/>
      <c r="AL162" s="54"/>
      <c r="AM162" s="53"/>
      <c r="AN162" s="53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3"/>
      <c r="BE162" s="53"/>
      <c r="BF162" s="54"/>
      <c r="BG162" s="54"/>
      <c r="BH162" s="68"/>
    </row>
    <row r="163" spans="1:60" hidden="1" x14ac:dyDescent="0.3">
      <c r="B163" s="2" t="s">
        <v>321</v>
      </c>
      <c r="C163" s="3" t="s">
        <v>322</v>
      </c>
      <c r="D163" s="63">
        <v>2.6320000000000001</v>
      </c>
      <c r="E163" s="63">
        <f>Tabelle2[[#This Row],[BIP (mrd.)]]*1000000000/Tabelle2[[#This Row],[Bevölkerung]]</f>
        <v>14643.373762100813</v>
      </c>
      <c r="F163" s="63">
        <v>0.187</v>
      </c>
      <c r="G163" s="53">
        <v>620</v>
      </c>
      <c r="H163" s="63">
        <v>179740</v>
      </c>
      <c r="I163" s="88">
        <v>0.365178</v>
      </c>
      <c r="J163" s="88">
        <f>Tabelle2[[#This Row],[Strom (mrd.)]]*1000000000/Tabelle2[[#This Row],[Bevölkerung]]</f>
        <v>2031.7013463892288</v>
      </c>
      <c r="K163" s="67">
        <v>2.6</v>
      </c>
      <c r="L163" s="53"/>
      <c r="M163" s="53">
        <f>Tabelle2[[#This Row],[Wohnimmobilien Anzahl]]/Tabelle2[[#This Row],[Bevölkerung]]</f>
        <v>0</v>
      </c>
      <c r="N163" s="53">
        <f t="shared" si="5"/>
        <v>0</v>
      </c>
      <c r="O163" s="53"/>
      <c r="P163" s="53"/>
      <c r="Q163" s="54">
        <v>50889</v>
      </c>
      <c r="R163" s="54"/>
      <c r="S163" s="54"/>
      <c r="T163" s="54"/>
      <c r="U163" s="54"/>
      <c r="V163" s="54"/>
      <c r="W163" s="54"/>
      <c r="X163" s="54"/>
      <c r="Y163" s="54">
        <v>0</v>
      </c>
      <c r="Z163" s="54" t="s">
        <v>988</v>
      </c>
      <c r="AA163" s="54">
        <v>65951</v>
      </c>
      <c r="AB163" s="54"/>
      <c r="AC163" s="53"/>
      <c r="AD163" s="53"/>
      <c r="AE163" s="53"/>
      <c r="AF163" s="53"/>
      <c r="AG163" s="54"/>
      <c r="AH163" s="54"/>
      <c r="AI163" s="54"/>
      <c r="AJ163" s="54"/>
      <c r="AK163" s="54"/>
      <c r="AL163" s="54"/>
      <c r="AM163" s="53"/>
      <c r="AN163" s="53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3"/>
      <c r="BE163" s="53"/>
      <c r="BF163" s="54"/>
      <c r="BG163" s="54"/>
      <c r="BH163" s="68"/>
    </row>
    <row r="164" spans="1:60" hidden="1" x14ac:dyDescent="0.3">
      <c r="B164" s="2" t="s">
        <v>323</v>
      </c>
      <c r="C164" s="3" t="s">
        <v>324</v>
      </c>
      <c r="D164" s="63">
        <v>1.242E-3</v>
      </c>
      <c r="E164" s="63">
        <f>Tabelle2[[#This Row],[BIP (mrd.)]]*1000000000/Tabelle2[[#This Row],[Bevölkerung]]</f>
        <v>12.343470483005367</v>
      </c>
      <c r="F164" s="63">
        <v>0.52200000000000002</v>
      </c>
      <c r="G164" s="53">
        <v>390</v>
      </c>
      <c r="H164" s="63">
        <v>100620</v>
      </c>
      <c r="I164" s="88"/>
      <c r="J164" s="88">
        <f>Tabelle2[[#This Row],[Strom (mrd.)]]*1000000000/Tabelle2[[#This Row],[Bevölkerung]]</f>
        <v>0</v>
      </c>
      <c r="K164" s="67"/>
      <c r="L164" s="53"/>
      <c r="M164" s="53">
        <f>Tabelle2[[#This Row],[Wohnimmobilien Anzahl]]/Tabelle2[[#This Row],[Bevölkerung]]</f>
        <v>0</v>
      </c>
      <c r="N164" s="53">
        <f t="shared" si="5"/>
        <v>0</v>
      </c>
      <c r="O164" s="53"/>
      <c r="P164" s="53"/>
      <c r="Q164" s="54"/>
      <c r="R164" s="54"/>
      <c r="S164" s="54"/>
      <c r="T164" s="54"/>
      <c r="U164" s="54"/>
      <c r="V164" s="54"/>
      <c r="W164" s="54"/>
      <c r="X164" s="54"/>
      <c r="Y164" s="54"/>
      <c r="Z164" s="54">
        <v>0</v>
      </c>
      <c r="AA164" s="54"/>
      <c r="AB164" s="54"/>
      <c r="AC164" s="53"/>
      <c r="AD164" s="53"/>
      <c r="AE164" s="53"/>
      <c r="AF164" s="53"/>
      <c r="AG164" s="54"/>
      <c r="AH164" s="54"/>
      <c r="AI164" s="54"/>
      <c r="AJ164" s="54"/>
      <c r="AK164" s="54"/>
      <c r="AL164" s="54"/>
      <c r="AM164" s="53"/>
      <c r="AN164" s="53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3"/>
      <c r="BE164" s="53"/>
      <c r="BF164" s="54"/>
      <c r="BG164" s="54"/>
      <c r="BH164" s="68"/>
    </row>
    <row r="165" spans="1:60" hidden="1" x14ac:dyDescent="0.3">
      <c r="B165" s="13" t="s">
        <v>325</v>
      </c>
      <c r="C165" s="14" t="s">
        <v>326</v>
      </c>
      <c r="D165" s="63">
        <v>410.33800000000002</v>
      </c>
      <c r="E165" s="63">
        <f>Tabelle2[[#This Row],[BIP (mrd.)]]*1000000000/Tabelle2[[#This Row],[Bevölkerung]]</f>
        <v>6410.8110354477367</v>
      </c>
      <c r="F165" s="63">
        <v>0.66400000000000003</v>
      </c>
      <c r="G165" s="53">
        <v>1219090</v>
      </c>
      <c r="H165" s="63">
        <v>64007190</v>
      </c>
      <c r="I165" s="88">
        <v>194.97800000000001</v>
      </c>
      <c r="J165" s="88">
        <f>Tabelle2[[#This Row],[Strom (mrd.)]]*1000000000/Tabelle2[[#This Row],[Bevölkerung]]</f>
        <v>3046.1890297011946</v>
      </c>
      <c r="K165" s="67">
        <v>3.3</v>
      </c>
      <c r="L165" s="53"/>
      <c r="M165" s="53">
        <f>Tabelle2[[#This Row],[Wohnimmobilien Anzahl]]/Tabelle2[[#This Row],[Bevölkerung]]</f>
        <v>0</v>
      </c>
      <c r="N165" s="53">
        <f t="shared" si="5"/>
        <v>0</v>
      </c>
      <c r="O165" s="53"/>
      <c r="P165" s="53"/>
      <c r="Q165" s="54"/>
      <c r="R165" s="54"/>
      <c r="S165" s="54"/>
      <c r="T165" s="54"/>
      <c r="U165" s="54"/>
      <c r="V165" s="54"/>
      <c r="W165" s="54"/>
      <c r="X165" s="54"/>
      <c r="Y165" s="54">
        <v>0</v>
      </c>
      <c r="Z165" s="54">
        <v>0</v>
      </c>
      <c r="AA165" s="87">
        <v>18562085</v>
      </c>
      <c r="AB165" s="54"/>
      <c r="AC165" s="53"/>
      <c r="AD165" s="53"/>
      <c r="AE165" s="53"/>
      <c r="AF165" s="53"/>
      <c r="AG165" s="54"/>
      <c r="AH165" s="54"/>
      <c r="AI165" s="54"/>
      <c r="AJ165" s="54"/>
      <c r="AK165" s="54"/>
      <c r="AL165" s="54"/>
      <c r="AM165" s="53"/>
      <c r="AN165" s="53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3"/>
      <c r="BE165" s="53"/>
      <c r="BF165" s="54"/>
      <c r="BG165" s="54"/>
      <c r="BH165" s="68"/>
    </row>
    <row r="166" spans="1:60" hidden="1" x14ac:dyDescent="0.3">
      <c r="B166" s="2" t="s">
        <v>327</v>
      </c>
      <c r="C166" s="3" t="s">
        <v>328</v>
      </c>
      <c r="D166" s="63">
        <v>3.1505999999999999E-2</v>
      </c>
      <c r="E166" s="63">
        <f>Tabelle2[[#This Row],[BIP (mrd.)]]*1000000000/Tabelle2[[#This Row],[Bevölkerung]]</f>
        <v>0.62451237845140906</v>
      </c>
      <c r="F166" s="63">
        <v>0.34599999999999997</v>
      </c>
      <c r="G166" s="53">
        <v>1878000</v>
      </c>
      <c r="H166" s="63">
        <v>50448960</v>
      </c>
      <c r="I166" s="88"/>
      <c r="J166" s="88">
        <f>Tabelle2[[#This Row],[Strom (mrd.)]]*1000000000/Tabelle2[[#This Row],[Bevölkerung]]</f>
        <v>0</v>
      </c>
      <c r="K166" s="67"/>
      <c r="L166" s="53"/>
      <c r="M166" s="53">
        <f>Tabelle2[[#This Row],[Wohnimmobilien Anzahl]]/Tabelle2[[#This Row],[Bevölkerung]]</f>
        <v>0</v>
      </c>
      <c r="N166" s="53">
        <f t="shared" si="5"/>
        <v>0</v>
      </c>
      <c r="O166" s="53"/>
      <c r="P166" s="53"/>
      <c r="Q166" s="54"/>
      <c r="R166" s="54"/>
      <c r="S166" s="54"/>
      <c r="T166" s="54"/>
      <c r="U166" s="54"/>
      <c r="V166" s="54"/>
      <c r="W166" s="54"/>
      <c r="X166" s="54"/>
      <c r="Y166" s="54"/>
      <c r="Z166" s="54">
        <v>0</v>
      </c>
      <c r="AA166" s="54"/>
      <c r="AB166" s="54"/>
      <c r="AC166" s="53"/>
      <c r="AD166" s="53"/>
      <c r="AE166" s="53"/>
      <c r="AF166" s="53"/>
      <c r="AG166" s="54"/>
      <c r="AH166" s="54"/>
      <c r="AI166" s="54"/>
      <c r="AJ166" s="54"/>
      <c r="AK166" s="54"/>
      <c r="AL166" s="54"/>
      <c r="AM166" s="53"/>
      <c r="AN166" s="53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3"/>
      <c r="BE166" s="53"/>
      <c r="BF166" s="54"/>
      <c r="BG166" s="54"/>
      <c r="BH166" s="68"/>
    </row>
    <row r="167" spans="1:60" hidden="1" x14ac:dyDescent="0.3">
      <c r="B167" s="2" t="s">
        <v>329</v>
      </c>
      <c r="C167" s="3" t="s">
        <v>330</v>
      </c>
      <c r="D167" s="63">
        <v>4.5060000000000005E-3</v>
      </c>
      <c r="E167" s="63">
        <f>Tabelle2[[#This Row],[BIP (mrd.)]]*1000000000/Tabelle2[[#This Row],[Bevölkerung]]</f>
        <v>7.1024384092807713</v>
      </c>
      <c r="F167" s="63">
        <v>0.66100000000000003</v>
      </c>
      <c r="G167" s="53">
        <v>163820</v>
      </c>
      <c r="H167" s="63">
        <v>634430</v>
      </c>
      <c r="I167" s="88"/>
      <c r="J167" s="88">
        <f>Tabelle2[[#This Row],[Strom (mrd.)]]*1000000000/Tabelle2[[#This Row],[Bevölkerung]]</f>
        <v>0</v>
      </c>
      <c r="K167" s="67"/>
      <c r="L167" s="53"/>
      <c r="M167" s="53">
        <f>Tabelle2[[#This Row],[Wohnimmobilien Anzahl]]/Tabelle2[[#This Row],[Bevölkerung]]</f>
        <v>0</v>
      </c>
      <c r="N167" s="53">
        <f t="shared" si="5"/>
        <v>0</v>
      </c>
      <c r="O167" s="53"/>
      <c r="P167" s="53"/>
      <c r="Q167" s="54"/>
      <c r="R167" s="54"/>
      <c r="S167" s="54"/>
      <c r="T167" s="54"/>
      <c r="U167" s="54"/>
      <c r="V167" s="54"/>
      <c r="W167" s="54"/>
      <c r="X167" s="54"/>
      <c r="Y167" s="54"/>
      <c r="Z167" s="54">
        <v>0</v>
      </c>
      <c r="AA167" s="54"/>
      <c r="AB167" s="54"/>
      <c r="AC167" s="53"/>
      <c r="AD167" s="53"/>
      <c r="AE167" s="53"/>
      <c r="AF167" s="53"/>
      <c r="AG167" s="54"/>
      <c r="AH167" s="54"/>
      <c r="AI167" s="54"/>
      <c r="AJ167" s="54"/>
      <c r="AK167" s="54"/>
      <c r="AL167" s="54"/>
      <c r="AM167" s="53"/>
      <c r="AN167" s="53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3"/>
      <c r="BE167" s="53"/>
      <c r="BF167" s="54"/>
      <c r="BG167" s="54"/>
      <c r="BH167" s="68"/>
    </row>
    <row r="168" spans="1:60" hidden="1" x14ac:dyDescent="0.3">
      <c r="B168" s="2" t="s">
        <v>331</v>
      </c>
      <c r="C168" s="3" t="s">
        <v>332</v>
      </c>
      <c r="D168" s="63">
        <v>5.483E-3</v>
      </c>
      <c r="E168" s="63">
        <f>Tabelle2[[#This Row],[BIP (mrd.)]]*1000000000/Tabelle2[[#This Row],[Bevölkerung]]</f>
        <v>4.4117410405368434</v>
      </c>
      <c r="F168" s="63">
        <v>0.23799999999999999</v>
      </c>
      <c r="G168" s="53">
        <v>17360</v>
      </c>
      <c r="H168" s="63">
        <v>1242820</v>
      </c>
      <c r="I168" s="88"/>
      <c r="J168" s="88">
        <f>Tabelle2[[#This Row],[Strom (mrd.)]]*1000000000/Tabelle2[[#This Row],[Bevölkerung]]</f>
        <v>0</v>
      </c>
      <c r="K168" s="67"/>
      <c r="L168" s="53"/>
      <c r="M168" s="53">
        <f>Tabelle2[[#This Row],[Wohnimmobilien Anzahl]]/Tabelle2[[#This Row],[Bevölkerung]]</f>
        <v>0</v>
      </c>
      <c r="N168" s="53">
        <f t="shared" si="5"/>
        <v>0</v>
      </c>
      <c r="O168" s="53"/>
      <c r="P168" s="53"/>
      <c r="Q168" s="54"/>
      <c r="R168" s="54"/>
      <c r="S168" s="54"/>
      <c r="T168" s="54"/>
      <c r="U168" s="54"/>
      <c r="V168" s="54"/>
      <c r="W168" s="54"/>
      <c r="X168" s="54"/>
      <c r="Y168" s="54"/>
      <c r="Z168" s="54">
        <v>0</v>
      </c>
      <c r="AA168" s="54"/>
      <c r="AB168" s="54"/>
      <c r="AC168" s="53"/>
      <c r="AD168" s="53"/>
      <c r="AE168" s="53"/>
      <c r="AF168" s="53"/>
      <c r="AG168" s="54"/>
      <c r="AH168" s="54"/>
      <c r="AI168" s="54"/>
      <c r="AJ168" s="54"/>
      <c r="AK168" s="54"/>
      <c r="AL168" s="54"/>
      <c r="AM168" s="53"/>
      <c r="AN168" s="53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3"/>
      <c r="BE168" s="53"/>
      <c r="BF168" s="54"/>
      <c r="BG168" s="54"/>
      <c r="BH168" s="68"/>
    </row>
    <row r="169" spans="1:60" hidden="1" x14ac:dyDescent="0.3">
      <c r="B169" s="2" t="s">
        <v>333</v>
      </c>
      <c r="C169" s="3" t="s">
        <v>334</v>
      </c>
      <c r="D169" s="63" t="s">
        <v>592</v>
      </c>
      <c r="E169" s="63" t="e">
        <f>Tabelle2[[#This Row],[BIP (mrd.)]]*1000000000/Tabelle2[[#This Row],[Bevölkerung]]</f>
        <v>#VALUE!</v>
      </c>
      <c r="F169" s="63">
        <v>0.54200000000000004</v>
      </c>
      <c r="G169" s="53">
        <v>185180</v>
      </c>
      <c r="H169" s="63">
        <v>24672760</v>
      </c>
      <c r="I169" s="88"/>
      <c r="J169" s="88">
        <f>Tabelle2[[#This Row],[Strom (mrd.)]]*1000000000/Tabelle2[[#This Row],[Bevölkerung]]</f>
        <v>0</v>
      </c>
      <c r="K169" s="67"/>
      <c r="L169" s="53"/>
      <c r="M169" s="53">
        <f>Tabelle2[[#This Row],[Wohnimmobilien Anzahl]]/Tabelle2[[#This Row],[Bevölkerung]]</f>
        <v>0</v>
      </c>
      <c r="N169" s="53">
        <f t="shared" si="5"/>
        <v>0</v>
      </c>
      <c r="O169" s="53"/>
      <c r="P169" s="53"/>
      <c r="Q169" s="54"/>
      <c r="R169" s="54"/>
      <c r="S169" s="54"/>
      <c r="T169" s="54"/>
      <c r="U169" s="54"/>
      <c r="V169" s="54"/>
      <c r="W169" s="54"/>
      <c r="X169" s="54"/>
      <c r="Y169" s="54"/>
      <c r="Z169" s="54">
        <v>0</v>
      </c>
      <c r="AA169" s="54"/>
      <c r="AB169" s="54"/>
      <c r="AC169" s="53"/>
      <c r="AD169" s="53"/>
      <c r="AE169" s="53"/>
      <c r="AF169" s="53"/>
      <c r="AG169" s="54"/>
      <c r="AH169" s="54"/>
      <c r="AI169" s="54"/>
      <c r="AJ169" s="54"/>
      <c r="AK169" s="54"/>
      <c r="AL169" s="54"/>
      <c r="AM169" s="53"/>
      <c r="AN169" s="53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3"/>
      <c r="BE169" s="53"/>
      <c r="BF169" s="54"/>
      <c r="BG169" s="54"/>
      <c r="BH169" s="68"/>
    </row>
    <row r="170" spans="1:60" hidden="1" x14ac:dyDescent="0.3">
      <c r="B170" s="4" t="s">
        <v>335</v>
      </c>
      <c r="C170" s="5" t="s">
        <v>336</v>
      </c>
      <c r="D170" s="63">
        <v>1.4835999999999998E-2</v>
      </c>
      <c r="E170" s="63">
        <f>Tabelle2[[#This Row],[BIP (mrd.)]]*1000000000/Tabelle2[[#This Row],[Bevölkerung]]</f>
        <v>1.4008212687648769</v>
      </c>
      <c r="F170" s="63">
        <v>0.27100000000000002</v>
      </c>
      <c r="G170" s="53">
        <v>141379</v>
      </c>
      <c r="H170" s="63">
        <v>10590930</v>
      </c>
      <c r="I170" s="88"/>
      <c r="J170" s="88">
        <f>Tabelle2[[#This Row],[Strom (mrd.)]]*1000000000/Tabelle2[[#This Row],[Bevölkerung]]</f>
        <v>0</v>
      </c>
      <c r="K170" s="67"/>
      <c r="L170" s="53"/>
      <c r="M170" s="53">
        <f>Tabelle2[[#This Row],[Wohnimmobilien Anzahl]]/Tabelle2[[#This Row],[Bevölkerung]]</f>
        <v>0</v>
      </c>
      <c r="N170" s="53">
        <f t="shared" si="5"/>
        <v>0</v>
      </c>
      <c r="O170" s="53"/>
      <c r="P170" s="53"/>
      <c r="Q170" s="54"/>
      <c r="R170" s="54"/>
      <c r="S170" s="54"/>
      <c r="T170" s="54"/>
      <c r="U170" s="54"/>
      <c r="V170" s="54"/>
      <c r="W170" s="54"/>
      <c r="X170" s="54"/>
      <c r="Y170" s="54"/>
      <c r="Z170" s="54">
        <v>0</v>
      </c>
      <c r="AA170" s="54"/>
      <c r="AB170" s="54"/>
      <c r="AC170" s="53"/>
      <c r="AD170" s="53"/>
      <c r="AE170" s="53"/>
      <c r="AF170" s="53"/>
      <c r="AG170" s="54"/>
      <c r="AH170" s="54"/>
      <c r="AI170" s="54"/>
      <c r="AJ170" s="54"/>
      <c r="AK170" s="54"/>
      <c r="AL170" s="54"/>
      <c r="AM170" s="53"/>
      <c r="AN170" s="53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3"/>
      <c r="BE170" s="53"/>
      <c r="BF170" s="54"/>
      <c r="BG170" s="54"/>
      <c r="BH170" s="68"/>
    </row>
    <row r="171" spans="1:60" x14ac:dyDescent="0.3">
      <c r="A171" t="s">
        <v>589</v>
      </c>
      <c r="B171" s="22" t="s">
        <v>337</v>
      </c>
      <c r="C171" s="23" t="s">
        <v>338</v>
      </c>
      <c r="D171" s="63">
        <v>85.977000000000004</v>
      </c>
      <c r="E171" s="63">
        <f>Tabelle2[[#This Row],[BIP (mrd.)]]*1000000000/Tabelle2[[#This Row],[Bevölkerung]]</f>
        <v>1254.0373301345855</v>
      </c>
      <c r="F171" s="63">
        <v>0.33800000000000002</v>
      </c>
      <c r="G171" s="53">
        <v>947300</v>
      </c>
      <c r="H171" s="63">
        <v>68560160</v>
      </c>
      <c r="I171" s="88">
        <v>9.109</v>
      </c>
      <c r="J171" s="88">
        <f>Tabelle2[[#This Row],[Strom (mrd.)]]*1000000000/Tabelle2[[#This Row],[Bevölkerung]]</f>
        <v>132.86141689284273</v>
      </c>
      <c r="K171" s="67">
        <v>4.59</v>
      </c>
      <c r="L171" s="53">
        <v>13112235</v>
      </c>
      <c r="M171" s="63">
        <f>Tabelle2[[#This Row],[Wohnimmobilien Anzahl]]/Tabelle2[[#This Row],[Bevölkerung]]</f>
        <v>0.19125152275023863</v>
      </c>
      <c r="N171" s="53">
        <f t="shared" si="5"/>
        <v>-13112234.808748478</v>
      </c>
      <c r="O171" s="53"/>
      <c r="P171" s="53"/>
      <c r="Q171" s="54"/>
      <c r="R171" s="54"/>
      <c r="S171" s="54"/>
      <c r="T171" s="54"/>
      <c r="U171" s="54"/>
      <c r="V171" s="54"/>
      <c r="W171" s="54"/>
      <c r="X171" s="54"/>
      <c r="Y171" s="54">
        <v>0</v>
      </c>
      <c r="Z171" s="54" t="s">
        <v>990</v>
      </c>
      <c r="AA171" s="54"/>
      <c r="AB171" s="54"/>
      <c r="AC171" s="53">
        <v>743044</v>
      </c>
      <c r="AD171" s="53"/>
      <c r="AE171" s="53"/>
      <c r="AF171" s="53"/>
      <c r="AG171" s="54"/>
      <c r="AH171" s="54"/>
      <c r="AI171" s="54"/>
      <c r="AJ171" s="54"/>
      <c r="AK171" s="54"/>
      <c r="AL171" s="54"/>
      <c r="AM171" s="53"/>
      <c r="AN171" s="53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3">
        <v>14348372</v>
      </c>
      <c r="BE171" s="53"/>
      <c r="BF171" s="54"/>
      <c r="BG171" s="54"/>
      <c r="BH171" s="68"/>
    </row>
    <row r="172" spans="1:60" hidden="1" x14ac:dyDescent="0.3">
      <c r="B172" s="13" t="s">
        <v>339</v>
      </c>
      <c r="C172" s="14" t="s">
        <v>340</v>
      </c>
      <c r="D172" s="63">
        <v>0.54622400000000004</v>
      </c>
      <c r="E172" s="63">
        <f>Tabelle2[[#This Row],[BIP (mrd.)]]*1000000000/Tabelle2[[#This Row],[Bevölkerung]]</f>
        <v>7.6215873721064673</v>
      </c>
      <c r="F172" s="63">
        <v>0.499</v>
      </c>
      <c r="G172" s="53">
        <v>513115</v>
      </c>
      <c r="H172" s="63">
        <v>71668010</v>
      </c>
      <c r="I172" s="88"/>
      <c r="J172" s="88">
        <f>Tabelle2[[#This Row],[Strom (mrd.)]]*1000000000/Tabelle2[[#This Row],[Bevölkerung]]</f>
        <v>0</v>
      </c>
      <c r="K172" s="67"/>
      <c r="L172" s="53"/>
      <c r="M172" s="53">
        <f>Tabelle2[[#This Row],[Wohnimmobilien Anzahl]]/Tabelle2[[#This Row],[Bevölkerung]]</f>
        <v>0</v>
      </c>
      <c r="N172" s="53">
        <f t="shared" si="5"/>
        <v>0</v>
      </c>
      <c r="O172" s="53"/>
      <c r="P172" s="53"/>
      <c r="Q172" s="54"/>
      <c r="R172" s="54"/>
      <c r="S172" s="54"/>
      <c r="T172" s="54"/>
      <c r="U172" s="54"/>
      <c r="V172" s="54"/>
      <c r="W172" s="54"/>
      <c r="X172" s="54"/>
      <c r="Y172" s="54"/>
      <c r="Z172" s="54">
        <v>0</v>
      </c>
      <c r="AA172" s="54"/>
      <c r="AB172" s="54"/>
      <c r="AC172" s="53"/>
      <c r="AD172" s="53"/>
      <c r="AE172" s="53"/>
      <c r="AF172" s="53"/>
      <c r="AG172" s="54"/>
      <c r="AH172" s="54"/>
      <c r="AI172" s="54"/>
      <c r="AJ172" s="54"/>
      <c r="AK172" s="54"/>
      <c r="AL172" s="54"/>
      <c r="AM172" s="53"/>
      <c r="AN172" s="53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3"/>
      <c r="BE172" s="53"/>
      <c r="BF172" s="54"/>
      <c r="BG172" s="54"/>
      <c r="BH172" s="68"/>
    </row>
    <row r="173" spans="1:60" hidden="1" x14ac:dyDescent="0.3">
      <c r="B173" s="2" t="s">
        <v>341</v>
      </c>
      <c r="C173" s="3" t="s">
        <v>342</v>
      </c>
      <c r="D173" s="63">
        <v>2.1150000000000001E-3</v>
      </c>
      <c r="E173" s="63">
        <f>Tabelle2[[#This Row],[BIP (mrd.)]]*1000000000/Tabelle2[[#This Row],[Bevölkerung]]</f>
        <v>1.5100239890335847</v>
      </c>
      <c r="F173" s="63">
        <v>0.30599999999999999</v>
      </c>
      <c r="G173" s="53">
        <v>14870</v>
      </c>
      <c r="H173" s="63">
        <v>1400640</v>
      </c>
      <c r="I173" s="88"/>
      <c r="J173" s="88">
        <f>Tabelle2[[#This Row],[Strom (mrd.)]]*1000000000/Tabelle2[[#This Row],[Bevölkerung]]</f>
        <v>0</v>
      </c>
      <c r="K173" s="67"/>
      <c r="L173" s="53"/>
      <c r="M173" s="53">
        <f>Tabelle2[[#This Row],[Wohnimmobilien Anzahl]]/Tabelle2[[#This Row],[Bevölkerung]]</f>
        <v>0</v>
      </c>
      <c r="N173" s="53">
        <f t="shared" si="5"/>
        <v>0</v>
      </c>
      <c r="O173" s="53"/>
      <c r="P173" s="53"/>
      <c r="Q173" s="54"/>
      <c r="R173" s="54"/>
      <c r="S173" s="54"/>
      <c r="T173" s="54"/>
      <c r="U173" s="54"/>
      <c r="V173" s="54"/>
      <c r="W173" s="54"/>
      <c r="X173" s="54"/>
      <c r="Y173" s="54"/>
      <c r="Z173" s="54">
        <v>0</v>
      </c>
      <c r="AA173" s="54"/>
      <c r="AB173" s="54"/>
      <c r="AC173" s="53"/>
      <c r="AD173" s="53"/>
      <c r="AE173" s="53"/>
      <c r="AF173" s="53"/>
      <c r="AG173" s="54"/>
      <c r="AH173" s="54"/>
      <c r="AI173" s="54"/>
      <c r="AJ173" s="54"/>
      <c r="AK173" s="54"/>
      <c r="AL173" s="54"/>
      <c r="AM173" s="53"/>
      <c r="AN173" s="53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3"/>
      <c r="BE173" s="53"/>
      <c r="BF173" s="54"/>
      <c r="BG173" s="54"/>
      <c r="BH173" s="68"/>
    </row>
    <row r="174" spans="1:60" hidden="1" x14ac:dyDescent="0.3">
      <c r="B174" s="2" t="s">
        <v>343</v>
      </c>
      <c r="C174" s="3" t="s">
        <v>344</v>
      </c>
      <c r="D174" s="63">
        <v>1.0023000000000001E-2</v>
      </c>
      <c r="E174" s="63">
        <f>Tabelle2[[#This Row],[BIP (mrd.)]]*1000000000/Tabelle2[[#This Row],[Bevölkerung]]</f>
        <v>1.0533628158617123</v>
      </c>
      <c r="F174" s="63">
        <v>0.41699999999999998</v>
      </c>
      <c r="G174" s="53">
        <v>56790</v>
      </c>
      <c r="H174" s="63">
        <v>9515240</v>
      </c>
      <c r="I174" s="88"/>
      <c r="J174" s="88">
        <f>Tabelle2[[#This Row],[Strom (mrd.)]]*1000000000/Tabelle2[[#This Row],[Bevölkerung]]</f>
        <v>0</v>
      </c>
      <c r="K174" s="67"/>
      <c r="L174" s="53"/>
      <c r="M174" s="53">
        <f>Tabelle2[[#This Row],[Wohnimmobilien Anzahl]]/Tabelle2[[#This Row],[Bevölkerung]]</f>
        <v>0</v>
      </c>
      <c r="N174" s="53">
        <f t="shared" si="5"/>
        <v>0</v>
      </c>
      <c r="O174" s="53"/>
      <c r="P174" s="53"/>
      <c r="Q174" s="54"/>
      <c r="R174" s="54"/>
      <c r="S174" s="54"/>
      <c r="T174" s="54"/>
      <c r="U174" s="54"/>
      <c r="V174" s="54"/>
      <c r="W174" s="54"/>
      <c r="X174" s="54"/>
      <c r="Y174" s="54"/>
      <c r="Z174" s="54">
        <v>0</v>
      </c>
      <c r="AA174" s="54"/>
      <c r="AB174" s="54"/>
      <c r="AC174" s="53"/>
      <c r="AD174" s="53"/>
      <c r="AE174" s="53"/>
      <c r="AF174" s="53"/>
      <c r="AG174" s="54"/>
      <c r="AH174" s="54"/>
      <c r="AI174" s="54"/>
      <c r="AJ174" s="54"/>
      <c r="AK174" s="54"/>
      <c r="AL174" s="54"/>
      <c r="AM174" s="53"/>
      <c r="AN174" s="53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3"/>
      <c r="BE174" s="53"/>
      <c r="BF174" s="54"/>
      <c r="BG174" s="54"/>
      <c r="BH174" s="68"/>
    </row>
    <row r="175" spans="1:60" hidden="1" x14ac:dyDescent="0.3">
      <c r="B175" s="4" t="s">
        <v>345</v>
      </c>
      <c r="C175" s="5" t="s">
        <v>346</v>
      </c>
      <c r="D175" s="63">
        <v>5.679999999999999E-7</v>
      </c>
      <c r="E175" s="63">
        <f>Tabelle2[[#This Row],[BIP (mrd.)]]*1000000000/Tabelle2[[#This Row],[Bevölkerung]]</f>
        <v>5.4526255159834877E-3</v>
      </c>
      <c r="F175" s="63">
        <v>0.23100000000000001</v>
      </c>
      <c r="G175" s="53">
        <v>750</v>
      </c>
      <c r="H175" s="63">
        <v>104170</v>
      </c>
      <c r="I175" s="88"/>
      <c r="J175" s="88">
        <f>Tabelle2[[#This Row],[Strom (mrd.)]]*1000000000/Tabelle2[[#This Row],[Bevölkerung]]</f>
        <v>0</v>
      </c>
      <c r="K175" s="67"/>
      <c r="L175" s="53"/>
      <c r="M175" s="53">
        <f>Tabelle2[[#This Row],[Wohnimmobilien Anzahl]]/Tabelle2[[#This Row],[Bevölkerung]]</f>
        <v>0</v>
      </c>
      <c r="N175" s="53">
        <f t="shared" si="5"/>
        <v>0</v>
      </c>
      <c r="O175" s="53"/>
      <c r="P175" s="53"/>
      <c r="Q175" s="54"/>
      <c r="R175" s="54"/>
      <c r="S175" s="54"/>
      <c r="T175" s="54"/>
      <c r="U175" s="54"/>
      <c r="V175" s="54"/>
      <c r="W175" s="54"/>
      <c r="X175" s="54"/>
      <c r="Y175" s="54"/>
      <c r="Z175" s="54">
        <v>0</v>
      </c>
      <c r="AA175" s="54"/>
      <c r="AB175" s="54"/>
      <c r="AC175" s="53"/>
      <c r="AD175" s="53"/>
      <c r="AE175" s="53"/>
      <c r="AF175" s="53"/>
      <c r="AG175" s="54"/>
      <c r="AH175" s="54"/>
      <c r="AI175" s="54"/>
      <c r="AJ175" s="54"/>
      <c r="AK175" s="54"/>
      <c r="AL175" s="54"/>
      <c r="AM175" s="53"/>
      <c r="AN175" s="53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3"/>
      <c r="BE175" s="53"/>
      <c r="BF175" s="54"/>
      <c r="BG175" s="54"/>
      <c r="BH175" s="68"/>
    </row>
    <row r="176" spans="1:60" hidden="1" x14ac:dyDescent="0.3">
      <c r="B176" s="4" t="s">
        <v>347</v>
      </c>
      <c r="C176" s="5" t="s">
        <v>348</v>
      </c>
      <c r="D176" s="63">
        <v>2.6466999999999997E-2</v>
      </c>
      <c r="E176" s="63">
        <f>Tabelle2[[#This Row],[BIP (mrd.)]]*1000000000/Tabelle2[[#This Row],[Bevölkerung]]</f>
        <v>19.342556254704636</v>
      </c>
      <c r="F176" s="63">
        <v>0.53200000000000003</v>
      </c>
      <c r="G176" s="53">
        <v>5130</v>
      </c>
      <c r="H176" s="63">
        <v>1368330</v>
      </c>
      <c r="I176" s="88"/>
      <c r="J176" s="88">
        <f>Tabelle2[[#This Row],[Strom (mrd.)]]*1000000000/Tabelle2[[#This Row],[Bevölkerung]]</f>
        <v>0</v>
      </c>
      <c r="K176" s="67"/>
      <c r="L176" s="53"/>
      <c r="M176" s="53">
        <f>Tabelle2[[#This Row],[Wohnimmobilien Anzahl]]/Tabelle2[[#This Row],[Bevölkerung]]</f>
        <v>0</v>
      </c>
      <c r="N176" s="53">
        <f t="shared" si="5"/>
        <v>0</v>
      </c>
      <c r="O176" s="53"/>
      <c r="P176" s="53"/>
      <c r="Q176" s="54"/>
      <c r="R176" s="54"/>
      <c r="S176" s="54"/>
      <c r="T176" s="54"/>
      <c r="U176" s="54"/>
      <c r="V176" s="54"/>
      <c r="W176" s="54"/>
      <c r="X176" s="54"/>
      <c r="Y176" s="54"/>
      <c r="Z176" s="54">
        <v>0</v>
      </c>
      <c r="AA176" s="54"/>
      <c r="AB176" s="54"/>
      <c r="AC176" s="53"/>
      <c r="AD176" s="53"/>
      <c r="AE176" s="53"/>
      <c r="AF176" s="53"/>
      <c r="AG176" s="54"/>
      <c r="AH176" s="54"/>
      <c r="AI176" s="54"/>
      <c r="AJ176" s="54"/>
      <c r="AK176" s="54"/>
      <c r="AL176" s="54"/>
      <c r="AM176" s="53"/>
      <c r="AN176" s="53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3"/>
      <c r="BE176" s="53"/>
      <c r="BF176" s="54"/>
      <c r="BG176" s="54"/>
      <c r="BH176" s="68"/>
    </row>
    <row r="177" spans="1:60" hidden="1" x14ac:dyDescent="0.3">
      <c r="B177" s="4" t="s">
        <v>349</v>
      </c>
      <c r="C177" s="5" t="s">
        <v>350</v>
      </c>
      <c r="D177" s="63">
        <v>1.8792E-2</v>
      </c>
      <c r="E177" s="63">
        <f>Tabelle2[[#This Row],[BIP (mrd.)]]*1000000000/Tabelle2[[#This Row],[Bevölkerung]]</f>
        <v>0.92575441694024174</v>
      </c>
      <c r="F177" s="63">
        <v>0.23100000000000001</v>
      </c>
      <c r="G177" s="53">
        <v>1284000</v>
      </c>
      <c r="H177" s="63">
        <v>20299120</v>
      </c>
      <c r="I177" s="88"/>
      <c r="J177" s="88">
        <f>Tabelle2[[#This Row],[Strom (mrd.)]]*1000000000/Tabelle2[[#This Row],[Bevölkerung]]</f>
        <v>0</v>
      </c>
      <c r="K177" s="67"/>
      <c r="L177" s="53"/>
      <c r="M177" s="53">
        <f>Tabelle2[[#This Row],[Wohnimmobilien Anzahl]]/Tabelle2[[#This Row],[Bevölkerung]]</f>
        <v>0</v>
      </c>
      <c r="N177" s="53">
        <f t="shared" si="5"/>
        <v>0</v>
      </c>
      <c r="O177" s="53"/>
      <c r="P177" s="53"/>
      <c r="Q177" s="54"/>
      <c r="R177" s="54"/>
      <c r="S177" s="54"/>
      <c r="T177" s="54"/>
      <c r="U177" s="54"/>
      <c r="V177" s="54"/>
      <c r="W177" s="54"/>
      <c r="X177" s="54"/>
      <c r="Y177" s="54"/>
      <c r="Z177" s="54">
        <v>0</v>
      </c>
      <c r="AA177" s="54"/>
      <c r="AB177" s="54"/>
      <c r="AC177" s="53"/>
      <c r="AD177" s="53"/>
      <c r="AE177" s="53"/>
      <c r="AF177" s="53"/>
      <c r="AG177" s="54"/>
      <c r="AH177" s="54"/>
      <c r="AI177" s="54"/>
      <c r="AJ177" s="54"/>
      <c r="AK177" s="54"/>
      <c r="AL177" s="54"/>
      <c r="AM177" s="53"/>
      <c r="AN177" s="53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3"/>
      <c r="BE177" s="53"/>
      <c r="BF177" s="54"/>
      <c r="BG177" s="54"/>
      <c r="BH177" s="68"/>
    </row>
    <row r="178" spans="1:60" hidden="1" x14ac:dyDescent="0.3">
      <c r="B178" s="13" t="s">
        <v>351</v>
      </c>
      <c r="C178" s="14" t="s">
        <v>352</v>
      </c>
      <c r="D178" s="63">
        <v>360.24400000000003</v>
      </c>
      <c r="E178" s="63">
        <f>Tabelle2[[#This Row],[BIP (mrd.)]]*1000000000/Tabelle2[[#This Row],[Bevölkerung]]</f>
        <v>33104.089629264781</v>
      </c>
      <c r="F178" s="63">
        <v>0.73799999999999999</v>
      </c>
      <c r="G178" s="53">
        <v>78871</v>
      </c>
      <c r="H178" s="63">
        <v>10882160</v>
      </c>
      <c r="I178" s="88">
        <v>63.628</v>
      </c>
      <c r="J178" s="88">
        <f>Tabelle2[[#This Row],[Strom (mrd.)]]*1000000000/Tabelle2[[#This Row],[Bevölkerung]]</f>
        <v>5847.0009630441018</v>
      </c>
      <c r="K178" s="67">
        <v>2.2999999999999998</v>
      </c>
      <c r="L178" s="53"/>
      <c r="M178" s="53">
        <f>Tabelle2[[#This Row],[Wohnimmobilien Anzahl]]/Tabelle2[[#This Row],[Bevölkerung]]</f>
        <v>0</v>
      </c>
      <c r="N178" s="53">
        <f t="shared" si="5"/>
        <v>0</v>
      </c>
      <c r="O178" s="53"/>
      <c r="P178" s="53">
        <v>4480139</v>
      </c>
      <c r="Q178" s="54"/>
      <c r="R178" s="54"/>
      <c r="S178" s="54"/>
      <c r="T178" s="54"/>
      <c r="U178" s="54"/>
      <c r="V178" s="54"/>
      <c r="W178" s="54"/>
      <c r="X178" s="54"/>
      <c r="Y178" s="54">
        <v>1</v>
      </c>
      <c r="Z178" s="54">
        <v>1</v>
      </c>
      <c r="AA178" s="87">
        <v>5495491</v>
      </c>
      <c r="AB178" s="54"/>
      <c r="AC178" s="53"/>
      <c r="AD178" s="53"/>
      <c r="AE178" s="53"/>
      <c r="AF178" s="53"/>
      <c r="AG178" s="54"/>
      <c r="AH178" s="54"/>
      <c r="AI178" s="54"/>
      <c r="AJ178" s="54"/>
      <c r="AK178" s="54"/>
      <c r="AL178" s="54"/>
      <c r="AM178" s="53"/>
      <c r="AN178" s="53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3"/>
      <c r="BE178" s="53"/>
      <c r="BF178" s="54"/>
      <c r="BG178" s="54"/>
      <c r="BH178" s="68"/>
    </row>
    <row r="179" spans="1:60" hidden="1" x14ac:dyDescent="0.3">
      <c r="B179" s="24" t="s">
        <v>353</v>
      </c>
      <c r="C179" s="25" t="s">
        <v>354</v>
      </c>
      <c r="D179" s="63">
        <v>56.290999999999997</v>
      </c>
      <c r="E179" s="63">
        <f>Tabelle2[[#This Row],[BIP (mrd.)]]*1000000000/Tabelle2[[#This Row],[Bevölkerung]]</f>
        <v>4585.0367065213231</v>
      </c>
      <c r="F179" s="63">
        <v>0.68899999999999995</v>
      </c>
      <c r="G179" s="53">
        <v>163610</v>
      </c>
      <c r="H179" s="63">
        <v>12277110</v>
      </c>
      <c r="I179" s="88">
        <v>19.152999999999999</v>
      </c>
      <c r="J179" s="88">
        <f>Tabelle2[[#This Row],[Strom (mrd.)]]*1000000000/Tabelle2[[#This Row],[Bevölkerung]]</f>
        <v>1560.0577008758576</v>
      </c>
      <c r="K179" s="67">
        <v>3.9</v>
      </c>
      <c r="L179" s="53"/>
      <c r="M179" s="53">
        <f>Tabelle2[[#This Row],[Wohnimmobilien Anzahl]]/Tabelle2[[#This Row],[Bevölkerung]]</f>
        <v>0</v>
      </c>
      <c r="N179" s="53">
        <f t="shared" si="5"/>
        <v>0</v>
      </c>
      <c r="O179" s="53"/>
      <c r="P179" s="53"/>
      <c r="Q179" s="54"/>
      <c r="R179" s="54"/>
      <c r="S179" s="54"/>
      <c r="T179" s="54"/>
      <c r="U179" s="54"/>
      <c r="V179" s="54"/>
      <c r="W179" s="54"/>
      <c r="X179" s="54"/>
      <c r="Y179" s="54">
        <v>0</v>
      </c>
      <c r="Z179" s="54" t="s">
        <v>990</v>
      </c>
      <c r="AA179" s="54">
        <v>3289903</v>
      </c>
      <c r="AB179" s="54"/>
      <c r="AC179" s="53"/>
      <c r="AD179" s="53"/>
      <c r="AE179" s="53"/>
      <c r="AF179" s="53"/>
      <c r="AG179" s="54"/>
      <c r="AH179" s="54"/>
      <c r="AI179" s="54"/>
      <c r="AJ179" s="54"/>
      <c r="AK179" s="54"/>
      <c r="AL179" s="54"/>
      <c r="AM179" s="53"/>
      <c r="AN179" s="53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3"/>
      <c r="BE179" s="53"/>
      <c r="BF179" s="54"/>
      <c r="BG179" s="54"/>
      <c r="BH179" s="68"/>
    </row>
    <row r="180" spans="1:60" hidden="1" x14ac:dyDescent="0.3">
      <c r="B180" s="17" t="s">
        <v>355</v>
      </c>
      <c r="C180" s="18" t="s">
        <v>356</v>
      </c>
      <c r="D180" s="63">
        <v>1437.4059999999999</v>
      </c>
      <c r="E180" s="63">
        <f>Tabelle2[[#This Row],[BIP (mrd.)]]*1000000000/Tabelle2[[#This Row],[Bevölkerung]]</f>
        <v>16808.097788248786</v>
      </c>
      <c r="F180" s="63">
        <v>0.751</v>
      </c>
      <c r="G180" s="53">
        <v>785350</v>
      </c>
      <c r="H180" s="63">
        <v>85518660</v>
      </c>
      <c r="I180" s="88">
        <v>285.17700000000002</v>
      </c>
      <c r="J180" s="88">
        <f>Tabelle2[[#This Row],[Strom (mrd.)]]*1000000000/Tabelle2[[#This Row],[Bevölkerung]]</f>
        <v>3334.6757304195366</v>
      </c>
      <c r="K180" s="67">
        <v>3.14</v>
      </c>
      <c r="L180" s="53"/>
      <c r="M180" s="53">
        <f>Tabelle2[[#This Row],[Wohnimmobilien Anzahl]]/Tabelle2[[#This Row],[Bevölkerung]]</f>
        <v>0</v>
      </c>
      <c r="N180" s="53">
        <f t="shared" si="5"/>
        <v>0</v>
      </c>
      <c r="O180" s="53"/>
      <c r="P180" s="53"/>
      <c r="Q180" s="54"/>
      <c r="R180" s="54"/>
      <c r="S180" s="54"/>
      <c r="T180" s="54"/>
      <c r="U180" s="54"/>
      <c r="V180" s="54"/>
      <c r="W180" s="54"/>
      <c r="X180" s="54"/>
      <c r="Y180" s="54">
        <v>1</v>
      </c>
      <c r="Z180" s="54">
        <v>1</v>
      </c>
      <c r="AA180" s="87">
        <v>39167546</v>
      </c>
      <c r="AB180" s="54"/>
      <c r="AC180" s="53"/>
      <c r="AD180" s="53"/>
      <c r="AE180" s="53"/>
      <c r="AF180" s="53"/>
      <c r="AG180" s="54"/>
      <c r="AH180" s="54"/>
      <c r="AI180" s="54"/>
      <c r="AJ180" s="54"/>
      <c r="AK180" s="54"/>
      <c r="AL180" s="54"/>
      <c r="AM180" s="53"/>
      <c r="AN180" s="53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3"/>
      <c r="BE180" s="53"/>
      <c r="BF180" s="54"/>
      <c r="BG180" s="54"/>
      <c r="BH180" s="68"/>
    </row>
    <row r="181" spans="1:60" hidden="1" x14ac:dyDescent="0.3">
      <c r="B181" s="2" t="s">
        <v>357</v>
      </c>
      <c r="C181" s="3" t="s">
        <v>358</v>
      </c>
      <c r="D181" s="63">
        <v>8.9054000000000008E-2</v>
      </c>
      <c r="E181" s="63">
        <f>Tabelle2[[#This Row],[BIP (mrd.)]]*1000000000/Tabelle2[[#This Row],[Bevölkerung]]</f>
        <v>11.882580559076658</v>
      </c>
      <c r="F181" s="63">
        <v>0.51600000000000001</v>
      </c>
      <c r="G181" s="53">
        <v>491209</v>
      </c>
      <c r="H181" s="63">
        <v>7494500</v>
      </c>
      <c r="I181" s="88"/>
      <c r="J181" s="88">
        <f>Tabelle2[[#This Row],[Strom (mrd.)]]*1000000000/Tabelle2[[#This Row],[Bevölkerung]]</f>
        <v>0</v>
      </c>
      <c r="K181" s="67"/>
      <c r="L181" s="53"/>
      <c r="M181" s="53">
        <f>Tabelle2[[#This Row],[Wohnimmobilien Anzahl]]/Tabelle2[[#This Row],[Bevölkerung]]</f>
        <v>0</v>
      </c>
      <c r="N181" s="53">
        <f t="shared" si="5"/>
        <v>0</v>
      </c>
      <c r="O181" s="53"/>
      <c r="P181" s="53"/>
      <c r="Q181" s="54"/>
      <c r="R181" s="54"/>
      <c r="S181" s="54"/>
      <c r="T181" s="54"/>
      <c r="U181" s="54"/>
      <c r="V181" s="54"/>
      <c r="W181" s="54"/>
      <c r="X181" s="54"/>
      <c r="Y181" s="54"/>
      <c r="Z181" s="54">
        <v>0</v>
      </c>
      <c r="AA181" s="54"/>
      <c r="AB181" s="54"/>
      <c r="AC181" s="53"/>
      <c r="AD181" s="53"/>
      <c r="AE181" s="53"/>
      <c r="AF181" s="53"/>
      <c r="AG181" s="54"/>
      <c r="AH181" s="54"/>
      <c r="AI181" s="54"/>
      <c r="AJ181" s="54"/>
      <c r="AK181" s="54"/>
      <c r="AL181" s="54"/>
      <c r="AM181" s="53"/>
      <c r="AN181" s="53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3"/>
      <c r="BE181" s="53"/>
      <c r="BF181" s="54"/>
      <c r="BG181" s="54"/>
      <c r="BH181" s="68"/>
    </row>
    <row r="182" spans="1:60" hidden="1" x14ac:dyDescent="0.3">
      <c r="B182" s="2" t="s">
        <v>359</v>
      </c>
      <c r="C182" s="3" t="s">
        <v>360</v>
      </c>
      <c r="D182" s="63">
        <v>6.5000000000000013E-8</v>
      </c>
      <c r="E182" s="63">
        <f>Tabelle2[[#This Row],[BIP (mrd.)]]*1000000000/Tabelle2[[#This Row],[Bevölkerung]]</f>
        <v>1.396948205458844E-3</v>
      </c>
      <c r="F182" s="63">
        <v>0.624</v>
      </c>
      <c r="G182" s="53">
        <v>30</v>
      </c>
      <c r="H182" s="63">
        <v>46530</v>
      </c>
      <c r="I182" s="88"/>
      <c r="J182" s="88">
        <f>Tabelle2[[#This Row],[Strom (mrd.)]]*1000000000/Tabelle2[[#This Row],[Bevölkerung]]</f>
        <v>0</v>
      </c>
      <c r="K182" s="67"/>
      <c r="L182" s="53"/>
      <c r="M182" s="53">
        <f>Tabelle2[[#This Row],[Wohnimmobilien Anzahl]]/Tabelle2[[#This Row],[Bevölkerung]]</f>
        <v>0</v>
      </c>
      <c r="N182" s="53">
        <f t="shared" si="5"/>
        <v>0</v>
      </c>
      <c r="O182" s="53"/>
      <c r="P182" s="53"/>
      <c r="Q182" s="54"/>
      <c r="R182" s="54"/>
      <c r="S182" s="54"/>
      <c r="T182" s="54"/>
      <c r="U182" s="54"/>
      <c r="V182" s="54"/>
      <c r="W182" s="54"/>
      <c r="X182" s="54"/>
      <c r="Y182" s="54"/>
      <c r="Z182" s="54">
        <v>0</v>
      </c>
      <c r="AA182" s="54"/>
      <c r="AB182" s="54"/>
      <c r="AC182" s="53"/>
      <c r="AD182" s="53"/>
      <c r="AE182" s="53"/>
      <c r="AF182" s="53"/>
      <c r="AG182" s="54"/>
      <c r="AH182" s="54"/>
      <c r="AI182" s="54"/>
      <c r="AJ182" s="54"/>
      <c r="AK182" s="54"/>
      <c r="AL182" s="54"/>
      <c r="AM182" s="53"/>
      <c r="AN182" s="53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3"/>
      <c r="BE182" s="53"/>
      <c r="BF182" s="54"/>
      <c r="BG182" s="54"/>
      <c r="BH182" s="68"/>
    </row>
    <row r="183" spans="1:60" hidden="1" x14ac:dyDescent="0.3">
      <c r="B183" s="22" t="s">
        <v>361</v>
      </c>
      <c r="C183" s="23" t="s">
        <v>362</v>
      </c>
      <c r="D183" s="63">
        <v>6.4277000000000001E-2</v>
      </c>
      <c r="E183" s="63">
        <f>Tabelle2[[#This Row],[BIP (mrd.)]]*1000000000/Tabelle2[[#This Row],[Bevölkerung]]</f>
        <v>1.2851521410838209</v>
      </c>
      <c r="F183" s="63">
        <v>0.23799999999999999</v>
      </c>
      <c r="G183" s="53">
        <v>241550</v>
      </c>
      <c r="H183" s="63">
        <v>50015090</v>
      </c>
      <c r="I183" s="88"/>
      <c r="J183" s="88">
        <f>Tabelle2[[#This Row],[Strom (mrd.)]]*1000000000/Tabelle2[[#This Row],[Bevölkerung]]</f>
        <v>0</v>
      </c>
      <c r="K183" s="67"/>
      <c r="L183" s="53"/>
      <c r="M183" s="53">
        <f>Tabelle2[[#This Row],[Wohnimmobilien Anzahl]]/Tabelle2[[#This Row],[Bevölkerung]]</f>
        <v>0</v>
      </c>
      <c r="N183" s="53">
        <f t="shared" si="5"/>
        <v>0</v>
      </c>
      <c r="O183" s="53"/>
      <c r="P183" s="53"/>
      <c r="Q183" s="54"/>
      <c r="R183" s="54"/>
      <c r="S183" s="54"/>
      <c r="T183" s="54"/>
      <c r="U183" s="54"/>
      <c r="V183" s="54"/>
      <c r="W183" s="54"/>
      <c r="X183" s="54"/>
      <c r="Y183" s="54"/>
      <c r="Z183" s="54">
        <v>0</v>
      </c>
      <c r="AA183" s="54"/>
      <c r="AB183" s="54"/>
      <c r="AC183" s="53"/>
      <c r="AD183" s="53"/>
      <c r="AE183" s="53"/>
      <c r="AF183" s="53"/>
      <c r="AG183" s="54"/>
      <c r="AH183" s="54"/>
      <c r="AI183" s="54"/>
      <c r="AJ183" s="54"/>
      <c r="AK183" s="54"/>
      <c r="AL183" s="54"/>
      <c r="AM183" s="53"/>
      <c r="AN183" s="53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3"/>
      <c r="BE183" s="53"/>
      <c r="BF183" s="54"/>
      <c r="BG183" s="54"/>
      <c r="BH183" s="68"/>
    </row>
    <row r="184" spans="1:60" hidden="1" x14ac:dyDescent="0.3">
      <c r="B184" s="4" t="s">
        <v>363</v>
      </c>
      <c r="C184" s="5" t="s">
        <v>364</v>
      </c>
      <c r="D184" s="63">
        <v>0.20574200000000001</v>
      </c>
      <c r="E184" s="63">
        <f>Tabelle2[[#This Row],[BIP (mrd.)]]*1000000000/Tabelle2[[#This Row],[Bevölkerung]]</f>
        <v>5.434252627163815</v>
      </c>
      <c r="F184" s="63">
        <v>0.69399999999999995</v>
      </c>
      <c r="G184" s="53">
        <v>603550</v>
      </c>
      <c r="H184" s="63">
        <v>37860220</v>
      </c>
      <c r="I184" s="88"/>
      <c r="J184" s="88">
        <f>Tabelle2[[#This Row],[Strom (mrd.)]]*1000000000/Tabelle2[[#This Row],[Bevölkerung]]</f>
        <v>0</v>
      </c>
      <c r="K184" s="67"/>
      <c r="L184" s="53"/>
      <c r="M184" s="53">
        <f>Tabelle2[[#This Row],[Wohnimmobilien Anzahl]]/Tabelle2[[#This Row],[Bevölkerung]]</f>
        <v>0</v>
      </c>
      <c r="N184" s="53">
        <f t="shared" si="5"/>
        <v>0</v>
      </c>
      <c r="O184" s="53"/>
      <c r="P184" s="53"/>
      <c r="Q184" s="54"/>
      <c r="R184" s="54"/>
      <c r="S184" s="54"/>
      <c r="T184" s="54"/>
      <c r="U184" s="54"/>
      <c r="V184" s="54"/>
      <c r="W184" s="54"/>
      <c r="X184" s="54"/>
      <c r="Y184" s="54"/>
      <c r="Z184" s="54">
        <v>0</v>
      </c>
      <c r="AA184" s="54"/>
      <c r="AB184" s="54"/>
      <c r="AC184" s="53"/>
      <c r="AD184" s="53"/>
      <c r="AE184" s="53"/>
      <c r="AF184" s="53"/>
      <c r="AG184" s="54"/>
      <c r="AH184" s="54"/>
      <c r="AI184" s="54"/>
      <c r="AJ184" s="54"/>
      <c r="AK184" s="54"/>
      <c r="AL184" s="54"/>
      <c r="AM184" s="53"/>
      <c r="AN184" s="53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3"/>
      <c r="BE184" s="53"/>
      <c r="BF184" s="54"/>
      <c r="BG184" s="54"/>
      <c r="BH184" s="68"/>
    </row>
    <row r="185" spans="1:60" x14ac:dyDescent="0.3">
      <c r="A185" t="s">
        <v>588</v>
      </c>
      <c r="B185" s="13" t="s">
        <v>365</v>
      </c>
      <c r="C185" s="14" t="s">
        <v>366</v>
      </c>
      <c r="D185" s="63">
        <v>237.07</v>
      </c>
      <c r="E185" s="63">
        <f>Tabelle2[[#This Row],[BIP (mrd.)]]*1000000000/Tabelle2[[#This Row],[Bevölkerung]]</f>
        <v>24792.126588659015</v>
      </c>
      <c r="F185" s="63">
        <v>0.71399999999999997</v>
      </c>
      <c r="G185" s="53">
        <v>93030</v>
      </c>
      <c r="H185" s="63">
        <v>9562310</v>
      </c>
      <c r="I185" s="88">
        <v>42.738999999999997</v>
      </c>
      <c r="J185" s="88">
        <f>Tabelle2[[#This Row],[Strom (mrd.)]]*1000000000/Tabelle2[[#This Row],[Bevölkerung]]</f>
        <v>4469.5267147791692</v>
      </c>
      <c r="K185" s="67">
        <v>2.2999999999999998</v>
      </c>
      <c r="L185" s="53">
        <v>2790000</v>
      </c>
      <c r="M185" s="63">
        <f>Tabelle2[[#This Row],[Wohnimmobilien Anzahl]]/Tabelle2[[#This Row],[Bevölkerung]]</f>
        <v>0.29177050315248093</v>
      </c>
      <c r="N185" s="53">
        <f t="shared" si="5"/>
        <v>-2789999.7082294971</v>
      </c>
      <c r="O185" s="53"/>
      <c r="P185" s="53"/>
      <c r="Q185" s="54"/>
      <c r="R185" s="54"/>
      <c r="S185" s="54"/>
      <c r="T185" s="54"/>
      <c r="U185" s="54"/>
      <c r="V185" s="54"/>
      <c r="W185" s="54"/>
      <c r="X185" s="54"/>
      <c r="Y185" s="54">
        <v>0</v>
      </c>
      <c r="Z185" s="54" t="s">
        <v>989</v>
      </c>
      <c r="AA185" s="54">
        <v>4603906</v>
      </c>
      <c r="AB185" s="54"/>
      <c r="AC185" s="53"/>
      <c r="AD185" s="53"/>
      <c r="AE185" s="53"/>
      <c r="AF185" s="53"/>
      <c r="AG185" s="54"/>
      <c r="AH185" s="54"/>
      <c r="AI185" s="54"/>
      <c r="AJ185" s="54"/>
      <c r="AK185" s="54"/>
      <c r="AL185" s="54"/>
      <c r="AM185" s="53"/>
      <c r="AN185" s="53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3"/>
      <c r="BE185" s="53"/>
      <c r="BF185" s="54"/>
      <c r="BG185" s="54"/>
      <c r="BH185" s="68"/>
    </row>
    <row r="186" spans="1:60" hidden="1" x14ac:dyDescent="0.3">
      <c r="B186" s="24" t="s">
        <v>367</v>
      </c>
      <c r="C186" s="23" t="s">
        <v>368</v>
      </c>
      <c r="D186" s="63">
        <v>79.730999999999995</v>
      </c>
      <c r="E186" s="63">
        <f>Tabelle2[[#This Row],[BIP (mrd.)]]*1000000000/Tabelle2[[#This Row],[Bevölkerung]]</f>
        <v>23543.151075270405</v>
      </c>
      <c r="F186" s="63">
        <v>0.95299999999999996</v>
      </c>
      <c r="G186" s="53">
        <v>176220</v>
      </c>
      <c r="H186" s="63">
        <v>3386590</v>
      </c>
      <c r="I186" s="88">
        <v>9.8260000000000005</v>
      </c>
      <c r="J186" s="88">
        <f>Tabelle2[[#This Row],[Strom (mrd.)]]*1000000000/Tabelle2[[#This Row],[Bevölkerung]]</f>
        <v>2901.4436350429191</v>
      </c>
      <c r="K186" s="67">
        <v>2.78</v>
      </c>
      <c r="L186" s="53"/>
      <c r="M186" s="53">
        <f>Tabelle2[[#This Row],[Wohnimmobilien Anzahl]]/Tabelle2[[#This Row],[Bevölkerung]]</f>
        <v>0</v>
      </c>
      <c r="N186" s="53">
        <f t="shared" si="5"/>
        <v>0</v>
      </c>
      <c r="O186" s="53"/>
      <c r="P186" s="53"/>
      <c r="Q186" s="54"/>
      <c r="R186" s="54"/>
      <c r="S186" s="54"/>
      <c r="T186" s="54"/>
      <c r="U186" s="54"/>
      <c r="V186" s="54"/>
      <c r="W186" s="54"/>
      <c r="X186" s="54"/>
      <c r="Y186" s="54">
        <v>0</v>
      </c>
      <c r="Z186" s="54" t="s">
        <v>989</v>
      </c>
      <c r="AA186" s="54">
        <v>1659048</v>
      </c>
      <c r="AB186" s="54"/>
      <c r="AC186" s="53"/>
      <c r="AD186" s="53"/>
      <c r="AE186" s="53"/>
      <c r="AF186" s="53"/>
      <c r="AG186" s="54"/>
      <c r="AH186" s="54"/>
      <c r="AI186" s="54"/>
      <c r="AJ186" s="54"/>
      <c r="AK186" s="54"/>
      <c r="AL186" s="54"/>
      <c r="AM186" s="53"/>
      <c r="AN186" s="53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3"/>
      <c r="BE186" s="53"/>
      <c r="BF186" s="54"/>
      <c r="BG186" s="54"/>
      <c r="BH186" s="68"/>
    </row>
    <row r="187" spans="1:60" hidden="1" x14ac:dyDescent="0.3">
      <c r="B187" s="4" t="s">
        <v>369</v>
      </c>
      <c r="C187" s="5" t="s">
        <v>370</v>
      </c>
      <c r="D187" s="63">
        <v>0.13248399999999999</v>
      </c>
      <c r="E187" s="63">
        <f>Tabelle2[[#This Row],[BIP (mrd.)]]*1000000000/Tabelle2[[#This Row],[Bevölkerung]]</f>
        <v>3.6434879843880368</v>
      </c>
      <c r="F187" s="63">
        <v>0.505</v>
      </c>
      <c r="G187" s="53">
        <v>448920</v>
      </c>
      <c r="H187" s="63">
        <v>36361860</v>
      </c>
      <c r="I187" s="88"/>
      <c r="J187" s="88">
        <f>Tabelle2[[#This Row],[Strom (mrd.)]]*1000000000/Tabelle2[[#This Row],[Bevölkerung]]</f>
        <v>0</v>
      </c>
      <c r="K187" s="67"/>
      <c r="L187" s="53"/>
      <c r="M187" s="53">
        <f>Tabelle2[[#This Row],[Wohnimmobilien Anzahl]]/Tabelle2[[#This Row],[Bevölkerung]]</f>
        <v>0</v>
      </c>
      <c r="N187" s="53">
        <f t="shared" si="5"/>
        <v>0</v>
      </c>
      <c r="O187" s="53"/>
      <c r="P187" s="53"/>
      <c r="Q187" s="54"/>
      <c r="R187" s="54"/>
      <c r="S187" s="54"/>
      <c r="T187" s="54"/>
      <c r="U187" s="54"/>
      <c r="V187" s="54"/>
      <c r="W187" s="54"/>
      <c r="X187" s="54"/>
      <c r="Y187" s="54"/>
      <c r="Z187" s="54">
        <v>0</v>
      </c>
      <c r="AA187" s="54"/>
      <c r="AB187" s="54"/>
      <c r="AC187" s="53"/>
      <c r="AD187" s="53"/>
      <c r="AE187" s="53"/>
      <c r="AF187" s="53"/>
      <c r="AG187" s="54"/>
      <c r="AH187" s="54"/>
      <c r="AI187" s="54"/>
      <c r="AJ187" s="54"/>
      <c r="AK187" s="54"/>
      <c r="AL187" s="54"/>
      <c r="AM187" s="53"/>
      <c r="AN187" s="53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3"/>
      <c r="BE187" s="53"/>
      <c r="BF187" s="54"/>
      <c r="BG187" s="54"/>
      <c r="BH187" s="68"/>
    </row>
    <row r="188" spans="1:60" hidden="1" x14ac:dyDescent="0.3">
      <c r="B188" s="2" t="s">
        <v>371</v>
      </c>
      <c r="C188" s="3" t="s">
        <v>372</v>
      </c>
      <c r="D188" s="63">
        <v>1.2669999999999999E-3</v>
      </c>
      <c r="E188" s="63">
        <f>Tabelle2[[#This Row],[BIP (mrd.)]]*1000000000/Tabelle2[[#This Row],[Bevölkerung]]</f>
        <v>3.8653975227286597</v>
      </c>
      <c r="F188" s="63">
        <v>0.253</v>
      </c>
      <c r="G188" s="53">
        <v>12190</v>
      </c>
      <c r="H188" s="63">
        <v>327780</v>
      </c>
      <c r="I188" s="88"/>
      <c r="J188" s="88">
        <f>Tabelle2[[#This Row],[Strom (mrd.)]]*1000000000/Tabelle2[[#This Row],[Bevölkerung]]</f>
        <v>0</v>
      </c>
      <c r="K188" s="67"/>
      <c r="L188" s="53"/>
      <c r="M188" s="53">
        <f>Tabelle2[[#This Row],[Wohnimmobilien Anzahl]]/Tabelle2[[#This Row],[Bevölkerung]]</f>
        <v>0</v>
      </c>
      <c r="N188" s="53">
        <f t="shared" si="5"/>
        <v>0</v>
      </c>
      <c r="O188" s="53"/>
      <c r="P188" s="53"/>
      <c r="Q188" s="54"/>
      <c r="R188" s="54"/>
      <c r="S188" s="54"/>
      <c r="T188" s="54"/>
      <c r="U188" s="54"/>
      <c r="V188" s="54"/>
      <c r="W188" s="54"/>
      <c r="X188" s="54"/>
      <c r="Y188" s="54"/>
      <c r="Z188" s="54">
        <v>0</v>
      </c>
      <c r="AA188" s="54"/>
      <c r="AB188" s="54"/>
      <c r="AC188" s="53"/>
      <c r="AD188" s="53"/>
      <c r="AE188" s="53"/>
      <c r="AF188" s="53"/>
      <c r="AG188" s="54"/>
      <c r="AH188" s="54"/>
      <c r="AI188" s="54"/>
      <c r="AJ188" s="54"/>
      <c r="AK188" s="54"/>
      <c r="AL188" s="54"/>
      <c r="AM188" s="53"/>
      <c r="AN188" s="53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3"/>
      <c r="BE188" s="53"/>
      <c r="BF188" s="54"/>
      <c r="BG188" s="54"/>
      <c r="BH188" s="68"/>
    </row>
    <row r="189" spans="1:60" hidden="1" x14ac:dyDescent="0.3">
      <c r="B189" s="2" t="s">
        <v>373</v>
      </c>
      <c r="C189" s="3" t="s">
        <v>374</v>
      </c>
      <c r="D189" s="63" t="s">
        <v>592</v>
      </c>
      <c r="E189" s="63" t="s">
        <v>592</v>
      </c>
      <c r="F189" s="63"/>
      <c r="G189" s="64" t="s">
        <v>592</v>
      </c>
      <c r="H189" s="63" t="s">
        <v>592</v>
      </c>
      <c r="I189" s="88"/>
      <c r="J189" s="88" t="s">
        <v>592</v>
      </c>
      <c r="K189" s="67"/>
      <c r="L189" s="53"/>
      <c r="M189" s="53" t="s">
        <v>592</v>
      </c>
      <c r="N189" s="53" t="s">
        <v>592</v>
      </c>
      <c r="O189" s="53"/>
      <c r="P189" s="53"/>
      <c r="Q189" s="54"/>
      <c r="R189" s="54"/>
      <c r="S189" s="54"/>
      <c r="T189" s="54"/>
      <c r="U189" s="54"/>
      <c r="V189" s="54"/>
      <c r="W189" s="54"/>
      <c r="X189" s="54"/>
      <c r="Y189" s="54"/>
      <c r="Z189" s="54">
        <v>0</v>
      </c>
      <c r="AA189" s="54"/>
      <c r="AB189" s="54"/>
      <c r="AC189" s="53"/>
      <c r="AD189" s="53"/>
      <c r="AE189" s="53"/>
      <c r="AF189" s="53"/>
      <c r="AG189" s="54"/>
      <c r="AH189" s="54"/>
      <c r="AI189" s="54"/>
      <c r="AJ189" s="54"/>
      <c r="AK189" s="54"/>
      <c r="AL189" s="54"/>
      <c r="AM189" s="53"/>
      <c r="AN189" s="53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3"/>
      <c r="BE189" s="53"/>
      <c r="BF189" s="54"/>
      <c r="BG189" s="54"/>
      <c r="BH189" s="68"/>
    </row>
    <row r="190" spans="1:60" hidden="1" x14ac:dyDescent="0.3">
      <c r="B190" s="2" t="s">
        <v>375</v>
      </c>
      <c r="C190" s="3" t="s">
        <v>376</v>
      </c>
      <c r="D190" s="63">
        <v>0.108511</v>
      </c>
      <c r="E190" s="63">
        <f>Tabelle2[[#This Row],[BIP (mrd.)]]*1000000000/Tabelle2[[#This Row],[Bevölkerung]]</f>
        <v>3.8200646775241731</v>
      </c>
      <c r="F190" s="63">
        <v>0.88200000000000001</v>
      </c>
      <c r="G190" s="53">
        <v>912050</v>
      </c>
      <c r="H190" s="63">
        <v>28405540</v>
      </c>
      <c r="I190" s="88"/>
      <c r="J190" s="88">
        <f>Tabelle2[[#This Row],[Strom (mrd.)]]*1000000000/Tabelle2[[#This Row],[Bevölkerung]]</f>
        <v>0</v>
      </c>
      <c r="K190" s="67"/>
      <c r="L190" s="53"/>
      <c r="M190" s="53">
        <f>Tabelle2[[#This Row],[Wohnimmobilien Anzahl]]/Tabelle2[[#This Row],[Bevölkerung]]</f>
        <v>0</v>
      </c>
      <c r="N190" s="53">
        <f t="shared" si="5"/>
        <v>0</v>
      </c>
      <c r="O190" s="53"/>
      <c r="P190" s="53"/>
      <c r="Q190" s="54"/>
      <c r="R190" s="54"/>
      <c r="S190" s="54"/>
      <c r="T190" s="54"/>
      <c r="U190" s="54"/>
      <c r="V190" s="54"/>
      <c r="W190" s="54"/>
      <c r="X190" s="54"/>
      <c r="Y190" s="54"/>
      <c r="Z190" s="54">
        <v>0</v>
      </c>
      <c r="AA190" s="54"/>
      <c r="AB190" s="54"/>
      <c r="AC190" s="53"/>
      <c r="AD190" s="53"/>
      <c r="AE190" s="53"/>
      <c r="AF190" s="53"/>
      <c r="AG190" s="54"/>
      <c r="AH190" s="54"/>
      <c r="AI190" s="54"/>
      <c r="AJ190" s="54"/>
      <c r="AK190" s="54"/>
      <c r="AL190" s="54"/>
      <c r="AM190" s="53"/>
      <c r="AN190" s="53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3"/>
      <c r="BE190" s="53"/>
      <c r="BF190" s="54"/>
      <c r="BG190" s="54"/>
      <c r="BH190" s="68"/>
    </row>
    <row r="191" spans="1:60" hidden="1" x14ac:dyDescent="0.3">
      <c r="B191" s="17" t="s">
        <v>377</v>
      </c>
      <c r="C191" s="18" t="s">
        <v>378</v>
      </c>
      <c r="D191" s="63">
        <v>0.54859799999999992</v>
      </c>
      <c r="E191" s="63">
        <f>Tabelle2[[#This Row],[BIP (mrd.)]]*1000000000/Tabelle2[[#This Row],[Bevölkerung]]</f>
        <v>50.436610162011874</v>
      </c>
      <c r="F191" s="63">
        <v>0.86499999999999999</v>
      </c>
      <c r="G191" s="53">
        <v>98648</v>
      </c>
      <c r="H191" s="63">
        <v>10876980</v>
      </c>
      <c r="I191" s="88"/>
      <c r="J191" s="88">
        <f>Tabelle2[[#This Row],[Strom (mrd.)]]*1000000000/Tabelle2[[#This Row],[Bevölkerung]]</f>
        <v>0</v>
      </c>
      <c r="K191" s="67"/>
      <c r="L191" s="53"/>
      <c r="M191" s="53">
        <f>Tabelle2[[#This Row],[Wohnimmobilien Anzahl]]/Tabelle2[[#This Row],[Bevölkerung]]</f>
        <v>0</v>
      </c>
      <c r="N191" s="53">
        <f t="shared" si="5"/>
        <v>0</v>
      </c>
      <c r="O191" s="53"/>
      <c r="P191" s="53"/>
      <c r="Q191" s="54"/>
      <c r="R191" s="54"/>
      <c r="S191" s="54"/>
      <c r="T191" s="54"/>
      <c r="U191" s="54"/>
      <c r="V191" s="54"/>
      <c r="W191" s="54"/>
      <c r="X191" s="54"/>
      <c r="Y191" s="54"/>
      <c r="Z191" s="54">
        <v>0</v>
      </c>
      <c r="AA191" s="54"/>
      <c r="AB191" s="54"/>
      <c r="AC191" s="53"/>
      <c r="AD191" s="53"/>
      <c r="AE191" s="53"/>
      <c r="AF191" s="53"/>
      <c r="AG191" s="54"/>
      <c r="AH191" s="54"/>
      <c r="AI191" s="54"/>
      <c r="AJ191" s="54"/>
      <c r="AK191" s="54"/>
      <c r="AL191" s="54"/>
      <c r="AM191" s="53"/>
      <c r="AN191" s="53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3"/>
      <c r="BE191" s="53"/>
      <c r="BF191" s="54"/>
      <c r="BG191" s="54"/>
      <c r="BH191" s="68"/>
    </row>
    <row r="192" spans="1:60" hidden="1" x14ac:dyDescent="0.3">
      <c r="B192" s="9" t="s">
        <v>379</v>
      </c>
      <c r="C192" s="10" t="s">
        <v>380</v>
      </c>
      <c r="D192" s="63">
        <v>30507.217000000001</v>
      </c>
      <c r="E192" s="63">
        <f>Tabelle2[[#This Row],[BIP (mrd.)]]*1000000000/Tabelle2[[#This Row],[Bevölkerung]]</f>
        <v>89697.82775910887</v>
      </c>
      <c r="F192" s="63">
        <v>0.82299999999999995</v>
      </c>
      <c r="G192" s="53">
        <v>9831510</v>
      </c>
      <c r="H192" s="63">
        <v>340110990</v>
      </c>
      <c r="I192" s="88">
        <v>4085</v>
      </c>
      <c r="J192" s="88">
        <f>Tabelle2[[#This Row],[Strom (mrd.)]]*1000000000/Tabelle2[[#This Row],[Bevölkerung]]</f>
        <v>12010.785067545155</v>
      </c>
      <c r="K192" s="67">
        <v>2.4900000000000002</v>
      </c>
      <c r="L192" s="53"/>
      <c r="M192" s="53">
        <f>Tabelle2[[#This Row],[Wohnimmobilien Anzahl]]/Tabelle2[[#This Row],[Bevölkerung]]</f>
        <v>0</v>
      </c>
      <c r="N192" s="53">
        <f t="shared" si="5"/>
        <v>0</v>
      </c>
      <c r="O192" s="53"/>
      <c r="P192" s="53"/>
      <c r="Q192" s="54"/>
      <c r="R192" s="54"/>
      <c r="S192" s="54"/>
      <c r="T192" s="54"/>
      <c r="U192" s="54"/>
      <c r="V192" s="54"/>
      <c r="W192" s="54"/>
      <c r="X192" s="54"/>
      <c r="Y192" s="54">
        <v>1</v>
      </c>
      <c r="Z192" s="54" t="s">
        <v>989</v>
      </c>
      <c r="AA192" s="54">
        <v>147947000</v>
      </c>
      <c r="AB192" s="54"/>
      <c r="AC192" s="53"/>
      <c r="AD192" s="53"/>
      <c r="AE192" s="53">
        <v>5900000</v>
      </c>
      <c r="AF192" s="53">
        <v>8955853056</v>
      </c>
      <c r="AG192" s="54">
        <v>944000</v>
      </c>
      <c r="AH192" s="54">
        <v>16388000</v>
      </c>
      <c r="AI192" s="54"/>
      <c r="AJ192" s="54"/>
      <c r="AK192" s="54"/>
      <c r="AL192" s="54"/>
      <c r="AM192" s="53"/>
      <c r="AN192" s="53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3"/>
      <c r="BE192" s="53"/>
      <c r="BF192" s="54"/>
      <c r="BG192" s="54"/>
      <c r="BH192" s="68"/>
    </row>
    <row r="193" spans="1:60" hidden="1" x14ac:dyDescent="0.3">
      <c r="B193" s="9" t="s">
        <v>381</v>
      </c>
      <c r="C193" s="10" t="s">
        <v>382</v>
      </c>
      <c r="D193" s="63">
        <v>3839.18</v>
      </c>
      <c r="E193" s="63">
        <f>Tabelle2[[#This Row],[BIP (mrd.)]]*1000000000/Tabelle2[[#This Row],[Bevölkerung]]</f>
        <v>55458.642706497558</v>
      </c>
      <c r="F193" s="63">
        <v>0.83399999999999996</v>
      </c>
      <c r="G193" s="53">
        <v>243610</v>
      </c>
      <c r="H193" s="63">
        <v>69226000</v>
      </c>
      <c r="I193" s="88">
        <v>262.166</v>
      </c>
      <c r="J193" s="88">
        <f>Tabelle2[[#This Row],[Strom (mrd.)]]*1000000000/Tabelle2[[#This Row],[Bevölkerung]]</f>
        <v>3787.1031115476844</v>
      </c>
      <c r="K193" s="67">
        <v>2.4</v>
      </c>
      <c r="L193" s="53"/>
      <c r="M193" s="53">
        <f>Tabelle2[[#This Row],[Wohnimmobilien Anzahl]]/Tabelle2[[#This Row],[Bevölkerung]]</f>
        <v>0</v>
      </c>
      <c r="N193" s="53">
        <f t="shared" si="5"/>
        <v>0</v>
      </c>
      <c r="O193" s="53"/>
      <c r="P193" s="53"/>
      <c r="Q193" s="54"/>
      <c r="R193" s="54"/>
      <c r="S193" s="54"/>
      <c r="T193" s="54"/>
      <c r="U193" s="54"/>
      <c r="V193" s="54"/>
      <c r="W193" s="54"/>
      <c r="X193" s="54"/>
      <c r="Y193" s="54">
        <v>1</v>
      </c>
      <c r="Z193" s="54" t="s">
        <v>989</v>
      </c>
      <c r="AA193" s="54">
        <v>29319000</v>
      </c>
      <c r="AB193" s="54"/>
      <c r="AC193" s="53"/>
      <c r="AD193" s="53"/>
      <c r="AE193" s="53"/>
      <c r="AF193" s="53"/>
      <c r="AG193" s="54"/>
      <c r="AH193" s="54"/>
      <c r="AI193" s="54"/>
      <c r="AJ193" s="54"/>
      <c r="AK193" s="54"/>
      <c r="AL193" s="54"/>
      <c r="AM193" s="53"/>
      <c r="AN193" s="53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3"/>
      <c r="BE193" s="53"/>
      <c r="BF193" s="54"/>
      <c r="BG193" s="54"/>
      <c r="BH193" s="68"/>
    </row>
    <row r="194" spans="1:60" hidden="1" x14ac:dyDescent="0.3">
      <c r="B194" s="21" t="s">
        <v>383</v>
      </c>
      <c r="C194" s="18" t="s">
        <v>384</v>
      </c>
      <c r="D194" s="63">
        <v>0.49097000000000002</v>
      </c>
      <c r="E194" s="63">
        <f>Tabelle2[[#This Row],[BIP (mrd.)]]*1000000000/Tabelle2[[#This Row],[Bevölkerung]]</f>
        <v>4.8616816564474341</v>
      </c>
      <c r="F194" s="63">
        <v>0.35899999999999999</v>
      </c>
      <c r="G194" s="53">
        <v>331338</v>
      </c>
      <c r="H194" s="63">
        <v>100987690</v>
      </c>
      <c r="I194" s="88"/>
      <c r="J194" s="88">
        <f>Tabelle2[[#This Row],[Strom (mrd.)]]*1000000000/Tabelle2[[#This Row],[Bevölkerung]]</f>
        <v>0</v>
      </c>
      <c r="K194" s="67"/>
      <c r="L194" s="53"/>
      <c r="M194" s="53">
        <f>Tabelle2[[#This Row],[Wohnimmobilien Anzahl]]/Tabelle2[[#This Row],[Bevölkerung]]</f>
        <v>0</v>
      </c>
      <c r="N194" s="53">
        <f t="shared" ref="N194:N198" si="6">M194-L194</f>
        <v>0</v>
      </c>
      <c r="O194" s="53"/>
      <c r="P194" s="53"/>
      <c r="Q194" s="54"/>
      <c r="R194" s="54"/>
      <c r="S194" s="54"/>
      <c r="T194" s="54"/>
      <c r="U194" s="54"/>
      <c r="V194" s="54"/>
      <c r="W194" s="54"/>
      <c r="X194" s="54"/>
      <c r="Y194" s="54"/>
      <c r="Z194" s="54">
        <v>0</v>
      </c>
      <c r="AA194" s="54"/>
      <c r="AB194" s="54"/>
      <c r="AC194" s="53"/>
      <c r="AD194" s="53"/>
      <c r="AE194" s="53"/>
      <c r="AF194" s="53"/>
      <c r="AG194" s="54"/>
      <c r="AH194" s="54"/>
      <c r="AI194" s="54"/>
      <c r="AJ194" s="54"/>
      <c r="AK194" s="54"/>
      <c r="AL194" s="54"/>
      <c r="AM194" s="53"/>
      <c r="AN194" s="53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3"/>
      <c r="BE194" s="53"/>
      <c r="BF194" s="54"/>
      <c r="BG194" s="54"/>
      <c r="BH194" s="68"/>
    </row>
    <row r="195" spans="1:60" hidden="1" x14ac:dyDescent="0.3">
      <c r="B195" s="2" t="s">
        <v>385</v>
      </c>
      <c r="C195" s="3" t="s">
        <v>386</v>
      </c>
      <c r="D195" s="63">
        <v>7.1561000000000013E-2</v>
      </c>
      <c r="E195" s="63">
        <f>Tabelle2[[#This Row],[BIP (mrd.)]]*1000000000/Tabelle2[[#This Row],[Bevölkerung]]</f>
        <v>7.8348228704436655</v>
      </c>
      <c r="F195" s="63">
        <v>0.78600000000000003</v>
      </c>
      <c r="G195" s="53">
        <v>207629</v>
      </c>
      <c r="H195" s="63">
        <v>9133710</v>
      </c>
      <c r="I195" s="88"/>
      <c r="J195" s="88">
        <f>Tabelle2[[#This Row],[Strom (mrd.)]]*1000000000/Tabelle2[[#This Row],[Bevölkerung]]</f>
        <v>0</v>
      </c>
      <c r="K195" s="67"/>
      <c r="L195" s="53"/>
      <c r="M195" s="53">
        <f>Tabelle2[[#This Row],[Wohnimmobilien Anzahl]]/Tabelle2[[#This Row],[Bevölkerung]]</f>
        <v>0</v>
      </c>
      <c r="N195" s="53">
        <f t="shared" si="6"/>
        <v>0</v>
      </c>
      <c r="O195" s="53"/>
      <c r="P195" s="53"/>
      <c r="Q195" s="54"/>
      <c r="R195" s="54"/>
      <c r="S195" s="54"/>
      <c r="T195" s="54"/>
      <c r="U195" s="54"/>
      <c r="V195" s="54"/>
      <c r="W195" s="54"/>
      <c r="X195" s="54"/>
      <c r="Y195" s="54"/>
      <c r="Z195" s="54">
        <v>0</v>
      </c>
      <c r="AA195" s="54"/>
      <c r="AB195" s="54"/>
      <c r="AC195" s="53"/>
      <c r="AD195" s="53"/>
      <c r="AE195" s="53"/>
      <c r="AF195" s="53"/>
      <c r="AG195" s="54"/>
      <c r="AH195" s="54"/>
      <c r="AI195" s="54"/>
      <c r="AJ195" s="54"/>
      <c r="AK195" s="54"/>
      <c r="AL195" s="54"/>
      <c r="AM195" s="53"/>
      <c r="AN195" s="53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3"/>
      <c r="BE195" s="53"/>
      <c r="BF195" s="54"/>
      <c r="BG195" s="54"/>
      <c r="BH195" s="68"/>
    </row>
    <row r="196" spans="1:60" hidden="1" x14ac:dyDescent="0.3">
      <c r="B196" s="2"/>
      <c r="C196" s="48" t="s">
        <v>441</v>
      </c>
      <c r="D196" s="63"/>
      <c r="E196" s="63">
        <f>Tabelle2[[#This Row],[BIP (mrd.)]]*1000000000/Tabelle2[[#This Row],[Bevölkerung]]</f>
        <v>0</v>
      </c>
      <c r="F196" s="63">
        <v>0.55300000000000005</v>
      </c>
      <c r="G196" s="53">
        <v>140419457</v>
      </c>
      <c r="H196" s="65">
        <v>8142056.4500000002</v>
      </c>
      <c r="I196" s="88"/>
      <c r="J196" s="88">
        <f>Tabelle2[[#This Row],[Strom (mrd.)]]*1000000000/Tabelle2[[#This Row],[Bevölkerung]]</f>
        <v>0</v>
      </c>
      <c r="L196" s="53"/>
      <c r="M196" s="53">
        <f>Tabelle2[[#This Row],[Wohnimmobilien Anzahl]]/Tabelle2[[#This Row],[Bevölkerung]]</f>
        <v>0</v>
      </c>
      <c r="N196" s="53">
        <f t="shared" si="6"/>
        <v>0</v>
      </c>
      <c r="O196" s="53"/>
      <c r="P196" s="53"/>
      <c r="Q196" s="54"/>
      <c r="R196" s="54"/>
      <c r="S196" s="54"/>
      <c r="T196" s="54"/>
      <c r="U196" s="54"/>
      <c r="V196" s="54"/>
      <c r="W196" s="54"/>
      <c r="X196" s="54"/>
      <c r="Y196" s="54"/>
      <c r="Z196" s="54">
        <v>0</v>
      </c>
      <c r="AA196" s="54"/>
      <c r="AB196" s="54"/>
      <c r="AC196" s="53"/>
      <c r="AD196" s="53"/>
      <c r="AE196" s="53"/>
      <c r="AF196" s="53"/>
      <c r="AG196" s="54"/>
      <c r="AH196" s="54"/>
      <c r="AI196" s="54"/>
      <c r="AJ196" s="54"/>
      <c r="AK196" s="54"/>
      <c r="AL196" s="54"/>
      <c r="AM196" s="53"/>
      <c r="AN196" s="53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3"/>
      <c r="BE196" s="53"/>
      <c r="BF196" s="54"/>
      <c r="BG196" s="54"/>
      <c r="BH196" s="68"/>
    </row>
    <row r="197" spans="1:60" hidden="1" x14ac:dyDescent="0.3">
      <c r="B197" s="6" t="s">
        <v>387</v>
      </c>
      <c r="C197" s="3" t="s">
        <v>388</v>
      </c>
      <c r="D197" s="63">
        <v>2.9319999999999997E-3</v>
      </c>
      <c r="E197" s="63">
        <f>Tabelle2[[#This Row],[BIP (mrd.)]]*1000000000/Tabelle2[[#This Row],[Bevölkerung]]</f>
        <v>0.56161158774031772</v>
      </c>
      <c r="F197" s="63">
        <v>0.41399999999999998</v>
      </c>
      <c r="G197" s="53">
        <v>622980</v>
      </c>
      <c r="H197" s="63">
        <v>5220690</v>
      </c>
      <c r="I197" s="88"/>
      <c r="J197" s="88">
        <f>Tabelle2[[#This Row],[Strom (mrd.)]]*1000000000/Tabelle2[[#This Row],[Bevölkerung]]</f>
        <v>0</v>
      </c>
      <c r="K197" s="67"/>
      <c r="L197" s="53"/>
      <c r="M197" s="53">
        <f>Tabelle2[[#This Row],[Wohnimmobilien Anzahl]]/Tabelle2[[#This Row],[Bevölkerung]]</f>
        <v>0</v>
      </c>
      <c r="N197" s="53">
        <f t="shared" si="6"/>
        <v>0</v>
      </c>
      <c r="O197" s="53"/>
      <c r="P197" s="53"/>
      <c r="Q197" s="54"/>
      <c r="R197" s="54"/>
      <c r="S197" s="54"/>
      <c r="T197" s="54"/>
      <c r="U197" s="54"/>
      <c r="V197" s="54"/>
      <c r="W197" s="54"/>
      <c r="X197" s="54"/>
      <c r="Y197" s="54"/>
      <c r="Z197" s="54">
        <v>0</v>
      </c>
      <c r="AA197" s="54"/>
      <c r="AB197" s="54"/>
      <c r="AC197" s="53"/>
      <c r="AD197" s="53"/>
      <c r="AE197" s="53"/>
      <c r="AF197" s="53"/>
      <c r="AG197" s="54"/>
      <c r="AH197" s="54"/>
      <c r="AI197" s="54"/>
      <c r="AJ197" s="54"/>
      <c r="AK197" s="54"/>
      <c r="AL197" s="54"/>
      <c r="AM197" s="53"/>
      <c r="AN197" s="53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3"/>
      <c r="BE197" s="53"/>
      <c r="BF197" s="54"/>
      <c r="BG197" s="54"/>
      <c r="BH197" s="68"/>
    </row>
    <row r="198" spans="1:60" x14ac:dyDescent="0.3">
      <c r="A198" t="s">
        <v>588</v>
      </c>
      <c r="B198" s="6" t="s">
        <v>389</v>
      </c>
      <c r="C198" s="5" t="s">
        <v>390</v>
      </c>
      <c r="D198" s="63">
        <v>38.736000000000004</v>
      </c>
      <c r="E198" s="63">
        <f>Tabelle2[[#This Row],[BIP (mrd.)]]*1000000000/Tabelle2[[#This Row],[Bevölkerung]]</f>
        <v>28518.420355155056</v>
      </c>
      <c r="F198" s="63">
        <v>0.66800000000000004</v>
      </c>
      <c r="G198" s="53">
        <v>9250</v>
      </c>
      <c r="H198" s="63">
        <v>1358280</v>
      </c>
      <c r="I198" s="88">
        <v>5.1970000000000001</v>
      </c>
      <c r="J198" s="88">
        <f>Tabelle2[[#This Row],[Strom (mrd.)]]*1000000000/Tabelle2[[#This Row],[Bevölkerung]]</f>
        <v>3826.1624996318874</v>
      </c>
      <c r="K198" s="67">
        <v>2.5</v>
      </c>
      <c r="L198" s="53">
        <v>316780</v>
      </c>
      <c r="M198" s="63">
        <f>Tabelle2[[#This Row],[Wohnimmobilien Anzahl]]/Tabelle2[[#This Row],[Bevölkerung]]</f>
        <v>0.23322142709897811</v>
      </c>
      <c r="N198" s="53">
        <f t="shared" si="6"/>
        <v>-316779.76677857293</v>
      </c>
      <c r="O198" s="53"/>
      <c r="P198" s="53"/>
      <c r="Q198" s="54"/>
      <c r="R198" s="54"/>
      <c r="S198" s="54"/>
      <c r="T198" s="54"/>
      <c r="U198" s="54"/>
      <c r="V198" s="54"/>
      <c r="W198" s="54"/>
      <c r="X198" s="54"/>
      <c r="Y198" s="54">
        <v>0</v>
      </c>
      <c r="Z198" s="54" t="s">
        <v>989</v>
      </c>
      <c r="AA198" s="54">
        <v>492555</v>
      </c>
      <c r="AB198" s="54"/>
      <c r="AC198" s="53"/>
      <c r="AD198" s="53"/>
      <c r="AE198" s="53"/>
      <c r="AF198" s="53"/>
      <c r="AG198" s="54"/>
      <c r="AH198" s="54"/>
      <c r="AI198" s="54"/>
      <c r="AJ198" s="54"/>
      <c r="AK198" s="54"/>
      <c r="AL198" s="54"/>
      <c r="AM198" s="53"/>
      <c r="AN198" s="53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3"/>
      <c r="BE198" s="53"/>
      <c r="BF198" s="54"/>
      <c r="BG198" s="54"/>
      <c r="BH198" s="68"/>
    </row>
    <row r="199" spans="1:60" x14ac:dyDescent="0.3">
      <c r="B199" t="s">
        <v>401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BA200"/>
  <sheetViews>
    <sheetView topLeftCell="B1" zoomScale="85" zoomScaleNormal="85" workbookViewId="0">
      <pane ySplit="2" topLeftCell="A3" activePane="bottomLeft" state="frozen"/>
      <selection activeCell="E1" sqref="E1"/>
      <selection pane="bottomLeft" activeCell="G9" sqref="G9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7" width="17.59765625" style="40" customWidth="1"/>
    <col min="8" max="8" width="25.59765625" customWidth="1"/>
    <col min="9" max="10" width="19.5" customWidth="1"/>
    <col min="11" max="11" width="22.5" customWidth="1"/>
    <col min="12" max="12" width="19.296875" customWidth="1"/>
    <col min="13" max="13" width="21.296875" customWidth="1"/>
    <col min="14" max="14" width="18.59765625" customWidth="1"/>
    <col min="15" max="15" width="17" customWidth="1"/>
    <col min="16" max="16" width="13.8984375" customWidth="1"/>
    <col min="17" max="17" width="23.3984375" customWidth="1"/>
    <col min="18" max="20" width="19.69921875" customWidth="1"/>
    <col min="21" max="21" width="25.09765625" customWidth="1"/>
    <col min="22" max="22" width="21.69921875" customWidth="1"/>
    <col min="23" max="23" width="25.59765625" customWidth="1"/>
    <col min="24" max="24" width="22.09765625" customWidth="1"/>
    <col min="25" max="25" width="20.8984375" customWidth="1"/>
    <col min="26" max="26" width="17.8984375" customWidth="1"/>
    <col min="27" max="27" width="23.8984375" customWidth="1"/>
    <col min="28" max="28" width="19.09765625" customWidth="1"/>
    <col min="29" max="29" width="24.19921875" customWidth="1"/>
    <col min="30" max="30" width="18.8984375" customWidth="1"/>
    <col min="31" max="31" width="21.8984375" customWidth="1"/>
    <col min="32" max="32" width="20.59765625" customWidth="1"/>
    <col min="33" max="33" width="34" customWidth="1"/>
    <col min="34" max="35" width="28.19921875" customWidth="1"/>
    <col min="36" max="36" width="24.3984375" customWidth="1"/>
    <col min="37" max="37" width="19.19921875" customWidth="1"/>
    <col min="38" max="38" width="16.796875" customWidth="1"/>
    <col min="40" max="40" width="29.8984375" customWidth="1"/>
    <col min="41" max="41" width="27.19921875" customWidth="1"/>
    <col min="42" max="42" width="20.3984375" customWidth="1"/>
    <col min="43" max="43" width="19.5" customWidth="1"/>
    <col min="44" max="44" width="27.09765625" customWidth="1"/>
    <col min="45" max="45" width="25.296875" customWidth="1"/>
    <col min="46" max="46" width="14.5" customWidth="1"/>
    <col min="48" max="48" width="26.296875" customWidth="1"/>
    <col min="49" max="49" width="22.8984375" customWidth="1"/>
    <col min="51" max="51" width="16.5" customWidth="1"/>
  </cols>
  <sheetData>
    <row r="1" spans="1:53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41"/>
      <c r="K1" s="89" t="s">
        <v>408</v>
      </c>
      <c r="L1" s="90"/>
      <c r="M1" s="90"/>
      <c r="N1" s="90"/>
      <c r="O1" s="90"/>
      <c r="P1" s="90"/>
      <c r="Q1" s="90"/>
      <c r="R1" s="91"/>
      <c r="S1" s="37"/>
      <c r="T1" s="37"/>
      <c r="U1" s="42" t="s">
        <v>442</v>
      </c>
      <c r="V1" s="42" t="s">
        <v>443</v>
      </c>
      <c r="W1" s="42"/>
      <c r="X1" s="41"/>
      <c r="Y1" s="89" t="s">
        <v>409</v>
      </c>
      <c r="Z1" s="90"/>
      <c r="AA1" s="90"/>
      <c r="AB1" s="90"/>
      <c r="AC1" s="90"/>
      <c r="AD1" s="91"/>
      <c r="AE1" s="38"/>
      <c r="AF1" s="38"/>
      <c r="AG1" s="89" t="s">
        <v>410</v>
      </c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1"/>
      <c r="AV1" s="42" t="s">
        <v>463</v>
      </c>
      <c r="AW1" s="42" t="s">
        <v>403</v>
      </c>
      <c r="AX1" s="35" t="s">
        <v>391</v>
      </c>
      <c r="AY1" s="35" t="s">
        <v>440</v>
      </c>
      <c r="AZ1" s="35" t="s">
        <v>392</v>
      </c>
      <c r="BA1" s="32" t="s">
        <v>401</v>
      </c>
    </row>
    <row r="2" spans="1:53" x14ac:dyDescent="0.3">
      <c r="A2" s="44"/>
      <c r="B2" s="44"/>
      <c r="C2" s="45" t="s">
        <v>590</v>
      </c>
      <c r="D2" s="45" t="s">
        <v>584</v>
      </c>
      <c r="E2" s="45" t="s">
        <v>585</v>
      </c>
      <c r="F2" s="45" t="s">
        <v>586</v>
      </c>
      <c r="G2" s="45" t="s">
        <v>994</v>
      </c>
      <c r="H2" s="45" t="s">
        <v>444</v>
      </c>
      <c r="I2" s="45" t="s">
        <v>445</v>
      </c>
      <c r="J2" s="47" t="s">
        <v>470</v>
      </c>
      <c r="K2" s="46" t="s">
        <v>412</v>
      </c>
      <c r="L2" s="46" t="s">
        <v>413</v>
      </c>
      <c r="M2" s="46" t="s">
        <v>414</v>
      </c>
      <c r="N2" s="46" t="s">
        <v>415</v>
      </c>
      <c r="O2" s="46" t="s">
        <v>416</v>
      </c>
      <c r="P2" s="46" t="s">
        <v>417</v>
      </c>
      <c r="Q2" s="46" t="s">
        <v>418</v>
      </c>
      <c r="R2" s="46" t="s">
        <v>419</v>
      </c>
      <c r="S2" s="46" t="s">
        <v>458</v>
      </c>
      <c r="T2" s="46" t="s">
        <v>459</v>
      </c>
      <c r="U2" s="47"/>
      <c r="V2" s="47"/>
      <c r="W2" s="45" t="s">
        <v>405</v>
      </c>
      <c r="X2" s="45" t="s">
        <v>404</v>
      </c>
      <c r="Y2" s="46" t="s">
        <v>420</v>
      </c>
      <c r="Z2" s="46" t="s">
        <v>421</v>
      </c>
      <c r="AA2" s="46" t="s">
        <v>422</v>
      </c>
      <c r="AB2" s="46" t="s">
        <v>423</v>
      </c>
      <c r="AC2" s="46" t="s">
        <v>424</v>
      </c>
      <c r="AD2" s="46" t="s">
        <v>425</v>
      </c>
      <c r="AE2" s="45" t="s">
        <v>407</v>
      </c>
      <c r="AF2" s="45" t="s">
        <v>406</v>
      </c>
      <c r="AG2" s="46" t="s">
        <v>427</v>
      </c>
      <c r="AH2" s="46" t="s">
        <v>426</v>
      </c>
      <c r="AI2" s="46" t="s">
        <v>555</v>
      </c>
      <c r="AJ2" s="46" t="s">
        <v>428</v>
      </c>
      <c r="AK2" s="46" t="s">
        <v>429</v>
      </c>
      <c r="AL2" s="46" t="s">
        <v>430</v>
      </c>
      <c r="AM2" s="46" t="s">
        <v>431</v>
      </c>
      <c r="AN2" s="46" t="s">
        <v>432</v>
      </c>
      <c r="AO2" s="46" t="s">
        <v>433</v>
      </c>
      <c r="AP2" s="46" t="s">
        <v>434</v>
      </c>
      <c r="AQ2" s="46" t="s">
        <v>435</v>
      </c>
      <c r="AR2" s="46" t="s">
        <v>436</v>
      </c>
      <c r="AS2" s="46" t="s">
        <v>437</v>
      </c>
      <c r="AT2" s="46" t="s">
        <v>438</v>
      </c>
      <c r="AU2" s="46" t="s">
        <v>439</v>
      </c>
      <c r="AV2" s="47"/>
      <c r="AW2" s="47"/>
      <c r="AX2" s="46"/>
      <c r="AY2" s="46"/>
      <c r="AZ2" s="46"/>
    </row>
    <row r="3" spans="1:53" x14ac:dyDescent="0.3">
      <c r="A3" s="2"/>
      <c r="B3" s="48" t="s">
        <v>441</v>
      </c>
      <c r="C3" s="53"/>
      <c r="D3" s="53" t="s">
        <v>786</v>
      </c>
      <c r="E3" s="53" t="s">
        <v>450</v>
      </c>
      <c r="F3" s="53" t="s">
        <v>788</v>
      </c>
      <c r="G3" s="53"/>
      <c r="H3" s="39" t="s">
        <v>450</v>
      </c>
      <c r="I3" s="39"/>
      <c r="J3" s="39"/>
      <c r="K3" s="1"/>
      <c r="L3" s="1"/>
      <c r="M3" s="1"/>
      <c r="N3" s="1"/>
      <c r="O3" s="1"/>
      <c r="P3" s="1"/>
      <c r="Q3" s="1"/>
      <c r="R3" s="1"/>
      <c r="S3" s="1"/>
      <c r="T3" s="1"/>
      <c r="U3" s="39"/>
      <c r="V3" s="39"/>
      <c r="W3" s="39"/>
      <c r="X3" s="39"/>
      <c r="Y3" s="1"/>
      <c r="Z3" s="1"/>
      <c r="AA3" s="1"/>
      <c r="AB3" s="1"/>
      <c r="AC3" s="1"/>
      <c r="AD3" s="1"/>
      <c r="AE3" s="39"/>
      <c r="AF3" s="3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39"/>
      <c r="AW3" s="39"/>
      <c r="AX3" s="1"/>
      <c r="AY3" s="1"/>
      <c r="AZ3" s="1"/>
    </row>
    <row r="4" spans="1:53" x14ac:dyDescent="0.3">
      <c r="A4" s="2"/>
      <c r="B4" s="48" t="s">
        <v>543</v>
      </c>
      <c r="C4" s="53" t="s">
        <v>784</v>
      </c>
      <c r="D4" s="53" t="s">
        <v>450</v>
      </c>
      <c r="E4" s="53"/>
      <c r="F4" s="53" t="s">
        <v>789</v>
      </c>
      <c r="G4" s="53"/>
      <c r="H4" s="57" t="s">
        <v>544</v>
      </c>
      <c r="I4" s="39" t="s">
        <v>450</v>
      </c>
      <c r="J4" s="39"/>
      <c r="K4" s="1"/>
      <c r="L4" s="1"/>
      <c r="M4" s="1"/>
      <c r="N4" s="1"/>
      <c r="O4" s="1"/>
      <c r="P4" s="1"/>
      <c r="Q4" s="1"/>
      <c r="R4" s="1"/>
      <c r="S4" s="1"/>
      <c r="T4" s="1"/>
      <c r="U4" s="39"/>
      <c r="V4" s="39"/>
      <c r="W4" s="39"/>
      <c r="X4" s="39"/>
      <c r="Y4" s="1"/>
      <c r="Z4" s="1"/>
      <c r="AA4" s="1"/>
      <c r="AB4" s="1"/>
      <c r="AC4" s="1"/>
      <c r="AD4" s="1"/>
      <c r="AE4" s="39"/>
      <c r="AF4" s="3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39"/>
      <c r="AW4" s="39"/>
      <c r="AX4" s="1"/>
      <c r="AY4" s="1"/>
      <c r="AZ4" s="1"/>
    </row>
    <row r="5" spans="1:53" x14ac:dyDescent="0.3">
      <c r="A5" s="2" t="s">
        <v>1</v>
      </c>
      <c r="B5" s="3" t="s">
        <v>2</v>
      </c>
      <c r="D5" s="53"/>
      <c r="E5" s="53"/>
      <c r="F5" s="53" t="s">
        <v>790</v>
      </c>
      <c r="G5" s="53" t="s">
        <v>998</v>
      </c>
      <c r="H5" s="39" t="s">
        <v>450</v>
      </c>
      <c r="I5" s="39"/>
      <c r="J5" s="39"/>
      <c r="K5" s="1"/>
      <c r="L5" s="1"/>
      <c r="M5" s="1"/>
      <c r="N5" s="1"/>
      <c r="O5" s="1"/>
      <c r="P5" s="1"/>
      <c r="Q5" s="1"/>
      <c r="R5" s="1"/>
      <c r="S5" s="1"/>
      <c r="T5" s="1"/>
      <c r="U5" s="39"/>
      <c r="V5" s="39"/>
      <c r="W5" s="39"/>
      <c r="X5" s="39"/>
      <c r="Y5" s="1"/>
      <c r="Z5" s="1"/>
      <c r="AA5" s="1"/>
      <c r="AB5" s="1"/>
      <c r="AC5" s="1"/>
      <c r="AD5" s="1"/>
      <c r="AE5" s="39"/>
      <c r="AF5" s="3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9"/>
      <c r="AW5" s="39"/>
      <c r="AX5" s="1"/>
      <c r="AY5" s="1"/>
      <c r="AZ5" s="1"/>
    </row>
    <row r="6" spans="1:53" x14ac:dyDescent="0.3">
      <c r="A6" s="24" t="s">
        <v>3</v>
      </c>
      <c r="B6" s="23" t="s">
        <v>4</v>
      </c>
      <c r="C6" s="53" t="s">
        <v>591</v>
      </c>
      <c r="D6" s="53" t="s">
        <v>450</v>
      </c>
      <c r="E6" s="53"/>
      <c r="F6" s="53" t="s">
        <v>791</v>
      </c>
      <c r="G6" s="53" t="s">
        <v>998</v>
      </c>
      <c r="H6" s="39" t="s">
        <v>450</v>
      </c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39"/>
      <c r="V6" s="39"/>
      <c r="W6" s="39"/>
      <c r="X6" s="39"/>
      <c r="Y6" s="1"/>
      <c r="Z6" s="1"/>
      <c r="AA6" s="1"/>
      <c r="AB6" s="1"/>
      <c r="AC6" s="1"/>
      <c r="AD6" s="1"/>
      <c r="AE6" s="39"/>
      <c r="AF6" s="3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39"/>
      <c r="AW6" s="39"/>
      <c r="AX6" s="1"/>
      <c r="AY6" s="1"/>
      <c r="AZ6" s="1"/>
    </row>
    <row r="7" spans="1:53" x14ac:dyDescent="0.3">
      <c r="A7" s="4" t="s">
        <v>5</v>
      </c>
      <c r="B7" s="5" t="s">
        <v>6</v>
      </c>
      <c r="C7" s="53" t="s">
        <v>593</v>
      </c>
      <c r="D7" s="53" t="s">
        <v>450</v>
      </c>
      <c r="E7" s="53"/>
      <c r="F7" s="53" t="s">
        <v>792</v>
      </c>
      <c r="G7" s="53" t="s">
        <v>998</v>
      </c>
      <c r="H7" s="39" t="s">
        <v>450</v>
      </c>
      <c r="I7" s="39"/>
      <c r="J7" s="57" t="s">
        <v>527</v>
      </c>
      <c r="K7" s="1" t="s">
        <v>450</v>
      </c>
      <c r="L7" s="1"/>
      <c r="M7" s="1"/>
      <c r="N7" s="1"/>
      <c r="O7" s="1"/>
      <c r="P7" s="1"/>
      <c r="Q7" s="1" t="s">
        <v>528</v>
      </c>
      <c r="R7" s="1" t="s">
        <v>450</v>
      </c>
      <c r="S7" s="61" t="s">
        <v>528</v>
      </c>
      <c r="T7" s="1" t="s">
        <v>450</v>
      </c>
      <c r="U7" s="39"/>
      <c r="V7" s="39"/>
      <c r="W7" s="39"/>
      <c r="X7" s="39"/>
      <c r="Y7" s="1"/>
      <c r="Z7" s="1"/>
      <c r="AA7" s="1"/>
      <c r="AB7" s="1"/>
      <c r="AC7" s="1"/>
      <c r="AD7" s="1"/>
      <c r="AE7" s="39"/>
      <c r="AF7" s="3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9"/>
      <c r="AW7" s="39"/>
      <c r="AX7" s="1"/>
      <c r="AY7" s="1"/>
      <c r="AZ7" s="1"/>
    </row>
    <row r="8" spans="1:53" x14ac:dyDescent="0.3">
      <c r="A8" s="22" t="s">
        <v>7</v>
      </c>
      <c r="B8" s="23" t="s">
        <v>8</v>
      </c>
      <c r="C8" s="53" t="s">
        <v>594</v>
      </c>
      <c r="D8" s="53" t="s">
        <v>450</v>
      </c>
      <c r="E8" s="53"/>
      <c r="F8" s="53" t="s">
        <v>793</v>
      </c>
      <c r="G8" s="53" t="s">
        <v>998</v>
      </c>
      <c r="H8" s="39" t="s">
        <v>450</v>
      </c>
      <c r="I8" s="39"/>
      <c r="J8" s="57" t="s">
        <v>558</v>
      </c>
      <c r="K8" s="1" t="s">
        <v>450</v>
      </c>
      <c r="L8" s="1"/>
      <c r="M8" s="1"/>
      <c r="N8" s="1"/>
      <c r="O8" s="1"/>
      <c r="P8" s="1"/>
      <c r="Q8" s="1"/>
      <c r="R8" s="1"/>
      <c r="S8" s="1" t="s">
        <v>558</v>
      </c>
      <c r="T8" s="1" t="s">
        <v>450</v>
      </c>
      <c r="U8" s="39"/>
      <c r="V8" s="39"/>
      <c r="W8" s="39"/>
      <c r="X8" s="39"/>
      <c r="Y8" s="1"/>
      <c r="Z8" s="1"/>
      <c r="AA8" s="1"/>
      <c r="AB8" s="1"/>
      <c r="AC8" s="1"/>
      <c r="AD8" s="1"/>
      <c r="AE8" s="39"/>
      <c r="AF8" s="3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39"/>
      <c r="AW8" s="39"/>
      <c r="AX8" s="1"/>
      <c r="AY8" s="1"/>
      <c r="AZ8" s="1"/>
    </row>
    <row r="9" spans="1:53" x14ac:dyDescent="0.3">
      <c r="A9" s="4" t="s">
        <v>9</v>
      </c>
      <c r="B9" s="5" t="s">
        <v>10</v>
      </c>
      <c r="C9" s="53" t="s">
        <v>595</v>
      </c>
      <c r="D9" s="53" t="s">
        <v>450</v>
      </c>
      <c r="E9" s="53"/>
      <c r="F9" s="53" t="s">
        <v>794</v>
      </c>
      <c r="G9" s="53" t="s">
        <v>995</v>
      </c>
      <c r="H9" s="57" t="s">
        <v>525</v>
      </c>
      <c r="I9" s="39" t="s">
        <v>450</v>
      </c>
      <c r="J9" s="39"/>
      <c r="K9" s="1"/>
      <c r="L9" s="1"/>
      <c r="M9" s="1"/>
      <c r="N9" s="1"/>
      <c r="O9" s="1"/>
      <c r="P9" s="1"/>
      <c r="Q9" s="1"/>
      <c r="R9" s="1"/>
      <c r="S9" s="1" t="s">
        <v>525</v>
      </c>
      <c r="T9" s="1" t="s">
        <v>450</v>
      </c>
      <c r="U9" s="39"/>
      <c r="V9" s="39"/>
      <c r="W9" s="39"/>
      <c r="X9" s="39"/>
      <c r="Y9" s="1"/>
      <c r="Z9" s="1"/>
      <c r="AA9" s="1"/>
      <c r="AB9" s="1"/>
      <c r="AC9" s="1"/>
      <c r="AD9" s="1"/>
      <c r="AE9" s="39"/>
      <c r="AF9" s="3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39"/>
      <c r="AW9" s="39"/>
      <c r="AX9" s="1"/>
      <c r="AY9" s="1"/>
      <c r="AZ9" s="1"/>
    </row>
    <row r="10" spans="1:53" x14ac:dyDescent="0.3">
      <c r="A10" s="22" t="s">
        <v>11</v>
      </c>
      <c r="B10" s="23" t="s">
        <v>12</v>
      </c>
      <c r="C10" s="53" t="s">
        <v>596</v>
      </c>
      <c r="D10" s="53" t="s">
        <v>450</v>
      </c>
      <c r="E10" s="53"/>
      <c r="F10" s="53" t="s">
        <v>795</v>
      </c>
      <c r="G10" s="53" t="s">
        <v>998</v>
      </c>
      <c r="H10" s="39" t="s">
        <v>450</v>
      </c>
      <c r="I10" s="39"/>
      <c r="J10" s="39"/>
      <c r="K10" s="1"/>
      <c r="L10" s="1"/>
      <c r="M10" s="1"/>
      <c r="N10" s="1"/>
      <c r="O10" s="1"/>
      <c r="P10" s="1"/>
      <c r="Q10" s="1"/>
      <c r="R10" s="1"/>
      <c r="S10" s="61" t="s">
        <v>510</v>
      </c>
      <c r="T10" s="1" t="s">
        <v>450</v>
      </c>
      <c r="U10" s="39"/>
      <c r="V10" s="39"/>
      <c r="W10" s="39"/>
      <c r="X10" s="39"/>
      <c r="Y10" s="1"/>
      <c r="Z10" s="1"/>
      <c r="AA10" s="1"/>
      <c r="AB10" s="1"/>
      <c r="AC10" s="1"/>
      <c r="AD10" s="1"/>
      <c r="AE10" s="39"/>
      <c r="AF10" s="3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9"/>
      <c r="AW10" s="39"/>
      <c r="AX10" s="1"/>
      <c r="AY10" s="1"/>
      <c r="AZ10" s="1"/>
    </row>
    <row r="11" spans="1:53" x14ac:dyDescent="0.3">
      <c r="A11" s="4" t="s">
        <v>13</v>
      </c>
      <c r="B11" s="5" t="s">
        <v>14</v>
      </c>
      <c r="C11" s="53" t="s">
        <v>597</v>
      </c>
      <c r="D11" s="53" t="s">
        <v>450</v>
      </c>
      <c r="E11" s="53"/>
      <c r="F11" s="53" t="s">
        <v>796</v>
      </c>
      <c r="G11" s="53" t="s">
        <v>998</v>
      </c>
      <c r="H11" s="39" t="s">
        <v>450</v>
      </c>
      <c r="I11" s="39"/>
      <c r="J11" s="1" t="s">
        <v>515</v>
      </c>
      <c r="K11" s="61" t="s">
        <v>450</v>
      </c>
      <c r="L11" s="1" t="s">
        <v>450</v>
      </c>
      <c r="M11" s="1"/>
      <c r="O11" s="1" t="s">
        <v>450</v>
      </c>
      <c r="P11" s="1"/>
      <c r="Q11" s="1"/>
      <c r="R11" s="1"/>
      <c r="S11" s="1" t="s">
        <v>450</v>
      </c>
      <c r="T11" s="1" t="s">
        <v>450</v>
      </c>
      <c r="U11" s="39"/>
      <c r="V11" s="39"/>
      <c r="W11" s="39"/>
      <c r="X11" s="39"/>
      <c r="Y11" s="1"/>
      <c r="Z11" s="1"/>
      <c r="AA11" s="1"/>
      <c r="AB11" s="1"/>
      <c r="AC11" s="1"/>
      <c r="AD11" s="1"/>
      <c r="AE11" s="39"/>
      <c r="AF11" s="3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39"/>
      <c r="AW11" s="39"/>
      <c r="AX11" s="1"/>
      <c r="AY11" s="1"/>
      <c r="AZ11" s="1"/>
    </row>
    <row r="12" spans="1:53" x14ac:dyDescent="0.3">
      <c r="A12" s="4" t="s">
        <v>15</v>
      </c>
      <c r="B12" s="5" t="s">
        <v>16</v>
      </c>
      <c r="C12" s="53" t="s">
        <v>598</v>
      </c>
      <c r="D12" s="53" t="s">
        <v>450</v>
      </c>
      <c r="E12" s="53"/>
      <c r="F12" s="62" t="s">
        <v>797</v>
      </c>
      <c r="G12" s="53" t="s">
        <v>998</v>
      </c>
      <c r="H12" s="39" t="s">
        <v>450</v>
      </c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39"/>
      <c r="V12" s="39"/>
      <c r="W12" s="39"/>
      <c r="X12" s="39"/>
      <c r="Y12" s="1"/>
      <c r="Z12" s="1"/>
      <c r="AA12" s="1"/>
      <c r="AB12" s="1"/>
      <c r="AC12" s="1"/>
      <c r="AD12" s="1"/>
      <c r="AE12" s="39"/>
      <c r="AF12" s="3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39"/>
      <c r="AW12" s="39"/>
      <c r="AX12" s="1"/>
      <c r="AY12" s="1"/>
      <c r="AZ12" s="1"/>
    </row>
    <row r="13" spans="1:53" x14ac:dyDescent="0.3">
      <c r="A13" s="19" t="s">
        <v>17</v>
      </c>
      <c r="B13" s="20" t="s">
        <v>18</v>
      </c>
      <c r="C13" s="53" t="s">
        <v>599</v>
      </c>
      <c r="D13" s="53" t="s">
        <v>450</v>
      </c>
      <c r="E13" s="53"/>
      <c r="F13" s="53" t="s">
        <v>798</v>
      </c>
      <c r="G13" s="53" t="s">
        <v>998</v>
      </c>
      <c r="H13" s="39" t="s">
        <v>450</v>
      </c>
      <c r="I13" s="39"/>
      <c r="J13" s="57" t="s">
        <v>496</v>
      </c>
      <c r="K13" s="1" t="s">
        <v>450</v>
      </c>
      <c r="L13" s="1"/>
      <c r="M13" s="1"/>
      <c r="N13" s="1"/>
      <c r="O13" s="1"/>
      <c r="P13" s="1"/>
      <c r="Q13" s="1"/>
      <c r="R13" s="1"/>
      <c r="S13" s="1" t="s">
        <v>496</v>
      </c>
      <c r="T13" s="1" t="s">
        <v>450</v>
      </c>
      <c r="U13" s="39"/>
      <c r="V13" s="39"/>
      <c r="W13" s="39"/>
      <c r="X13" s="39"/>
      <c r="Y13" s="1"/>
      <c r="Z13" s="1"/>
      <c r="AA13" s="1"/>
      <c r="AB13" s="1"/>
      <c r="AC13" s="1"/>
      <c r="AD13" s="1"/>
      <c r="AE13" s="39"/>
      <c r="AF13" s="39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39"/>
      <c r="AW13" s="39"/>
      <c r="AX13" s="1"/>
      <c r="AY13" s="1"/>
      <c r="AZ13" s="1"/>
    </row>
    <row r="14" spans="1:53" x14ac:dyDescent="0.3">
      <c r="A14" s="4" t="s">
        <v>19</v>
      </c>
      <c r="B14" s="5" t="s">
        <v>20</v>
      </c>
      <c r="C14" s="53" t="s">
        <v>600</v>
      </c>
      <c r="D14" s="53" t="s">
        <v>450</v>
      </c>
      <c r="E14" s="53"/>
      <c r="F14" s="53" t="s">
        <v>799</v>
      </c>
      <c r="G14" s="53" t="s">
        <v>998</v>
      </c>
      <c r="H14" s="57" t="s">
        <v>512</v>
      </c>
      <c r="I14" s="39" t="s">
        <v>559</v>
      </c>
      <c r="J14" s="39" t="s">
        <v>450</v>
      </c>
      <c r="K14" s="1"/>
      <c r="L14" s="1"/>
      <c r="M14" s="1"/>
      <c r="N14" s="1"/>
      <c r="O14" s="1"/>
      <c r="P14" s="1"/>
      <c r="Q14" s="1"/>
      <c r="R14" s="1"/>
      <c r="S14" s="1"/>
      <c r="T14" s="61" t="s">
        <v>511</v>
      </c>
      <c r="U14" s="39" t="s">
        <v>450</v>
      </c>
      <c r="V14" s="39"/>
      <c r="W14" s="39"/>
      <c r="X14" s="39"/>
      <c r="Y14" s="1"/>
      <c r="Z14" s="1"/>
      <c r="AA14" s="1"/>
      <c r="AB14" s="1"/>
      <c r="AC14" s="1"/>
      <c r="AD14" s="1"/>
      <c r="AE14" s="39"/>
      <c r="AF14" s="3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39"/>
      <c r="AW14" s="39"/>
      <c r="AX14" s="1"/>
      <c r="AY14" s="1"/>
      <c r="AZ14" s="1"/>
    </row>
    <row r="15" spans="1:53" x14ac:dyDescent="0.3">
      <c r="A15" s="4" t="s">
        <v>21</v>
      </c>
      <c r="B15" s="5" t="s">
        <v>22</v>
      </c>
      <c r="C15" s="53" t="s">
        <v>601</v>
      </c>
      <c r="D15" s="53" t="s">
        <v>450</v>
      </c>
      <c r="E15" s="53"/>
      <c r="F15" s="53" t="s">
        <v>800</v>
      </c>
      <c r="G15" s="53" t="s">
        <v>998</v>
      </c>
      <c r="H15" s="57" t="s">
        <v>526</v>
      </c>
      <c r="I15" s="39" t="s">
        <v>450</v>
      </c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39"/>
      <c r="V15" s="39"/>
      <c r="W15" s="39"/>
      <c r="X15" s="39"/>
      <c r="Y15" s="1"/>
      <c r="Z15" s="1"/>
      <c r="AA15" s="1"/>
      <c r="AB15" s="1"/>
      <c r="AC15" s="1"/>
      <c r="AD15" s="1"/>
      <c r="AE15" s="39"/>
      <c r="AF15" s="3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7" t="s">
        <v>526</v>
      </c>
      <c r="AW15" s="39" t="s">
        <v>450</v>
      </c>
      <c r="AX15" s="1"/>
      <c r="AY15" s="1"/>
      <c r="AZ15" s="1"/>
    </row>
    <row r="16" spans="1:53" x14ac:dyDescent="0.3">
      <c r="A16" s="24" t="s">
        <v>23</v>
      </c>
      <c r="B16" s="25" t="s">
        <v>24</v>
      </c>
      <c r="C16" s="53" t="s">
        <v>602</v>
      </c>
      <c r="D16" s="53" t="s">
        <v>450</v>
      </c>
      <c r="E16" s="53"/>
      <c r="F16" s="53" t="s">
        <v>801</v>
      </c>
      <c r="G16" s="53" t="s">
        <v>998</v>
      </c>
      <c r="H16" s="39" t="s">
        <v>450</v>
      </c>
      <c r="I16" s="39"/>
      <c r="J16" s="39"/>
      <c r="K16" s="1"/>
      <c r="L16" s="1"/>
      <c r="M16" s="1"/>
      <c r="N16" s="1"/>
      <c r="O16" s="1"/>
      <c r="P16" s="1"/>
      <c r="Q16" s="1"/>
      <c r="R16" s="1"/>
      <c r="S16" s="61" t="s">
        <v>506</v>
      </c>
      <c r="T16" s="1" t="s">
        <v>450</v>
      </c>
      <c r="U16" s="39"/>
      <c r="V16" s="39"/>
      <c r="W16" s="39"/>
      <c r="X16" s="39"/>
      <c r="Y16" s="1"/>
      <c r="Z16" s="1"/>
      <c r="AA16" s="1"/>
      <c r="AB16" s="1"/>
      <c r="AC16" s="1"/>
      <c r="AD16" s="1"/>
      <c r="AE16" s="39"/>
      <c r="AF16" s="3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39"/>
      <c r="AW16" s="39"/>
      <c r="AX16" s="1"/>
      <c r="AY16" s="1"/>
      <c r="AZ16" s="1"/>
    </row>
    <row r="17" spans="1:52" x14ac:dyDescent="0.3">
      <c r="A17" s="11" t="s">
        <v>25</v>
      </c>
      <c r="B17" s="12" t="s">
        <v>26</v>
      </c>
      <c r="C17" s="53" t="s">
        <v>603</v>
      </c>
      <c r="D17" s="53" t="s">
        <v>450</v>
      </c>
      <c r="E17" s="53"/>
      <c r="F17" s="53" t="s">
        <v>802</v>
      </c>
      <c r="G17" s="53" t="s">
        <v>998</v>
      </c>
      <c r="H17" s="39" t="s">
        <v>450</v>
      </c>
      <c r="I17" s="39"/>
      <c r="J17" s="39"/>
      <c r="K17" s="1"/>
      <c r="L17" s="1"/>
      <c r="M17" s="1"/>
      <c r="N17" s="1"/>
      <c r="O17" s="1"/>
      <c r="P17" s="1"/>
      <c r="Q17" s="1"/>
      <c r="R17" s="1"/>
      <c r="S17" s="61" t="s">
        <v>464</v>
      </c>
      <c r="T17" s="1" t="s">
        <v>450</v>
      </c>
      <c r="U17" s="57" t="s">
        <v>553</v>
      </c>
      <c r="V17" s="39" t="s">
        <v>450</v>
      </c>
      <c r="W17" s="39"/>
      <c r="X17" s="39"/>
      <c r="Z17" s="1" t="s">
        <v>450</v>
      </c>
      <c r="AA17" s="1"/>
      <c r="AB17" s="1"/>
      <c r="AC17" s="1" t="s">
        <v>553</v>
      </c>
      <c r="AD17" s="1" t="s">
        <v>450</v>
      </c>
      <c r="AE17" s="39"/>
      <c r="AF17" s="39"/>
      <c r="AG17" s="1"/>
      <c r="AH17" s="1"/>
      <c r="AI17" s="61" t="s">
        <v>553</v>
      </c>
      <c r="AJ17" s="1" t="s">
        <v>450</v>
      </c>
      <c r="AK17" s="1"/>
      <c r="AL17" s="1" t="s">
        <v>553</v>
      </c>
      <c r="AM17" s="1" t="s">
        <v>450</v>
      </c>
      <c r="AN17" s="1"/>
      <c r="AO17" s="1"/>
      <c r="AP17" s="1" t="s">
        <v>553</v>
      </c>
      <c r="AQ17" s="1" t="s">
        <v>450</v>
      </c>
      <c r="AR17" s="1"/>
      <c r="AS17" s="1"/>
      <c r="AT17" s="1"/>
      <c r="AU17" s="1"/>
      <c r="AV17" s="39"/>
      <c r="AW17" s="39"/>
      <c r="AX17" s="1"/>
      <c r="AY17" s="1"/>
      <c r="AZ17" s="1"/>
    </row>
    <row r="18" spans="1:52" x14ac:dyDescent="0.3">
      <c r="A18" s="4" t="s">
        <v>27</v>
      </c>
      <c r="B18" s="5" t="s">
        <v>28</v>
      </c>
      <c r="C18" s="53" t="s">
        <v>604</v>
      </c>
      <c r="D18" s="53" t="s">
        <v>450</v>
      </c>
      <c r="E18" s="53"/>
      <c r="F18" s="53" t="s">
        <v>803</v>
      </c>
      <c r="G18" s="53" t="s">
        <v>998</v>
      </c>
      <c r="H18" s="57" t="s">
        <v>504</v>
      </c>
      <c r="I18" s="39" t="s">
        <v>450</v>
      </c>
      <c r="J18" s="57" t="s">
        <v>504</v>
      </c>
      <c r="K18" s="1" t="s">
        <v>450</v>
      </c>
      <c r="L18" s="1"/>
      <c r="M18" s="1"/>
      <c r="N18" s="1"/>
      <c r="O18" s="1"/>
      <c r="P18" s="1"/>
      <c r="Q18" s="1"/>
      <c r="R18" s="1"/>
      <c r="S18" s="61" t="s">
        <v>504</v>
      </c>
      <c r="T18" s="1" t="s">
        <v>450</v>
      </c>
      <c r="U18" s="39"/>
      <c r="V18" s="39"/>
      <c r="W18" s="39"/>
      <c r="X18" s="39"/>
      <c r="Y18" s="1"/>
      <c r="Z18" s="1"/>
      <c r="AA18" s="1"/>
      <c r="AB18" s="1"/>
      <c r="AC18" s="1"/>
      <c r="AD18" s="1"/>
      <c r="AE18" s="39"/>
      <c r="AF18" s="39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9"/>
      <c r="AW18" s="39"/>
      <c r="AX18" s="1"/>
      <c r="AY18" s="1"/>
      <c r="AZ18" s="1"/>
    </row>
    <row r="19" spans="1:52" x14ac:dyDescent="0.3">
      <c r="A19" s="24" t="s">
        <v>29</v>
      </c>
      <c r="B19" s="25" t="s">
        <v>30</v>
      </c>
      <c r="C19" s="53" t="s">
        <v>605</v>
      </c>
      <c r="D19" s="53" t="s">
        <v>450</v>
      </c>
      <c r="E19" s="53"/>
      <c r="F19" s="53" t="s">
        <v>804</v>
      </c>
      <c r="G19" s="53" t="s">
        <v>998</v>
      </c>
      <c r="H19" s="39" t="s">
        <v>450</v>
      </c>
      <c r="I19" s="39"/>
      <c r="J19" s="39"/>
      <c r="K19" s="1"/>
      <c r="L19" s="1"/>
      <c r="M19" s="1"/>
      <c r="N19" s="1"/>
      <c r="O19" s="1"/>
      <c r="P19" s="1"/>
      <c r="Q19" s="1"/>
      <c r="R19" s="1"/>
      <c r="S19" s="61" t="s">
        <v>561</v>
      </c>
      <c r="T19" s="1" t="s">
        <v>450</v>
      </c>
      <c r="U19" s="39"/>
      <c r="V19" s="39"/>
      <c r="W19" s="39"/>
      <c r="X19" s="39"/>
      <c r="Y19" s="1"/>
      <c r="Z19" s="1"/>
      <c r="AA19" s="1"/>
      <c r="AB19" s="1"/>
      <c r="AC19" s="1"/>
      <c r="AD19" s="1"/>
      <c r="AE19" s="39"/>
      <c r="AF19" s="3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39"/>
      <c r="AW19" s="39"/>
      <c r="AX19" s="1"/>
      <c r="AY19" s="1"/>
      <c r="AZ19" s="1"/>
    </row>
    <row r="20" spans="1:52" x14ac:dyDescent="0.3">
      <c r="A20" s="4" t="s">
        <v>31</v>
      </c>
      <c r="B20" s="5" t="s">
        <v>32</v>
      </c>
      <c r="C20" s="53" t="s">
        <v>606</v>
      </c>
      <c r="D20" s="53" t="s">
        <v>450</v>
      </c>
      <c r="E20" s="53"/>
      <c r="F20" s="53" t="s">
        <v>805</v>
      </c>
      <c r="G20" s="53" t="s">
        <v>998</v>
      </c>
      <c r="H20" s="39" t="s">
        <v>450</v>
      </c>
      <c r="I20" s="39"/>
      <c r="J20" s="39"/>
      <c r="K20" s="1"/>
      <c r="L20" s="1"/>
      <c r="M20" s="1"/>
      <c r="N20" s="1"/>
      <c r="O20" s="1"/>
      <c r="P20" s="1"/>
      <c r="Q20" s="1"/>
      <c r="R20" s="1"/>
      <c r="S20" s="1"/>
      <c r="T20" s="1"/>
      <c r="U20" s="39"/>
      <c r="V20" s="39"/>
      <c r="W20" s="39"/>
      <c r="X20" s="39"/>
      <c r="Y20" s="1"/>
      <c r="Z20" s="1"/>
      <c r="AA20" s="1"/>
      <c r="AB20" s="1"/>
      <c r="AC20" s="1"/>
      <c r="AD20" s="1"/>
      <c r="AE20" s="39"/>
      <c r="AF20" s="3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39"/>
      <c r="AW20" s="39"/>
      <c r="AX20" s="1"/>
      <c r="AY20" s="1"/>
      <c r="AZ20" s="1"/>
    </row>
    <row r="21" spans="1:52" x14ac:dyDescent="0.3">
      <c r="A21" s="4" t="s">
        <v>33</v>
      </c>
      <c r="B21" s="5" t="s">
        <v>34</v>
      </c>
      <c r="C21" s="53" t="s">
        <v>607</v>
      </c>
      <c r="D21" s="53" t="s">
        <v>450</v>
      </c>
      <c r="E21" s="53"/>
      <c r="F21" s="53" t="s">
        <v>806</v>
      </c>
      <c r="G21" s="53" t="s">
        <v>998</v>
      </c>
      <c r="H21" s="39" t="s">
        <v>450</v>
      </c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39"/>
      <c r="V21" s="39"/>
      <c r="W21" s="39"/>
      <c r="X21" s="39"/>
      <c r="Y21" s="1"/>
      <c r="Z21" s="1"/>
      <c r="AA21" s="1"/>
      <c r="AB21" s="1"/>
      <c r="AC21" s="1"/>
      <c r="AD21" s="1"/>
      <c r="AE21" s="39"/>
      <c r="AF21" s="3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39"/>
      <c r="AW21" s="39"/>
      <c r="AX21" s="1"/>
      <c r="AY21" s="1"/>
      <c r="AZ21" s="1"/>
    </row>
    <row r="22" spans="1:52" x14ac:dyDescent="0.3">
      <c r="A22" s="11" t="s">
        <v>35</v>
      </c>
      <c r="B22" s="12" t="s">
        <v>36</v>
      </c>
      <c r="C22" s="53" t="s">
        <v>608</v>
      </c>
      <c r="D22" s="53" t="s">
        <v>450</v>
      </c>
      <c r="E22" s="53"/>
      <c r="F22" s="53" t="s">
        <v>807</v>
      </c>
      <c r="G22" s="53" t="s">
        <v>998</v>
      </c>
      <c r="H22" s="57" t="s">
        <v>466</v>
      </c>
      <c r="I22" s="39" t="s">
        <v>450</v>
      </c>
      <c r="J22" s="39"/>
      <c r="K22" s="1" t="s">
        <v>467</v>
      </c>
      <c r="L22" s="1" t="s">
        <v>450</v>
      </c>
      <c r="M22" s="1"/>
      <c r="N22" s="1"/>
      <c r="O22" s="1" t="s">
        <v>466</v>
      </c>
      <c r="P22" s="1" t="s">
        <v>450</v>
      </c>
      <c r="Q22" s="1"/>
      <c r="R22" s="1"/>
      <c r="S22" s="1" t="s">
        <v>465</v>
      </c>
      <c r="T22" s="1" t="s">
        <v>450</v>
      </c>
      <c r="U22" s="39"/>
      <c r="V22" s="39"/>
      <c r="W22" s="39"/>
      <c r="X22" s="39"/>
      <c r="Y22" s="1"/>
      <c r="Z22" s="1"/>
      <c r="AA22" s="1"/>
      <c r="AB22" s="1"/>
      <c r="AC22" s="1"/>
      <c r="AD22" s="1"/>
      <c r="AE22" s="39"/>
      <c r="AF22" s="3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39" t="s">
        <v>560</v>
      </c>
      <c r="AW22" s="39" t="s">
        <v>450</v>
      </c>
      <c r="AX22" s="1"/>
      <c r="AY22" s="1"/>
      <c r="AZ22" s="1"/>
    </row>
    <row r="23" spans="1:52" x14ac:dyDescent="0.3">
      <c r="A23" s="4" t="s">
        <v>37</v>
      </c>
      <c r="B23" s="5" t="s">
        <v>38</v>
      </c>
      <c r="C23" s="53" t="s">
        <v>609</v>
      </c>
      <c r="D23" s="53" t="s">
        <v>450</v>
      </c>
      <c r="E23" s="53"/>
      <c r="F23" s="53" t="s">
        <v>808</v>
      </c>
      <c r="G23" s="53" t="s">
        <v>998</v>
      </c>
      <c r="H23" s="39" t="s">
        <v>450</v>
      </c>
      <c r="I23" s="39"/>
      <c r="J23" s="39"/>
      <c r="K23" s="61" t="s">
        <v>513</v>
      </c>
      <c r="L23" s="1" t="s">
        <v>450</v>
      </c>
      <c r="M23" s="1" t="s">
        <v>513</v>
      </c>
      <c r="N23" s="1" t="s">
        <v>450</v>
      </c>
      <c r="O23" s="1"/>
      <c r="P23" s="1"/>
      <c r="Q23" s="1"/>
      <c r="R23" s="1"/>
      <c r="S23" s="1" t="s">
        <v>513</v>
      </c>
      <c r="T23" s="1" t="s">
        <v>450</v>
      </c>
      <c r="U23" s="39"/>
      <c r="V23" s="39"/>
      <c r="W23" s="39"/>
      <c r="X23" s="39"/>
      <c r="Y23" s="1"/>
      <c r="Z23" s="1"/>
      <c r="AA23" s="1"/>
      <c r="AB23" s="1"/>
      <c r="AC23" s="1"/>
      <c r="AD23" s="1"/>
      <c r="AE23" s="39"/>
      <c r="AF23" s="3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39"/>
      <c r="AW23" s="39"/>
      <c r="AX23" s="1"/>
      <c r="AY23" s="1"/>
      <c r="AZ23" s="1"/>
    </row>
    <row r="24" spans="1:52" x14ac:dyDescent="0.3">
      <c r="A24" s="4" t="s">
        <v>39</v>
      </c>
      <c r="B24" s="5" t="s">
        <v>40</v>
      </c>
      <c r="C24" s="53" t="s">
        <v>610</v>
      </c>
      <c r="D24" s="53" t="s">
        <v>450</v>
      </c>
      <c r="E24" s="53"/>
      <c r="F24" s="53" t="s">
        <v>809</v>
      </c>
      <c r="G24" s="53" t="s">
        <v>998</v>
      </c>
      <c r="H24" s="39" t="s">
        <v>450</v>
      </c>
      <c r="I24" s="39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39"/>
      <c r="V24" s="39"/>
      <c r="W24" s="39"/>
      <c r="X24" s="39"/>
      <c r="Y24" s="1"/>
      <c r="Z24" s="1"/>
      <c r="AA24" s="1"/>
      <c r="AB24" s="1"/>
      <c r="AC24" s="1"/>
      <c r="AD24" s="1"/>
      <c r="AE24" s="39"/>
      <c r="AF24" s="3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39"/>
      <c r="AW24" s="39"/>
      <c r="AX24" s="1"/>
      <c r="AY24" s="1"/>
      <c r="AZ24" s="1"/>
    </row>
    <row r="25" spans="1:52" x14ac:dyDescent="0.3">
      <c r="A25" s="4" t="s">
        <v>41</v>
      </c>
      <c r="B25" s="5" t="s">
        <v>42</v>
      </c>
      <c r="C25" s="53" t="s">
        <v>611</v>
      </c>
      <c r="D25" s="53" t="s">
        <v>450</v>
      </c>
      <c r="E25" s="53"/>
      <c r="F25" s="53" t="s">
        <v>810</v>
      </c>
      <c r="G25" s="53" t="s">
        <v>998</v>
      </c>
      <c r="H25" s="39" t="s">
        <v>450</v>
      </c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39"/>
      <c r="V25" s="39"/>
      <c r="W25" s="39"/>
      <c r="X25" s="39"/>
      <c r="Y25" s="1"/>
      <c r="Z25" s="1"/>
      <c r="AA25" s="1"/>
      <c r="AB25" s="1"/>
      <c r="AC25" s="1"/>
      <c r="AD25" s="1"/>
      <c r="AE25" s="39"/>
      <c r="AF25" s="3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39"/>
      <c r="AW25" s="39"/>
      <c r="AX25" s="1"/>
      <c r="AY25" s="1"/>
      <c r="AZ25" s="1"/>
    </row>
    <row r="26" spans="1:52" x14ac:dyDescent="0.3">
      <c r="A26" s="4" t="s">
        <v>43</v>
      </c>
      <c r="B26" s="5" t="s">
        <v>44</v>
      </c>
      <c r="C26" s="53" t="s">
        <v>612</v>
      </c>
      <c r="D26" s="53" t="s">
        <v>450</v>
      </c>
      <c r="E26" s="53"/>
      <c r="F26" s="53" t="s">
        <v>811</v>
      </c>
      <c r="G26" s="53" t="s">
        <v>998</v>
      </c>
      <c r="H26" s="39" t="s">
        <v>450</v>
      </c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39"/>
      <c r="V26" s="39"/>
      <c r="W26" s="39"/>
      <c r="X26" s="39"/>
      <c r="Y26" s="1"/>
      <c r="Z26" s="1"/>
      <c r="AA26" s="1"/>
      <c r="AB26" s="1"/>
      <c r="AC26" s="1"/>
      <c r="AD26" s="1"/>
      <c r="AE26" s="39"/>
      <c r="AF26" s="3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39"/>
      <c r="AW26" s="39"/>
      <c r="AX26" s="1"/>
      <c r="AY26" s="1"/>
      <c r="AZ26" s="1"/>
    </row>
    <row r="27" spans="1:52" x14ac:dyDescent="0.3">
      <c r="A27" s="4" t="s">
        <v>45</v>
      </c>
      <c r="B27" s="5" t="s">
        <v>46</v>
      </c>
      <c r="C27" s="53" t="s">
        <v>613</v>
      </c>
      <c r="D27" s="53" t="s">
        <v>450</v>
      </c>
      <c r="E27" s="53"/>
      <c r="F27" s="53" t="s">
        <v>812</v>
      </c>
      <c r="G27" s="53" t="s">
        <v>998</v>
      </c>
      <c r="H27" s="39" t="s">
        <v>450</v>
      </c>
      <c r="I27" s="39"/>
      <c r="J27" s="39"/>
      <c r="K27" s="1"/>
      <c r="L27" s="1"/>
      <c r="M27" s="1"/>
      <c r="N27" s="1"/>
      <c r="O27" s="1"/>
      <c r="P27" s="1"/>
      <c r="Q27" s="1"/>
      <c r="R27" s="1"/>
      <c r="S27" s="61" t="s">
        <v>529</v>
      </c>
      <c r="T27" s="1" t="s">
        <v>450</v>
      </c>
      <c r="U27" s="39"/>
      <c r="V27" s="39"/>
      <c r="W27" s="39"/>
      <c r="X27" s="39"/>
      <c r="Y27" s="1"/>
      <c r="Z27" s="1"/>
      <c r="AA27" s="1"/>
      <c r="AB27" s="1"/>
      <c r="AC27" s="1"/>
      <c r="AD27" s="1"/>
      <c r="AE27" s="39"/>
      <c r="AF27" s="3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9"/>
      <c r="AW27" s="39"/>
      <c r="AX27" s="1"/>
      <c r="AY27" s="1"/>
      <c r="AZ27" s="1"/>
    </row>
    <row r="28" spans="1:52" x14ac:dyDescent="0.3">
      <c r="A28" s="24" t="s">
        <v>47</v>
      </c>
      <c r="B28" s="25" t="s">
        <v>48</v>
      </c>
      <c r="C28" s="53" t="s">
        <v>614</v>
      </c>
      <c r="D28" s="53" t="s">
        <v>450</v>
      </c>
      <c r="E28" s="53"/>
      <c r="F28" s="53" t="s">
        <v>813</v>
      </c>
      <c r="G28" s="53" t="s">
        <v>998</v>
      </c>
      <c r="H28" s="39" t="s">
        <v>450</v>
      </c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39"/>
      <c r="V28" s="39"/>
      <c r="W28" s="39"/>
      <c r="X28" s="39"/>
      <c r="Y28" s="1"/>
      <c r="Z28" s="1"/>
      <c r="AA28" s="1"/>
      <c r="AB28" s="1"/>
      <c r="AC28" s="1"/>
      <c r="AD28" s="1"/>
      <c r="AE28" s="39"/>
      <c r="AF28" s="3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39"/>
      <c r="AW28" s="39"/>
      <c r="AX28" s="1"/>
      <c r="AY28" s="1"/>
      <c r="AZ28" s="1"/>
    </row>
    <row r="29" spans="1:52" x14ac:dyDescent="0.3">
      <c r="A29" s="19" t="s">
        <v>49</v>
      </c>
      <c r="B29" s="20" t="s">
        <v>50</v>
      </c>
      <c r="C29" s="53" t="s">
        <v>615</v>
      </c>
      <c r="D29" s="53" t="s">
        <v>450</v>
      </c>
      <c r="E29" s="53"/>
      <c r="F29" s="53" t="s">
        <v>814</v>
      </c>
      <c r="G29" s="53" t="s">
        <v>998</v>
      </c>
      <c r="H29" s="39" t="s">
        <v>450</v>
      </c>
      <c r="I29" s="39"/>
      <c r="J29" s="39"/>
      <c r="K29" s="1"/>
      <c r="L29" s="1"/>
      <c r="M29" s="1"/>
      <c r="N29" s="1"/>
      <c r="O29" s="1"/>
      <c r="P29" s="1"/>
      <c r="Q29" s="1"/>
      <c r="R29" s="1"/>
      <c r="S29" s="1" t="s">
        <v>992</v>
      </c>
      <c r="T29" s="1" t="s">
        <v>450</v>
      </c>
      <c r="U29" s="39"/>
      <c r="V29" s="39"/>
      <c r="W29" s="39"/>
      <c r="X29" s="39"/>
      <c r="Y29" s="1"/>
      <c r="Z29" s="1"/>
      <c r="AA29" s="1"/>
      <c r="AB29" s="1"/>
      <c r="AC29" s="1"/>
      <c r="AD29" s="1"/>
      <c r="AE29" s="39"/>
      <c r="AF29" s="3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39"/>
      <c r="AW29" s="39"/>
      <c r="AX29" s="1"/>
      <c r="AY29" s="1"/>
      <c r="AZ29" s="1"/>
    </row>
    <row r="30" spans="1:52" x14ac:dyDescent="0.3">
      <c r="A30" s="4" t="s">
        <v>51</v>
      </c>
      <c r="B30" s="5" t="s">
        <v>52</v>
      </c>
      <c r="C30" s="53" t="s">
        <v>616</v>
      </c>
      <c r="D30" s="53" t="s">
        <v>450</v>
      </c>
      <c r="E30" s="53"/>
      <c r="F30" s="53" t="s">
        <v>815</v>
      </c>
      <c r="G30" s="53" t="s">
        <v>998</v>
      </c>
      <c r="H30" s="39" t="s">
        <v>450</v>
      </c>
      <c r="I30" s="39"/>
      <c r="J30" s="57" t="s">
        <v>516</v>
      </c>
      <c r="K30" s="1" t="s">
        <v>450</v>
      </c>
      <c r="L30" s="1" t="s">
        <v>450</v>
      </c>
      <c r="M30" s="1"/>
      <c r="N30" s="1"/>
      <c r="O30" s="1"/>
      <c r="P30" s="1" t="s">
        <v>450</v>
      </c>
      <c r="Q30" s="1"/>
      <c r="R30" s="1"/>
      <c r="S30" s="1"/>
      <c r="T30" s="1"/>
      <c r="U30" s="39"/>
      <c r="V30" s="39"/>
      <c r="W30" s="39"/>
      <c r="X30" s="39"/>
      <c r="Y30" s="1"/>
      <c r="Z30" s="1"/>
      <c r="AA30" s="1"/>
      <c r="AB30" s="1"/>
      <c r="AC30" s="1"/>
      <c r="AD30" s="1"/>
      <c r="AE30" s="39"/>
      <c r="AF30" s="3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39"/>
      <c r="AW30" s="39"/>
      <c r="AX30" s="1"/>
      <c r="AY30" s="1"/>
      <c r="AZ30" s="1"/>
    </row>
    <row r="31" spans="1:52" x14ac:dyDescent="0.3">
      <c r="A31" s="19" t="s">
        <v>53</v>
      </c>
      <c r="B31" s="20" t="s">
        <v>54</v>
      </c>
      <c r="C31" s="53" t="s">
        <v>617</v>
      </c>
      <c r="D31" s="53" t="s">
        <v>450</v>
      </c>
      <c r="E31" s="53"/>
      <c r="F31" s="53" t="s">
        <v>816</v>
      </c>
      <c r="G31" s="53" t="s">
        <v>998</v>
      </c>
      <c r="H31" s="39" t="s">
        <v>544</v>
      </c>
      <c r="I31" s="39" t="s">
        <v>450</v>
      </c>
      <c r="J31" s="39"/>
      <c r="K31" s="1"/>
      <c r="L31" s="1"/>
      <c r="M31" s="1"/>
      <c r="N31" s="1"/>
      <c r="O31" s="1"/>
      <c r="P31" s="1"/>
      <c r="Q31" s="1"/>
      <c r="R31" s="1"/>
      <c r="S31" s="61" t="s">
        <v>483</v>
      </c>
      <c r="T31" s="1" t="s">
        <v>484</v>
      </c>
      <c r="U31" s="39" t="s">
        <v>450</v>
      </c>
      <c r="V31" s="39"/>
      <c r="W31" s="39"/>
      <c r="X31" s="39"/>
      <c r="Y31" s="1"/>
      <c r="Z31" s="1"/>
      <c r="AA31" s="1"/>
      <c r="AB31" s="1"/>
      <c r="AC31" s="1"/>
      <c r="AD31" s="1"/>
      <c r="AE31" s="39"/>
      <c r="AF31" s="3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9"/>
      <c r="AW31" s="39"/>
      <c r="AX31" s="1"/>
      <c r="AY31" s="1"/>
      <c r="AZ31" s="1"/>
    </row>
    <row r="32" spans="1:52" x14ac:dyDescent="0.3">
      <c r="A32" s="4" t="s">
        <v>55</v>
      </c>
      <c r="B32" s="5" t="s">
        <v>56</v>
      </c>
      <c r="C32" s="53" t="s">
        <v>618</v>
      </c>
      <c r="D32" s="53" t="s">
        <v>450</v>
      </c>
      <c r="E32" s="53"/>
      <c r="F32" s="53" t="s">
        <v>817</v>
      </c>
      <c r="G32" s="53" t="s">
        <v>998</v>
      </c>
      <c r="H32" s="39" t="s">
        <v>450</v>
      </c>
      <c r="I32" s="39"/>
      <c r="J32" s="39"/>
      <c r="K32" s="1"/>
      <c r="L32" s="1"/>
      <c r="M32" s="1"/>
      <c r="N32" s="1"/>
      <c r="O32" s="1"/>
      <c r="P32" s="1"/>
      <c r="Q32" s="1"/>
      <c r="R32" s="1"/>
      <c r="S32" s="61" t="s">
        <v>517</v>
      </c>
      <c r="T32" s="1" t="s">
        <v>450</v>
      </c>
      <c r="U32" s="39"/>
      <c r="V32" s="39"/>
      <c r="W32" s="39"/>
      <c r="X32" s="39"/>
      <c r="Y32" s="1"/>
      <c r="Z32" s="1"/>
      <c r="AA32" s="1"/>
      <c r="AB32" s="1"/>
      <c r="AC32" s="1"/>
      <c r="AD32" s="1"/>
      <c r="AE32" s="39"/>
      <c r="AF32" s="3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9"/>
      <c r="AW32" s="39"/>
      <c r="AX32" s="1"/>
      <c r="AY32" s="1"/>
      <c r="AZ32" s="1"/>
    </row>
    <row r="33" spans="1:52" x14ac:dyDescent="0.3">
      <c r="A33" s="4" t="s">
        <v>57</v>
      </c>
      <c r="B33" s="5" t="s">
        <v>58</v>
      </c>
      <c r="C33" s="53" t="s">
        <v>619</v>
      </c>
      <c r="D33" s="53" t="s">
        <v>450</v>
      </c>
      <c r="E33" s="53"/>
      <c r="F33" s="53" t="s">
        <v>818</v>
      </c>
      <c r="G33" s="53" t="s">
        <v>998</v>
      </c>
      <c r="H33" s="39" t="s">
        <v>450</v>
      </c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39"/>
      <c r="V33" s="39"/>
      <c r="W33" s="39"/>
      <c r="X33" s="39"/>
      <c r="Y33" s="1"/>
      <c r="Z33" s="1"/>
      <c r="AA33" s="1"/>
      <c r="AB33" s="1"/>
      <c r="AC33" s="1"/>
      <c r="AD33" s="1"/>
      <c r="AE33" s="39"/>
      <c r="AF33" s="3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39"/>
      <c r="AW33" s="39"/>
      <c r="AX33" s="1"/>
      <c r="AY33" s="1"/>
      <c r="AZ33" s="1"/>
    </row>
    <row r="34" spans="1:52" x14ac:dyDescent="0.3">
      <c r="A34" s="19" t="s">
        <v>59</v>
      </c>
      <c r="B34" s="20" t="s">
        <v>60</v>
      </c>
      <c r="C34" s="53" t="s">
        <v>620</v>
      </c>
      <c r="D34" s="53" t="s">
        <v>450</v>
      </c>
      <c r="E34" s="53"/>
      <c r="F34" s="53" t="s">
        <v>819</v>
      </c>
      <c r="G34" s="53" t="s">
        <v>998</v>
      </c>
      <c r="H34" s="39" t="s">
        <v>450</v>
      </c>
      <c r="I34" s="39"/>
      <c r="J34" s="62" t="s">
        <v>562</v>
      </c>
      <c r="K34" s="1" t="s">
        <v>450</v>
      </c>
      <c r="L34" s="1"/>
      <c r="M34" s="1"/>
      <c r="N34" s="1"/>
      <c r="O34" s="1"/>
      <c r="P34" s="1"/>
      <c r="Q34" s="1"/>
      <c r="R34" s="1"/>
      <c r="S34" s="61" t="s">
        <v>495</v>
      </c>
      <c r="T34" s="1" t="s">
        <v>450</v>
      </c>
      <c r="U34" s="39"/>
      <c r="V34" s="39"/>
      <c r="W34" s="39"/>
      <c r="X34" s="39"/>
      <c r="Y34" s="1"/>
      <c r="Z34" s="1"/>
      <c r="AA34" s="1"/>
      <c r="AB34" s="1"/>
      <c r="AC34" s="1"/>
      <c r="AD34" s="1"/>
      <c r="AE34" s="39"/>
      <c r="AF34" s="3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39"/>
      <c r="AW34" s="39"/>
      <c r="AX34" s="1"/>
      <c r="AY34" s="1"/>
      <c r="AZ34" s="1"/>
    </row>
    <row r="35" spans="1:52" x14ac:dyDescent="0.3">
      <c r="A35" s="13" t="s">
        <v>61</v>
      </c>
      <c r="B35" s="14" t="s">
        <v>62</v>
      </c>
      <c r="C35" s="53" t="s">
        <v>621</v>
      </c>
      <c r="D35" s="53" t="s">
        <v>450</v>
      </c>
      <c r="E35" s="53"/>
      <c r="F35" s="53" t="s">
        <v>820</v>
      </c>
      <c r="G35" s="53" t="s">
        <v>998</v>
      </c>
      <c r="H35" s="39" t="s">
        <v>450</v>
      </c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39"/>
      <c r="V35" s="39"/>
      <c r="W35" s="39"/>
      <c r="X35" s="39"/>
      <c r="Y35" s="1"/>
      <c r="Z35" s="1"/>
      <c r="AA35" s="1"/>
      <c r="AB35" s="1"/>
      <c r="AC35" s="1"/>
      <c r="AD35" s="1"/>
      <c r="AE35" s="39"/>
      <c r="AF35" s="3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39"/>
      <c r="AW35" s="39"/>
      <c r="AX35" s="1"/>
      <c r="AY35" s="1"/>
      <c r="AZ35" s="1"/>
    </row>
    <row r="36" spans="1:52" x14ac:dyDescent="0.3">
      <c r="A36" s="2" t="s">
        <v>63</v>
      </c>
      <c r="B36" s="3" t="s">
        <v>64</v>
      </c>
      <c r="C36" s="53" t="s">
        <v>622</v>
      </c>
      <c r="D36" s="53" t="s">
        <v>450</v>
      </c>
      <c r="E36" s="53"/>
      <c r="F36" s="57" t="s">
        <v>530</v>
      </c>
      <c r="G36" s="53" t="s">
        <v>998</v>
      </c>
      <c r="H36" s="39" t="s">
        <v>450</v>
      </c>
      <c r="I36" s="39"/>
      <c r="J36" s="57" t="s">
        <v>530</v>
      </c>
      <c r="K36" s="1" t="s">
        <v>450</v>
      </c>
      <c r="L36" s="1"/>
      <c r="M36" s="1"/>
      <c r="N36" s="1"/>
      <c r="O36" s="1"/>
      <c r="P36" s="1"/>
      <c r="Q36" s="1"/>
      <c r="R36" s="1"/>
      <c r="S36" s="1"/>
      <c r="T36" s="1"/>
      <c r="U36" s="39"/>
      <c r="V36" s="39"/>
      <c r="W36" s="39"/>
      <c r="X36" s="39"/>
      <c r="Y36" s="1"/>
      <c r="Z36" s="1"/>
      <c r="AA36" s="1"/>
      <c r="AB36" s="1"/>
      <c r="AC36" s="1"/>
      <c r="AD36" s="1"/>
      <c r="AE36" s="39"/>
      <c r="AF36" s="3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39"/>
      <c r="AW36" s="39"/>
      <c r="AX36" s="1"/>
      <c r="AY36" s="1"/>
      <c r="AZ36" s="1"/>
    </row>
    <row r="37" spans="1:52" x14ac:dyDescent="0.3">
      <c r="A37" s="22" t="s">
        <v>65</v>
      </c>
      <c r="B37" s="23" t="s">
        <v>66</v>
      </c>
      <c r="C37" s="53" t="s">
        <v>623</v>
      </c>
      <c r="D37" s="53" t="s">
        <v>450</v>
      </c>
      <c r="E37" s="53"/>
      <c r="F37" s="53" t="s">
        <v>820</v>
      </c>
      <c r="G37" s="53" t="s">
        <v>998</v>
      </c>
      <c r="H37" s="39" t="s">
        <v>450</v>
      </c>
      <c r="I37" s="39"/>
      <c r="J37" s="57" t="s">
        <v>498</v>
      </c>
      <c r="K37" s="1" t="s">
        <v>450</v>
      </c>
      <c r="L37" s="1"/>
      <c r="M37" s="1"/>
      <c r="N37" s="1"/>
      <c r="O37" s="1"/>
      <c r="P37" s="1"/>
      <c r="Q37" s="1"/>
      <c r="R37" s="1"/>
      <c r="S37" s="1" t="s">
        <v>498</v>
      </c>
      <c r="T37" s="1" t="s">
        <v>450</v>
      </c>
      <c r="U37" s="39"/>
      <c r="V37" s="39"/>
      <c r="W37" s="39"/>
      <c r="X37" s="39"/>
      <c r="Y37" s="1"/>
      <c r="Z37" s="1"/>
      <c r="AA37" s="1"/>
      <c r="AB37" s="1"/>
      <c r="AC37" s="1"/>
      <c r="AD37" s="1"/>
      <c r="AE37" s="39"/>
      <c r="AF37" s="3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39"/>
      <c r="AW37" s="39"/>
      <c r="AX37" s="1"/>
      <c r="AY37" s="1"/>
      <c r="AZ37" s="1"/>
    </row>
    <row r="38" spans="1:52" x14ac:dyDescent="0.3">
      <c r="A38" s="22" t="s">
        <v>67</v>
      </c>
      <c r="B38" s="23" t="s">
        <v>68</v>
      </c>
      <c r="C38" s="53" t="s">
        <v>624</v>
      </c>
      <c r="D38" s="53" t="s">
        <v>450</v>
      </c>
      <c r="E38" s="53"/>
      <c r="F38" s="53" t="s">
        <v>821</v>
      </c>
      <c r="G38" s="53" t="s">
        <v>998</v>
      </c>
      <c r="H38" s="39" t="s">
        <v>450</v>
      </c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39"/>
      <c r="V38" s="39"/>
      <c r="W38" s="39"/>
      <c r="X38" s="39"/>
      <c r="Y38" s="1"/>
      <c r="Z38" s="1"/>
      <c r="AA38" s="1"/>
      <c r="AB38" s="1"/>
      <c r="AC38" s="1"/>
      <c r="AD38" s="1"/>
      <c r="AE38" s="39"/>
      <c r="AF38" s="3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9"/>
      <c r="AW38" s="39"/>
      <c r="AX38" s="1"/>
      <c r="AY38" s="1"/>
      <c r="AZ38" s="1"/>
    </row>
    <row r="39" spans="1:52" x14ac:dyDescent="0.3">
      <c r="A39" s="13" t="s">
        <v>69</v>
      </c>
      <c r="B39" s="14" t="s">
        <v>70</v>
      </c>
      <c r="C39" s="53" t="s">
        <v>625</v>
      </c>
      <c r="D39" s="53" t="s">
        <v>450</v>
      </c>
      <c r="E39" s="53"/>
      <c r="F39" s="53" t="s">
        <v>822</v>
      </c>
      <c r="G39" s="53" t="s">
        <v>998</v>
      </c>
      <c r="H39" s="39" t="s">
        <v>544</v>
      </c>
      <c r="I39" s="39" t="s">
        <v>450</v>
      </c>
      <c r="J39" s="57" t="s">
        <v>471</v>
      </c>
      <c r="K39" s="1" t="s">
        <v>450</v>
      </c>
      <c r="L39" s="1"/>
      <c r="M39" s="1"/>
      <c r="N39" s="1"/>
      <c r="O39" s="1"/>
      <c r="P39" s="1"/>
      <c r="Q39" s="1"/>
      <c r="R39" s="1"/>
      <c r="S39" s="57" t="s">
        <v>471</v>
      </c>
      <c r="T39" s="1" t="s">
        <v>450</v>
      </c>
      <c r="U39" s="39"/>
      <c r="V39" s="39"/>
      <c r="W39" s="39"/>
      <c r="X39" s="39"/>
      <c r="Y39" s="1"/>
      <c r="Z39" s="1"/>
      <c r="AA39" s="1"/>
      <c r="AB39" s="1"/>
      <c r="AC39" s="1"/>
      <c r="AD39" s="1"/>
      <c r="AE39" s="39"/>
      <c r="AF39" s="3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39"/>
      <c r="AW39" s="39"/>
      <c r="AX39" s="1"/>
      <c r="AY39" s="1"/>
      <c r="AZ39" s="1"/>
    </row>
    <row r="40" spans="1:52" x14ac:dyDescent="0.3">
      <c r="A40" s="9" t="s">
        <v>71</v>
      </c>
      <c r="B40" s="10" t="s">
        <v>72</v>
      </c>
      <c r="C40" s="53" t="s">
        <v>626</v>
      </c>
      <c r="D40" s="53" t="s">
        <v>450</v>
      </c>
      <c r="E40" s="56"/>
      <c r="F40" s="53" t="s">
        <v>823</v>
      </c>
      <c r="G40" s="53" t="s">
        <v>998</v>
      </c>
      <c r="H40" s="57" t="s">
        <v>564</v>
      </c>
      <c r="I40" s="57" t="s">
        <v>565</v>
      </c>
      <c r="J40" s="57" t="s">
        <v>450</v>
      </c>
      <c r="K40" s="58" t="s">
        <v>563</v>
      </c>
      <c r="L40" s="58" t="s">
        <v>565</v>
      </c>
      <c r="M40" s="58" t="s">
        <v>565</v>
      </c>
      <c r="N40" s="58" t="s">
        <v>565</v>
      </c>
      <c r="O40" s="58" t="s">
        <v>566</v>
      </c>
      <c r="P40" s="1" t="s">
        <v>450</v>
      </c>
      <c r="Q40" s="58" t="s">
        <v>565</v>
      </c>
      <c r="R40" s="58" t="s">
        <v>565</v>
      </c>
      <c r="S40" s="58" t="s">
        <v>565</v>
      </c>
      <c r="T40" s="58" t="s">
        <v>449</v>
      </c>
      <c r="U40" s="57" t="s">
        <v>457</v>
      </c>
      <c r="V40" s="39" t="s">
        <v>450</v>
      </c>
      <c r="W40" s="57" t="s">
        <v>557</v>
      </c>
      <c r="X40" s="39" t="s">
        <v>450</v>
      </c>
      <c r="Y40" s="1"/>
      <c r="Z40" s="1"/>
      <c r="AA40" s="57" t="s">
        <v>456</v>
      </c>
      <c r="AB40" s="1" t="s">
        <v>450</v>
      </c>
      <c r="AC40" s="57" t="s">
        <v>456</v>
      </c>
      <c r="AD40" s="1" t="s">
        <v>450</v>
      </c>
      <c r="AE40" s="39"/>
      <c r="AF40" s="39"/>
      <c r="AG40" s="1"/>
      <c r="AH40" s="1"/>
      <c r="AI40" s="57" t="s">
        <v>557</v>
      </c>
      <c r="AJ40" s="1" t="s">
        <v>450</v>
      </c>
      <c r="AK40" s="1"/>
      <c r="AL40" s="57" t="s">
        <v>554</v>
      </c>
      <c r="AM40" s="1" t="s">
        <v>450</v>
      </c>
      <c r="AN40" s="57" t="s">
        <v>456</v>
      </c>
      <c r="AO40" s="1" t="s">
        <v>450</v>
      </c>
      <c r="AP40" s="1"/>
      <c r="AQ40" s="57" t="s">
        <v>456</v>
      </c>
      <c r="AR40" s="1" t="s">
        <v>450</v>
      </c>
      <c r="AS40" s="1"/>
      <c r="AT40" s="1"/>
      <c r="AU40" s="1"/>
      <c r="AV40" s="39"/>
      <c r="AW40" s="39"/>
      <c r="AX40" s="1"/>
      <c r="AY40" s="1"/>
      <c r="AZ40" s="1"/>
    </row>
    <row r="41" spans="1:52" x14ac:dyDescent="0.3">
      <c r="A41" s="2" t="s">
        <v>73</v>
      </c>
      <c r="B41" s="3" t="s">
        <v>74</v>
      </c>
      <c r="C41" s="53" t="s">
        <v>627</v>
      </c>
      <c r="D41" s="53" t="s">
        <v>450</v>
      </c>
      <c r="E41" s="53"/>
      <c r="F41" s="53" t="s">
        <v>824</v>
      </c>
      <c r="G41" s="53" t="s">
        <v>998</v>
      </c>
      <c r="H41" s="39" t="s">
        <v>450</v>
      </c>
      <c r="I41" s="39"/>
      <c r="J41" s="39"/>
      <c r="K41" s="1"/>
      <c r="L41" s="1"/>
      <c r="M41" s="1"/>
      <c r="N41" s="1"/>
      <c r="O41" s="1"/>
      <c r="P41" s="1"/>
      <c r="Q41" s="1"/>
      <c r="R41" s="1"/>
      <c r="S41" s="1"/>
      <c r="T41" s="1"/>
      <c r="U41" s="39"/>
      <c r="V41" s="39"/>
      <c r="W41" s="39"/>
      <c r="X41" s="39"/>
      <c r="Y41" s="1"/>
      <c r="Z41" s="1"/>
      <c r="AA41" s="1"/>
      <c r="AB41" s="1"/>
      <c r="AC41" s="1"/>
      <c r="AD41" s="1"/>
      <c r="AE41" s="39"/>
      <c r="AF41" s="3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39"/>
      <c r="AW41" s="39"/>
      <c r="AX41" s="1"/>
      <c r="AY41" s="1"/>
      <c r="AZ41" s="1"/>
    </row>
    <row r="42" spans="1:52" x14ac:dyDescent="0.3">
      <c r="A42" s="22" t="s">
        <v>75</v>
      </c>
      <c r="B42" s="23" t="s">
        <v>76</v>
      </c>
      <c r="C42" s="53" t="s">
        <v>628</v>
      </c>
      <c r="D42" s="53" t="s">
        <v>450</v>
      </c>
      <c r="E42" s="53"/>
      <c r="F42" s="53" t="s">
        <v>825</v>
      </c>
      <c r="G42" s="53" t="s">
        <v>998</v>
      </c>
      <c r="H42" s="39" t="s">
        <v>450</v>
      </c>
      <c r="I42" s="39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39"/>
      <c r="V42" s="39"/>
      <c r="W42" s="39"/>
      <c r="X42" s="39"/>
      <c r="Y42" s="1"/>
      <c r="Z42" s="1"/>
      <c r="AA42" s="1"/>
      <c r="AB42" s="1"/>
      <c r="AC42" s="1"/>
      <c r="AD42" s="1"/>
      <c r="AE42" s="39"/>
      <c r="AF42" s="3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39"/>
      <c r="AW42" s="39"/>
      <c r="AX42" s="1"/>
      <c r="AY42" s="1"/>
      <c r="AZ42" s="1"/>
    </row>
    <row r="43" spans="1:52" x14ac:dyDescent="0.3">
      <c r="A43" s="4" t="s">
        <v>77</v>
      </c>
      <c r="B43" s="5" t="s">
        <v>78</v>
      </c>
      <c r="C43" s="53" t="s">
        <v>629</v>
      </c>
      <c r="D43" s="53" t="s">
        <v>450</v>
      </c>
      <c r="E43" s="53"/>
      <c r="F43" s="53" t="s">
        <v>826</v>
      </c>
      <c r="G43" s="53" t="s">
        <v>998</v>
      </c>
      <c r="H43" s="39" t="s">
        <v>450</v>
      </c>
      <c r="I43" s="39"/>
      <c r="J43" s="39"/>
      <c r="K43" s="1"/>
      <c r="L43" s="1"/>
      <c r="M43" s="1"/>
      <c r="N43" s="1"/>
      <c r="O43" s="1"/>
      <c r="P43" s="1"/>
      <c r="Q43" s="1"/>
      <c r="R43" s="1"/>
      <c r="S43" s="1"/>
      <c r="T43" s="1"/>
      <c r="U43" s="39"/>
      <c r="V43" s="39"/>
      <c r="W43" s="39"/>
      <c r="X43" s="39"/>
      <c r="Y43" s="1"/>
      <c r="Z43" s="1"/>
      <c r="AA43" s="1"/>
      <c r="AB43" s="1"/>
      <c r="AC43" s="1"/>
      <c r="AD43" s="1"/>
      <c r="AE43" s="39"/>
      <c r="AF43" s="3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9"/>
      <c r="AW43" s="39"/>
      <c r="AX43" s="1"/>
      <c r="AY43" s="1"/>
      <c r="AZ43" s="1"/>
    </row>
    <row r="44" spans="1:52" x14ac:dyDescent="0.3">
      <c r="A44" s="22" t="s">
        <v>79</v>
      </c>
      <c r="B44" s="23" t="s">
        <v>80</v>
      </c>
      <c r="C44" s="53" t="s">
        <v>630</v>
      </c>
      <c r="D44" s="53" t="s">
        <v>450</v>
      </c>
      <c r="E44" s="53"/>
      <c r="F44" s="53" t="s">
        <v>827</v>
      </c>
      <c r="G44" s="53" t="s">
        <v>998</v>
      </c>
      <c r="H44" s="39" t="s">
        <v>450</v>
      </c>
      <c r="I44" s="39"/>
      <c r="J44" s="39"/>
      <c r="K44" s="1"/>
      <c r="L44" s="1"/>
      <c r="M44" s="1"/>
      <c r="N44" s="1"/>
      <c r="O44" s="1"/>
      <c r="P44" s="1"/>
      <c r="Q44" s="1"/>
      <c r="R44" s="1"/>
      <c r="S44" s="61" t="s">
        <v>493</v>
      </c>
      <c r="T44" s="1" t="s">
        <v>450</v>
      </c>
      <c r="U44" s="39"/>
      <c r="V44" s="39"/>
      <c r="W44" s="39"/>
      <c r="X44" s="39"/>
      <c r="Y44" s="1"/>
      <c r="Z44" s="1"/>
      <c r="AA44" s="1"/>
      <c r="AB44" s="1"/>
      <c r="AC44" s="1"/>
      <c r="AD44" s="1"/>
      <c r="AE44" s="39"/>
      <c r="AF44" s="3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39"/>
      <c r="AW44" s="39"/>
      <c r="AX44" s="1"/>
      <c r="AY44" s="1"/>
      <c r="AZ44" s="1"/>
    </row>
    <row r="45" spans="1:52" x14ac:dyDescent="0.3">
      <c r="A45" s="2" t="s">
        <v>81</v>
      </c>
      <c r="B45" s="3" t="s">
        <v>82</v>
      </c>
      <c r="C45" s="53" t="s">
        <v>631</v>
      </c>
      <c r="D45" s="53" t="s">
        <v>450</v>
      </c>
      <c r="E45" s="53"/>
      <c r="F45" s="53" t="s">
        <v>828</v>
      </c>
      <c r="G45" s="53" t="s">
        <v>998</v>
      </c>
      <c r="H45" s="39" t="s">
        <v>450</v>
      </c>
      <c r="I45" s="39"/>
      <c r="J45" s="39"/>
      <c r="K45" s="1"/>
      <c r="L45" s="1"/>
      <c r="M45" s="1"/>
      <c r="N45" s="1"/>
      <c r="O45" s="1"/>
      <c r="P45" s="1"/>
      <c r="Q45" s="1"/>
      <c r="R45" s="1"/>
      <c r="S45" s="1"/>
      <c r="T45" s="1"/>
      <c r="U45" s="39"/>
      <c r="V45" s="39"/>
      <c r="W45" s="39"/>
      <c r="X45" s="39"/>
      <c r="Y45" s="1"/>
      <c r="Z45" s="1"/>
      <c r="AA45" s="1"/>
      <c r="AB45" s="1"/>
      <c r="AC45" s="1"/>
      <c r="AD45" s="1"/>
      <c r="AE45" s="39"/>
      <c r="AF45" s="3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39"/>
      <c r="AW45" s="39"/>
      <c r="AX45" s="1"/>
      <c r="AY45" s="1"/>
      <c r="AZ45" s="1"/>
    </row>
    <row r="46" spans="1:52" x14ac:dyDescent="0.3">
      <c r="A46" s="2" t="s">
        <v>83</v>
      </c>
      <c r="B46" s="3" t="s">
        <v>84</v>
      </c>
      <c r="C46" s="53" t="s">
        <v>632</v>
      </c>
      <c r="D46" s="53" t="s">
        <v>450</v>
      </c>
      <c r="E46" s="53"/>
      <c r="F46" s="53" t="s">
        <v>829</v>
      </c>
      <c r="G46" s="53" t="s">
        <v>998</v>
      </c>
      <c r="H46" s="39" t="s">
        <v>450</v>
      </c>
      <c r="I46" s="39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39"/>
      <c r="V46" s="39"/>
      <c r="W46" s="39"/>
      <c r="X46" s="39"/>
      <c r="Y46" s="1"/>
      <c r="Z46" s="1"/>
      <c r="AA46" s="1"/>
      <c r="AB46" s="1"/>
      <c r="AC46" s="1"/>
      <c r="AD46" s="1"/>
      <c r="AE46" s="39"/>
      <c r="AF46" s="3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9"/>
      <c r="AW46" s="39"/>
      <c r="AX46" s="1"/>
      <c r="AY46" s="1"/>
      <c r="AZ46" s="1"/>
    </row>
    <row r="47" spans="1:52" x14ac:dyDescent="0.3">
      <c r="A47" s="2" t="s">
        <v>85</v>
      </c>
      <c r="B47" s="3" t="s">
        <v>86</v>
      </c>
      <c r="C47" s="53" t="s">
        <v>633</v>
      </c>
      <c r="D47" s="53" t="s">
        <v>450</v>
      </c>
      <c r="E47" s="53"/>
      <c r="F47" s="53" t="s">
        <v>830</v>
      </c>
      <c r="G47" s="53" t="s">
        <v>998</v>
      </c>
      <c r="H47" s="57" t="s">
        <v>480</v>
      </c>
      <c r="I47" s="39" t="s">
        <v>450</v>
      </c>
      <c r="J47" s="57" t="s">
        <v>480</v>
      </c>
      <c r="K47" s="1" t="s">
        <v>450</v>
      </c>
      <c r="L47" s="1"/>
      <c r="M47" s="1"/>
      <c r="N47" s="1"/>
      <c r="O47" s="1"/>
      <c r="P47" s="1"/>
      <c r="Q47" s="1"/>
      <c r="R47" s="1"/>
      <c r="S47" s="1" t="s">
        <v>480</v>
      </c>
      <c r="T47" s="1" t="s">
        <v>480</v>
      </c>
      <c r="U47" s="39" t="s">
        <v>450</v>
      </c>
      <c r="V47" s="39"/>
      <c r="W47" s="39"/>
      <c r="X47" s="39"/>
      <c r="Y47" s="1"/>
      <c r="Z47" s="1"/>
      <c r="AA47" s="1"/>
      <c r="AB47" s="1"/>
      <c r="AC47" s="1"/>
      <c r="AD47" s="1"/>
      <c r="AE47" s="39"/>
      <c r="AF47" s="3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39"/>
      <c r="AW47" s="39"/>
      <c r="AX47" s="1"/>
      <c r="AY47" s="1"/>
      <c r="AZ47" s="1"/>
    </row>
    <row r="48" spans="1:52" x14ac:dyDescent="0.3">
      <c r="A48" s="2" t="s">
        <v>87</v>
      </c>
      <c r="B48" s="3" t="s">
        <v>88</v>
      </c>
      <c r="C48" s="53" t="s">
        <v>634</v>
      </c>
      <c r="D48" s="53" t="s">
        <v>450</v>
      </c>
      <c r="E48" s="53"/>
      <c r="F48" s="53" t="s">
        <v>831</v>
      </c>
      <c r="G48" s="53" t="s">
        <v>998</v>
      </c>
      <c r="H48" s="39" t="s">
        <v>450</v>
      </c>
      <c r="I48" s="39"/>
      <c r="J48" s="57" t="s">
        <v>518</v>
      </c>
      <c r="K48" s="1" t="s">
        <v>450</v>
      </c>
      <c r="L48" s="1"/>
      <c r="M48" s="1"/>
      <c r="N48" s="1"/>
      <c r="O48" s="1"/>
      <c r="P48" s="1"/>
      <c r="Q48" s="1"/>
      <c r="R48" s="1"/>
      <c r="S48" s="1"/>
      <c r="T48" s="1"/>
      <c r="U48" s="39"/>
      <c r="V48" s="39"/>
      <c r="W48" s="39"/>
      <c r="X48" s="39"/>
      <c r="Y48" s="1"/>
      <c r="Z48" s="1"/>
      <c r="AA48" s="1"/>
      <c r="AB48" s="1"/>
      <c r="AC48" s="1"/>
      <c r="AD48" s="1"/>
      <c r="AE48" s="39"/>
      <c r="AF48" s="3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39"/>
      <c r="AW48" s="39"/>
      <c r="AX48" s="1"/>
      <c r="AY48" s="1"/>
      <c r="AZ48" s="1"/>
    </row>
    <row r="49" spans="1:52" x14ac:dyDescent="0.3">
      <c r="A49" s="13" t="s">
        <v>89</v>
      </c>
      <c r="B49" s="14" t="s">
        <v>90</v>
      </c>
      <c r="C49" s="53" t="s">
        <v>635</v>
      </c>
      <c r="D49" s="53" t="s">
        <v>450</v>
      </c>
      <c r="E49" s="53"/>
      <c r="F49" s="53" t="s">
        <v>832</v>
      </c>
      <c r="G49" s="53" t="s">
        <v>998</v>
      </c>
      <c r="H49" s="39" t="s">
        <v>544</v>
      </c>
      <c r="I49" s="39" t="s">
        <v>450</v>
      </c>
      <c r="J49" s="57" t="s">
        <v>567</v>
      </c>
      <c r="K49" s="1" t="s">
        <v>450</v>
      </c>
      <c r="L49" s="1"/>
      <c r="M49" s="1"/>
      <c r="N49" s="1"/>
      <c r="O49" s="1"/>
      <c r="P49" s="1"/>
      <c r="Q49" s="61" t="s">
        <v>567</v>
      </c>
      <c r="R49" s="1" t="s">
        <v>450</v>
      </c>
      <c r="S49" s="1"/>
      <c r="T49" s="1"/>
      <c r="U49" s="39"/>
      <c r="V49" s="39"/>
      <c r="W49" s="39"/>
      <c r="X49" s="39"/>
      <c r="Y49" s="1"/>
      <c r="Z49" s="1"/>
      <c r="AA49" s="1"/>
      <c r="AB49" s="1"/>
      <c r="AC49" s="1"/>
      <c r="AD49" s="1"/>
      <c r="AE49" s="39"/>
      <c r="AF49" s="3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39"/>
      <c r="AW49" s="39"/>
      <c r="AX49" s="1"/>
      <c r="AY49" s="1"/>
      <c r="AZ49" s="1"/>
    </row>
    <row r="50" spans="1:52" x14ac:dyDescent="0.3">
      <c r="A50" s="9" t="s">
        <v>91</v>
      </c>
      <c r="B50" s="10" t="s">
        <v>92</v>
      </c>
      <c r="C50" s="53" t="s">
        <v>636</v>
      </c>
      <c r="D50" s="53" t="s">
        <v>450</v>
      </c>
      <c r="E50" s="53"/>
      <c r="F50" s="53" t="s">
        <v>833</v>
      </c>
      <c r="G50" s="53" t="s">
        <v>998</v>
      </c>
      <c r="H50" s="39" t="s">
        <v>544</v>
      </c>
      <c r="I50" s="39" t="s">
        <v>450</v>
      </c>
      <c r="J50" s="39"/>
      <c r="K50" s="61" t="s">
        <v>460</v>
      </c>
      <c r="L50" s="1" t="s">
        <v>450</v>
      </c>
      <c r="M50" s="1"/>
      <c r="N50" s="1"/>
      <c r="O50" s="1"/>
      <c r="P50" s="1"/>
      <c r="Q50" s="1"/>
      <c r="R50" s="1"/>
      <c r="S50" s="1" t="s">
        <v>460</v>
      </c>
      <c r="T50" s="1" t="s">
        <v>450</v>
      </c>
      <c r="U50" s="39"/>
      <c r="V50" s="39"/>
      <c r="W50" s="39"/>
      <c r="X50" s="39"/>
      <c r="Y50" s="61" t="s">
        <v>552</v>
      </c>
      <c r="Z50" s="1" t="s">
        <v>552</v>
      </c>
      <c r="AA50" s="1" t="s">
        <v>450</v>
      </c>
      <c r="AB50" s="1"/>
      <c r="AC50" s="1"/>
      <c r="AD50" s="1"/>
      <c r="AE50" s="39"/>
      <c r="AF50" s="3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39"/>
      <c r="AW50" s="39"/>
      <c r="AX50" s="1"/>
      <c r="AY50" s="1"/>
      <c r="AZ50" s="1"/>
    </row>
    <row r="51" spans="1:52" x14ac:dyDescent="0.3">
      <c r="A51" s="2" t="s">
        <v>93</v>
      </c>
      <c r="B51" s="3" t="s">
        <v>94</v>
      </c>
      <c r="C51" s="53" t="s">
        <v>637</v>
      </c>
      <c r="D51" s="53" t="s">
        <v>450</v>
      </c>
      <c r="E51" s="53"/>
      <c r="F51" s="53" t="s">
        <v>834</v>
      </c>
      <c r="G51" s="53" t="s">
        <v>998</v>
      </c>
      <c r="H51" s="39" t="s">
        <v>450</v>
      </c>
      <c r="I51" s="39"/>
      <c r="J51" s="57" t="s">
        <v>520</v>
      </c>
      <c r="K51" s="1" t="s">
        <v>450</v>
      </c>
      <c r="L51" s="1"/>
      <c r="M51" s="1"/>
      <c r="N51" s="1"/>
      <c r="O51" s="1"/>
      <c r="P51" s="1"/>
      <c r="Q51" s="1"/>
      <c r="R51" s="1"/>
      <c r="S51" s="1" t="s">
        <v>520</v>
      </c>
      <c r="T51" s="1" t="s">
        <v>450</v>
      </c>
      <c r="U51" s="39"/>
      <c r="V51" s="39"/>
      <c r="W51" s="39"/>
      <c r="X51" s="39"/>
      <c r="Y51" s="1"/>
      <c r="Z51" s="1"/>
      <c r="AA51" s="1"/>
      <c r="AB51" s="1"/>
      <c r="AC51" s="1"/>
      <c r="AD51" s="1"/>
      <c r="AE51" s="39"/>
      <c r="AF51" s="39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9"/>
      <c r="AW51" s="39"/>
      <c r="AX51" s="1"/>
      <c r="AY51" s="1"/>
      <c r="AZ51" s="1"/>
    </row>
    <row r="52" spans="1:52" x14ac:dyDescent="0.3">
      <c r="A52" s="2" t="s">
        <v>95</v>
      </c>
      <c r="B52" s="3" t="s">
        <v>96</v>
      </c>
      <c r="C52" s="53" t="s">
        <v>638</v>
      </c>
      <c r="D52" s="53" t="s">
        <v>450</v>
      </c>
      <c r="E52" s="53"/>
      <c r="F52" s="53" t="s">
        <v>835</v>
      </c>
      <c r="G52" s="53" t="s">
        <v>998</v>
      </c>
      <c r="H52" s="39" t="s">
        <v>450</v>
      </c>
      <c r="I52" s="39"/>
      <c r="J52" s="57" t="s">
        <v>519</v>
      </c>
      <c r="K52" s="1" t="s">
        <v>450</v>
      </c>
      <c r="L52" s="1"/>
      <c r="M52" s="1"/>
      <c r="N52" s="1"/>
      <c r="O52" s="1"/>
      <c r="P52" s="1"/>
      <c r="Q52" s="1"/>
      <c r="R52" s="1"/>
      <c r="S52" s="1"/>
      <c r="T52" s="1"/>
      <c r="U52" s="39"/>
      <c r="V52" s="39"/>
      <c r="W52" s="39"/>
      <c r="X52" s="39"/>
      <c r="Y52" s="1"/>
      <c r="Z52" s="1"/>
      <c r="AA52" s="1"/>
      <c r="AB52" s="1"/>
      <c r="AC52" s="1"/>
      <c r="AD52" s="1"/>
      <c r="AE52" s="39"/>
      <c r="AF52" s="39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39"/>
      <c r="AW52" s="39"/>
      <c r="AX52" s="1"/>
      <c r="AY52" s="1"/>
      <c r="AZ52" s="1"/>
    </row>
    <row r="53" spans="1:52" x14ac:dyDescent="0.3">
      <c r="A53" s="2" t="s">
        <v>97</v>
      </c>
      <c r="B53" s="3" t="s">
        <v>98</v>
      </c>
      <c r="C53" s="53" t="s">
        <v>639</v>
      </c>
      <c r="D53" s="53" t="s">
        <v>450</v>
      </c>
      <c r="E53" s="53"/>
      <c r="F53" s="53" t="s">
        <v>836</v>
      </c>
      <c r="G53" s="53" t="s">
        <v>998</v>
      </c>
      <c r="H53" s="39" t="s">
        <v>450</v>
      </c>
      <c r="I53" s="39"/>
      <c r="J53" s="39"/>
      <c r="K53" s="1"/>
      <c r="L53" s="1"/>
      <c r="M53" s="1"/>
      <c r="N53" s="1"/>
      <c r="O53" s="1"/>
      <c r="P53" s="1"/>
      <c r="Q53" s="1"/>
      <c r="R53" s="1"/>
      <c r="S53" s="61" t="s">
        <v>508</v>
      </c>
      <c r="T53" s="1" t="s">
        <v>450</v>
      </c>
      <c r="U53" s="39"/>
      <c r="V53" s="39"/>
      <c r="W53" s="39"/>
      <c r="X53" s="39"/>
      <c r="Y53" s="1"/>
      <c r="Z53" s="1"/>
      <c r="AA53" s="1"/>
      <c r="AB53" s="1"/>
      <c r="AC53" s="1"/>
      <c r="AD53" s="1"/>
      <c r="AE53" s="39"/>
      <c r="AF53" s="3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9"/>
      <c r="AW53" s="39"/>
      <c r="AX53" s="1"/>
      <c r="AY53" s="1"/>
      <c r="AZ53" s="1"/>
    </row>
    <row r="54" spans="1:52" x14ac:dyDescent="0.3">
      <c r="A54" s="24" t="s">
        <v>99</v>
      </c>
      <c r="B54" s="25" t="s">
        <v>100</v>
      </c>
      <c r="C54" s="53" t="s">
        <v>640</v>
      </c>
      <c r="D54" s="53" t="s">
        <v>450</v>
      </c>
      <c r="E54" s="53"/>
      <c r="F54" s="53" t="s">
        <v>837</v>
      </c>
      <c r="G54" s="53" t="s">
        <v>998</v>
      </c>
      <c r="H54" s="57" t="s">
        <v>502</v>
      </c>
      <c r="I54" s="39" t="s">
        <v>450</v>
      </c>
      <c r="J54" s="39" t="s">
        <v>502</v>
      </c>
      <c r="K54" s="1" t="s">
        <v>502</v>
      </c>
      <c r="L54" s="1" t="s">
        <v>450</v>
      </c>
      <c r="M54" s="1"/>
      <c r="N54" s="1"/>
      <c r="O54" s="1"/>
      <c r="P54" s="1"/>
      <c r="Q54" s="1"/>
      <c r="R54" s="1"/>
      <c r="S54" s="1" t="s">
        <v>502</v>
      </c>
      <c r="T54" s="1" t="s">
        <v>450</v>
      </c>
      <c r="U54" s="39"/>
      <c r="V54" s="39"/>
      <c r="W54" s="39"/>
      <c r="X54" s="39"/>
      <c r="Y54" s="1"/>
      <c r="Z54" s="1"/>
      <c r="AA54" s="1"/>
      <c r="AB54" s="1"/>
      <c r="AC54" s="1"/>
      <c r="AD54" s="1"/>
      <c r="AE54" s="39"/>
      <c r="AF54" s="3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9"/>
      <c r="AW54" s="39"/>
      <c r="AX54" s="1"/>
      <c r="AY54" s="1"/>
      <c r="AZ54" s="1"/>
    </row>
    <row r="55" spans="1:52" x14ac:dyDescent="0.3">
      <c r="A55" s="2" t="s">
        <v>101</v>
      </c>
      <c r="B55" s="3" t="s">
        <v>102</v>
      </c>
      <c r="C55" s="53" t="s">
        <v>641</v>
      </c>
      <c r="D55" s="53" t="s">
        <v>450</v>
      </c>
      <c r="E55" s="53"/>
      <c r="F55" s="53" t="s">
        <v>838</v>
      </c>
      <c r="G55" s="53" t="s">
        <v>998</v>
      </c>
      <c r="H55" s="39" t="s">
        <v>450</v>
      </c>
      <c r="I55" s="39"/>
      <c r="J55" s="39"/>
      <c r="K55" s="1"/>
      <c r="L55" s="1"/>
      <c r="M55" s="1"/>
      <c r="N55" s="1"/>
      <c r="O55" s="1"/>
      <c r="P55" s="1"/>
      <c r="Q55" s="1"/>
      <c r="R55" s="1"/>
      <c r="S55" s="61" t="s">
        <v>521</v>
      </c>
      <c r="T55" s="1" t="s">
        <v>450</v>
      </c>
      <c r="U55" s="39"/>
      <c r="V55" s="39"/>
      <c r="W55" s="39"/>
      <c r="X55" s="39"/>
      <c r="Y55" s="1"/>
      <c r="Z55" s="1"/>
      <c r="AA55" s="1"/>
      <c r="AB55" s="1"/>
      <c r="AC55" s="1"/>
      <c r="AD55" s="1"/>
      <c r="AE55" s="39"/>
      <c r="AF55" s="3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9"/>
      <c r="AW55" s="39"/>
      <c r="AX55" s="1"/>
      <c r="AY55" s="1"/>
      <c r="AZ55" s="1"/>
    </row>
    <row r="56" spans="1:52" x14ac:dyDescent="0.3">
      <c r="A56" s="17" t="s">
        <v>103</v>
      </c>
      <c r="B56" s="18" t="s">
        <v>104</v>
      </c>
      <c r="C56" s="53" t="s">
        <v>642</v>
      </c>
      <c r="D56" s="53" t="s">
        <v>450</v>
      </c>
      <c r="E56" s="53"/>
      <c r="F56" s="53" t="s">
        <v>839</v>
      </c>
      <c r="G56" s="53" t="s">
        <v>998</v>
      </c>
      <c r="H56" s="39" t="s">
        <v>544</v>
      </c>
      <c r="I56" s="39" t="s">
        <v>450</v>
      </c>
      <c r="J56" s="39"/>
      <c r="K56" s="1"/>
      <c r="L56" s="1"/>
      <c r="M56" s="1"/>
      <c r="N56" s="1"/>
      <c r="O56" s="1"/>
      <c r="P56" s="1"/>
      <c r="Q56" s="1"/>
      <c r="R56" s="1"/>
      <c r="S56" s="1"/>
      <c r="T56" s="1"/>
      <c r="U56" s="39"/>
      <c r="V56" s="39"/>
      <c r="W56" s="39"/>
      <c r="X56" s="39"/>
      <c r="Y56" s="1"/>
      <c r="Z56" s="1"/>
      <c r="AA56" s="1"/>
      <c r="AB56" s="1"/>
      <c r="AC56" s="1"/>
      <c r="AD56" s="1"/>
      <c r="AE56" s="39"/>
      <c r="AF56" s="39"/>
      <c r="AG56" s="1"/>
      <c r="AH56" s="1"/>
      <c r="AI56" s="1"/>
      <c r="AJ56" s="1"/>
      <c r="AK56" s="1"/>
      <c r="AL56" s="1" t="s">
        <v>486</v>
      </c>
      <c r="AM56" s="1" t="s">
        <v>450</v>
      </c>
      <c r="AN56" s="1"/>
      <c r="AO56" s="1"/>
      <c r="AP56" s="1" t="s">
        <v>486</v>
      </c>
      <c r="AQ56" s="1" t="s">
        <v>450</v>
      </c>
      <c r="AR56" s="1"/>
      <c r="AS56" s="1"/>
      <c r="AT56" s="1" t="s">
        <v>486</v>
      </c>
      <c r="AU56" s="1" t="s">
        <v>450</v>
      </c>
      <c r="AV56" s="39" t="s">
        <v>486</v>
      </c>
      <c r="AW56" s="39" t="s">
        <v>450</v>
      </c>
      <c r="AX56" s="1"/>
      <c r="AY56" s="1"/>
      <c r="AZ56" s="1"/>
    </row>
    <row r="57" spans="1:52" x14ac:dyDescent="0.3">
      <c r="A57" s="22" t="s">
        <v>105</v>
      </c>
      <c r="B57" s="23" t="s">
        <v>106</v>
      </c>
      <c r="C57" s="53" t="s">
        <v>643</v>
      </c>
      <c r="D57" s="53" t="s">
        <v>450</v>
      </c>
      <c r="E57" s="53"/>
      <c r="F57" s="53" t="s">
        <v>840</v>
      </c>
      <c r="G57" s="53" t="s">
        <v>998</v>
      </c>
      <c r="H57" s="39" t="s">
        <v>450</v>
      </c>
      <c r="I57" s="39"/>
      <c r="J57" s="57" t="s">
        <v>522</v>
      </c>
      <c r="K57" s="1" t="s">
        <v>522</v>
      </c>
      <c r="L57" s="1" t="s">
        <v>450</v>
      </c>
      <c r="M57" s="1"/>
      <c r="N57" s="1"/>
      <c r="O57" s="1"/>
      <c r="P57" s="1"/>
      <c r="Q57" s="1"/>
      <c r="R57" s="1"/>
      <c r="S57" s="1" t="s">
        <v>522</v>
      </c>
      <c r="T57" s="1" t="s">
        <v>450</v>
      </c>
      <c r="U57" s="39"/>
      <c r="V57" s="39"/>
      <c r="W57" s="39"/>
      <c r="X57" s="39"/>
      <c r="Y57" s="1"/>
      <c r="Z57" s="1"/>
      <c r="AA57" s="1"/>
      <c r="AB57" s="1"/>
      <c r="AC57" s="1"/>
      <c r="AD57" s="1"/>
      <c r="AE57" s="39"/>
      <c r="AF57" s="3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39"/>
      <c r="AW57" s="39"/>
      <c r="AX57" s="1"/>
      <c r="AY57" s="1"/>
      <c r="AZ57" s="1"/>
    </row>
    <row r="58" spans="1:52" x14ac:dyDescent="0.3">
      <c r="A58" s="2" t="s">
        <v>107</v>
      </c>
      <c r="B58" s="3" t="s">
        <v>108</v>
      </c>
      <c r="C58" s="53" t="s">
        <v>644</v>
      </c>
      <c r="D58" s="53" t="s">
        <v>450</v>
      </c>
      <c r="E58" s="53"/>
      <c r="F58" s="53" t="s">
        <v>841</v>
      </c>
      <c r="G58" s="53" t="s">
        <v>998</v>
      </c>
      <c r="H58" s="39" t="s">
        <v>450</v>
      </c>
      <c r="I58" s="39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39"/>
      <c r="V58" s="39"/>
      <c r="W58" s="39"/>
      <c r="X58" s="39"/>
      <c r="Y58" s="1"/>
      <c r="Z58" s="1"/>
      <c r="AA58" s="1"/>
      <c r="AB58" s="1"/>
      <c r="AC58" s="1"/>
      <c r="AD58" s="1"/>
      <c r="AE58" s="39"/>
      <c r="AF58" s="39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9"/>
      <c r="AW58" s="39"/>
      <c r="AX58" s="1"/>
      <c r="AY58" s="1"/>
      <c r="AZ58" s="1"/>
    </row>
    <row r="59" spans="1:52" x14ac:dyDescent="0.3">
      <c r="A59" s="2" t="s">
        <v>109</v>
      </c>
      <c r="B59" s="3" t="s">
        <v>110</v>
      </c>
      <c r="C59" s="53" t="s">
        <v>645</v>
      </c>
      <c r="D59" s="53" t="s">
        <v>450</v>
      </c>
      <c r="E59" s="53"/>
      <c r="F59" s="53" t="s">
        <v>842</v>
      </c>
      <c r="G59" s="53" t="s">
        <v>998</v>
      </c>
      <c r="H59" s="39" t="s">
        <v>450</v>
      </c>
      <c r="I59" s="39"/>
      <c r="J59" s="39"/>
      <c r="K59" s="1"/>
      <c r="L59" s="1"/>
      <c r="M59" s="1"/>
      <c r="N59" s="1"/>
      <c r="O59" s="1"/>
      <c r="P59" s="1"/>
      <c r="Q59" s="1"/>
      <c r="R59" s="1"/>
      <c r="S59" s="1"/>
      <c r="T59" s="1"/>
      <c r="U59" s="39"/>
      <c r="V59" s="39"/>
      <c r="W59" s="39"/>
      <c r="X59" s="39"/>
      <c r="Y59" s="1"/>
      <c r="Z59" s="1"/>
      <c r="AA59" s="1"/>
      <c r="AB59" s="1"/>
      <c r="AC59" s="1"/>
      <c r="AD59" s="1"/>
      <c r="AE59" s="39"/>
      <c r="AF59" s="39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39"/>
      <c r="AW59" s="39"/>
      <c r="AX59" s="1"/>
      <c r="AY59" s="1"/>
      <c r="AZ59" s="1"/>
    </row>
    <row r="60" spans="1:52" x14ac:dyDescent="0.3">
      <c r="A60" s="2" t="s">
        <v>111</v>
      </c>
      <c r="B60" s="3" t="s">
        <v>112</v>
      </c>
      <c r="C60" s="53" t="s">
        <v>646</v>
      </c>
      <c r="D60" s="53" t="s">
        <v>450</v>
      </c>
      <c r="E60" s="53"/>
      <c r="F60" s="53" t="s">
        <v>843</v>
      </c>
      <c r="G60" s="53" t="s">
        <v>998</v>
      </c>
      <c r="H60" s="39" t="s">
        <v>450</v>
      </c>
      <c r="I60" s="39"/>
      <c r="J60" s="57" t="s">
        <v>531</v>
      </c>
      <c r="K60" s="1" t="s">
        <v>531</v>
      </c>
      <c r="L60" s="1" t="s">
        <v>450</v>
      </c>
      <c r="M60" s="1"/>
      <c r="N60" s="1"/>
      <c r="O60" s="1"/>
      <c r="P60" s="1"/>
      <c r="Q60" s="1"/>
      <c r="R60" s="1"/>
      <c r="S60" s="1" t="s">
        <v>531</v>
      </c>
      <c r="T60" s="1" t="s">
        <v>450</v>
      </c>
      <c r="U60" s="39"/>
      <c r="V60" s="39"/>
      <c r="W60" s="39"/>
      <c r="X60" s="39"/>
      <c r="Y60" s="1"/>
      <c r="Z60" s="1"/>
      <c r="AA60" s="1"/>
      <c r="AB60" s="1"/>
      <c r="AC60" s="1"/>
      <c r="AD60" s="1"/>
      <c r="AE60" s="39"/>
      <c r="AF60" s="39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9" t="s">
        <v>531</v>
      </c>
      <c r="AW60" s="39" t="s">
        <v>450</v>
      </c>
      <c r="AX60" s="1"/>
      <c r="AY60" s="1"/>
      <c r="AZ60" s="1"/>
    </row>
    <row r="61" spans="1:52" x14ac:dyDescent="0.3">
      <c r="A61" s="2" t="s">
        <v>113</v>
      </c>
      <c r="B61" s="5" t="s">
        <v>114</v>
      </c>
      <c r="C61" s="53" t="s">
        <v>647</v>
      </c>
      <c r="D61" s="53" t="s">
        <v>450</v>
      </c>
      <c r="E61" s="53"/>
      <c r="F61" s="53" t="s">
        <v>844</v>
      </c>
      <c r="G61" s="53" t="s">
        <v>998</v>
      </c>
      <c r="H61" s="39" t="s">
        <v>450</v>
      </c>
      <c r="I61" s="39"/>
      <c r="J61" s="57" t="s">
        <v>524</v>
      </c>
      <c r="K61" s="1" t="s">
        <v>450</v>
      </c>
      <c r="L61" s="1"/>
      <c r="M61" s="1"/>
      <c r="N61" s="1"/>
      <c r="O61" s="1"/>
      <c r="P61" s="1"/>
      <c r="Q61" s="1"/>
      <c r="R61" s="1"/>
      <c r="S61" s="1" t="s">
        <v>523</v>
      </c>
      <c r="T61" s="1" t="s">
        <v>450</v>
      </c>
      <c r="U61" s="39"/>
      <c r="V61" s="39"/>
      <c r="W61" s="39"/>
      <c r="X61" s="39"/>
      <c r="Y61" s="1"/>
      <c r="Z61" s="1"/>
      <c r="AA61" s="1"/>
      <c r="AB61" s="1"/>
      <c r="AC61" s="1"/>
      <c r="AD61" s="1"/>
      <c r="AE61" s="39"/>
      <c r="AF61" s="39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9"/>
      <c r="AW61" s="39"/>
      <c r="AX61" s="1"/>
      <c r="AY61" s="1"/>
      <c r="AZ61" s="1"/>
    </row>
    <row r="62" spans="1:52" x14ac:dyDescent="0.3">
      <c r="A62" s="22" t="s">
        <v>115</v>
      </c>
      <c r="B62" s="23" t="s">
        <v>116</v>
      </c>
      <c r="C62" s="53" t="s">
        <v>648</v>
      </c>
      <c r="D62" s="53" t="s">
        <v>450</v>
      </c>
      <c r="E62" s="53"/>
      <c r="F62" s="53" t="s">
        <v>845</v>
      </c>
      <c r="G62" s="53" t="s">
        <v>998</v>
      </c>
      <c r="H62" s="39" t="s">
        <v>450</v>
      </c>
      <c r="I62" s="39"/>
      <c r="J62" s="57" t="s">
        <v>497</v>
      </c>
      <c r="K62" s="1" t="s">
        <v>450</v>
      </c>
      <c r="L62" s="1"/>
      <c r="M62" s="1"/>
      <c r="N62" s="1"/>
      <c r="O62" s="1"/>
      <c r="P62" s="1"/>
      <c r="Q62" s="1"/>
      <c r="R62" s="1"/>
      <c r="S62" s="1" t="s">
        <v>497</v>
      </c>
      <c r="T62" s="1" t="s">
        <v>450</v>
      </c>
      <c r="U62" s="39"/>
      <c r="V62" s="39"/>
      <c r="W62" s="39"/>
      <c r="X62" s="39"/>
      <c r="Y62" s="1"/>
      <c r="Z62" s="1"/>
      <c r="AA62" s="1"/>
      <c r="AB62" s="1"/>
      <c r="AC62" s="1"/>
      <c r="AD62" s="1"/>
      <c r="AE62" s="39"/>
      <c r="AF62" s="39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9"/>
      <c r="AW62" s="39"/>
      <c r="AX62" s="1"/>
      <c r="AY62" s="1"/>
      <c r="AZ62" s="1"/>
    </row>
    <row r="63" spans="1:52" x14ac:dyDescent="0.3">
      <c r="A63" s="13" t="s">
        <v>117</v>
      </c>
      <c r="B63" s="14" t="s">
        <v>118</v>
      </c>
      <c r="C63" s="53" t="s">
        <v>649</v>
      </c>
      <c r="D63" s="53" t="s">
        <v>450</v>
      </c>
      <c r="E63" s="53"/>
      <c r="F63" s="53" t="s">
        <v>846</v>
      </c>
      <c r="G63" s="53" t="s">
        <v>998</v>
      </c>
      <c r="H63" s="39" t="s">
        <v>450</v>
      </c>
      <c r="I63" s="39"/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39"/>
      <c r="V63" s="39"/>
      <c r="W63" s="39"/>
      <c r="X63" s="39"/>
      <c r="Y63" s="1"/>
      <c r="Z63" s="1"/>
      <c r="AA63" s="1"/>
      <c r="AB63" s="1"/>
      <c r="AC63" s="1"/>
      <c r="AD63" s="1"/>
      <c r="AE63" s="39"/>
      <c r="AF63" s="3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9"/>
      <c r="AW63" s="39"/>
      <c r="AX63" s="1"/>
      <c r="AY63" s="1"/>
      <c r="AZ63" s="1"/>
    </row>
    <row r="64" spans="1:52" x14ac:dyDescent="0.3">
      <c r="A64" s="17" t="s">
        <v>119</v>
      </c>
      <c r="B64" s="18" t="s">
        <v>120</v>
      </c>
      <c r="C64" s="53" t="s">
        <v>650</v>
      </c>
      <c r="D64" s="53" t="s">
        <v>450</v>
      </c>
      <c r="E64" s="53"/>
      <c r="F64" s="53" t="s">
        <v>847</v>
      </c>
      <c r="G64" s="53" t="s">
        <v>998</v>
      </c>
      <c r="H64" s="39" t="s">
        <v>450</v>
      </c>
      <c r="I64" s="39"/>
      <c r="J64" s="57" t="s">
        <v>532</v>
      </c>
      <c r="K64" s="1" t="s">
        <v>450</v>
      </c>
      <c r="L64" s="1"/>
      <c r="M64" s="1"/>
      <c r="N64" s="1"/>
      <c r="O64" s="1"/>
      <c r="P64" s="1"/>
      <c r="Q64" s="1"/>
      <c r="R64" s="1"/>
      <c r="S64" s="1" t="s">
        <v>533</v>
      </c>
      <c r="T64" s="1" t="s">
        <v>450</v>
      </c>
      <c r="U64" s="39"/>
      <c r="V64" s="39"/>
      <c r="W64" s="39"/>
      <c r="X64" s="39"/>
      <c r="Y64" s="1"/>
      <c r="Z64" s="1"/>
      <c r="AA64" s="1"/>
      <c r="AB64" s="1"/>
      <c r="AC64" s="1"/>
      <c r="AD64" s="1"/>
      <c r="AE64" s="39"/>
      <c r="AF64" s="39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9"/>
      <c r="AW64" s="39"/>
      <c r="AX64" s="1"/>
      <c r="AY64" s="1"/>
      <c r="AZ64" s="1"/>
    </row>
    <row r="65" spans="1:52" x14ac:dyDescent="0.3">
      <c r="A65" s="22" t="s">
        <v>121</v>
      </c>
      <c r="B65" s="23" t="s">
        <v>122</v>
      </c>
      <c r="C65" s="53" t="s">
        <v>651</v>
      </c>
      <c r="D65" s="53" t="s">
        <v>450</v>
      </c>
      <c r="E65" s="53"/>
      <c r="F65" s="53" t="s">
        <v>848</v>
      </c>
      <c r="G65" s="53" t="s">
        <v>998</v>
      </c>
      <c r="H65" s="39" t="s">
        <v>450</v>
      </c>
      <c r="I65" s="39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39"/>
      <c r="V65" s="39"/>
      <c r="W65" s="39"/>
      <c r="X65" s="39"/>
      <c r="Y65" s="1"/>
      <c r="Z65" s="1"/>
      <c r="AA65" s="1"/>
      <c r="AB65" s="1"/>
      <c r="AC65" s="1"/>
      <c r="AD65" s="1"/>
      <c r="AE65" s="39"/>
      <c r="AF65" s="39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39"/>
      <c r="AW65" s="39"/>
      <c r="AX65" s="1"/>
      <c r="AY65" s="1"/>
      <c r="AZ65" s="1"/>
    </row>
    <row r="66" spans="1:52" x14ac:dyDescent="0.3">
      <c r="A66" s="4" t="s">
        <v>123</v>
      </c>
      <c r="B66" s="5" t="s">
        <v>124</v>
      </c>
      <c r="C66" s="53" t="s">
        <v>652</v>
      </c>
      <c r="D66" s="53" t="s">
        <v>450</v>
      </c>
      <c r="E66" s="53"/>
      <c r="F66" s="53" t="s">
        <v>849</v>
      </c>
      <c r="G66" s="53" t="s">
        <v>998</v>
      </c>
      <c r="H66" s="39" t="s">
        <v>450</v>
      </c>
      <c r="I66" s="39"/>
      <c r="J66" s="39"/>
      <c r="K66" s="1"/>
      <c r="L66" s="1"/>
      <c r="M66" s="1"/>
      <c r="N66" s="1"/>
      <c r="O66" s="1"/>
      <c r="P66" s="1"/>
      <c r="Q66" s="1"/>
      <c r="R66" s="1"/>
      <c r="S66" s="1"/>
      <c r="T66" s="1"/>
      <c r="U66" s="39"/>
      <c r="V66" s="39"/>
      <c r="W66" s="39"/>
      <c r="X66" s="39"/>
      <c r="Y66" s="1"/>
      <c r="Z66" s="1"/>
      <c r="AA66" s="1"/>
      <c r="AB66" s="1"/>
      <c r="AC66" s="1"/>
      <c r="AD66" s="1"/>
      <c r="AE66" s="39"/>
      <c r="AF66" s="3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39"/>
      <c r="AW66" s="39"/>
      <c r="AX66" s="1"/>
      <c r="AY66" s="1"/>
      <c r="AZ66" s="1"/>
    </row>
    <row r="67" spans="1:52" x14ac:dyDescent="0.3">
      <c r="A67" s="11" t="s">
        <v>125</v>
      </c>
      <c r="B67" s="12" t="s">
        <v>126</v>
      </c>
      <c r="C67" s="53" t="s">
        <v>653</v>
      </c>
      <c r="D67" s="53" t="s">
        <v>450</v>
      </c>
      <c r="E67" s="53"/>
      <c r="F67" s="53" t="s">
        <v>850</v>
      </c>
      <c r="G67" s="53" t="s">
        <v>998</v>
      </c>
      <c r="H67" s="61" t="s">
        <v>568</v>
      </c>
      <c r="I67" s="39" t="s">
        <v>450</v>
      </c>
      <c r="J67" s="61" t="s">
        <v>568</v>
      </c>
      <c r="K67" s="1" t="s">
        <v>450</v>
      </c>
      <c r="L67" s="1"/>
      <c r="M67" s="1"/>
      <c r="N67" s="1"/>
      <c r="O67" s="1"/>
      <c r="P67" s="1"/>
      <c r="Q67" s="1"/>
      <c r="R67" s="1"/>
      <c r="S67" s="61" t="s">
        <v>568</v>
      </c>
      <c r="T67" s="1" t="s">
        <v>450</v>
      </c>
      <c r="U67" s="39"/>
      <c r="V67" s="39"/>
      <c r="W67" s="39"/>
      <c r="X67" s="39"/>
      <c r="Y67" s="61"/>
      <c r="Z67" s="1" t="s">
        <v>450</v>
      </c>
      <c r="AA67" s="61" t="s">
        <v>551</v>
      </c>
      <c r="AB67" s="1" t="s">
        <v>450</v>
      </c>
      <c r="AC67" s="1"/>
      <c r="AD67" s="1"/>
      <c r="AE67" s="39"/>
      <c r="AF67" s="39"/>
      <c r="AG67" s="1"/>
      <c r="AH67" s="1"/>
      <c r="AI67" s="61" t="s">
        <v>551</v>
      </c>
      <c r="AJ67" s="1" t="s">
        <v>450</v>
      </c>
      <c r="AK67" s="1"/>
      <c r="AL67" s="1"/>
      <c r="AM67" s="1"/>
      <c r="AN67" s="1"/>
      <c r="AO67" s="1"/>
      <c r="AP67" s="1" t="s">
        <v>551</v>
      </c>
      <c r="AQ67" s="1" t="s">
        <v>450</v>
      </c>
      <c r="AR67" s="1" t="s">
        <v>551</v>
      </c>
      <c r="AS67" s="1" t="s">
        <v>450</v>
      </c>
      <c r="AT67" s="1"/>
      <c r="AU67" s="1"/>
      <c r="AV67" s="39"/>
      <c r="AW67" s="39"/>
      <c r="AX67" s="1"/>
      <c r="AY67" s="1"/>
      <c r="AZ67" s="1"/>
    </row>
    <row r="68" spans="1:52" x14ac:dyDescent="0.3">
      <c r="A68" s="2" t="s">
        <v>127</v>
      </c>
      <c r="B68" s="3" t="s">
        <v>128</v>
      </c>
      <c r="C68" s="53" t="s">
        <v>654</v>
      </c>
      <c r="D68" s="53" t="s">
        <v>450</v>
      </c>
      <c r="E68" s="53"/>
      <c r="F68" s="53" t="s">
        <v>851</v>
      </c>
      <c r="G68" s="53" t="s">
        <v>998</v>
      </c>
      <c r="H68" s="39" t="s">
        <v>450</v>
      </c>
      <c r="I68" s="39"/>
      <c r="J68" s="57" t="s">
        <v>479</v>
      </c>
      <c r="K68" s="1" t="s">
        <v>450</v>
      </c>
      <c r="L68" s="1"/>
      <c r="M68" s="1"/>
      <c r="N68" s="1"/>
      <c r="O68" s="1"/>
      <c r="P68" s="1"/>
      <c r="Q68" s="1" t="s">
        <v>479</v>
      </c>
      <c r="R68" s="1" t="s">
        <v>450</v>
      </c>
      <c r="S68" s="1" t="s">
        <v>479</v>
      </c>
      <c r="T68" s="1" t="s">
        <v>450</v>
      </c>
      <c r="U68" s="39"/>
      <c r="V68" s="39"/>
      <c r="W68" s="39"/>
      <c r="X68" s="39"/>
      <c r="Y68" s="1"/>
      <c r="Z68" s="1"/>
      <c r="AA68" s="1"/>
      <c r="AB68" s="1"/>
      <c r="AC68" s="1"/>
      <c r="AD68" s="1"/>
      <c r="AE68" s="39"/>
      <c r="AF68" s="39"/>
      <c r="AG68" s="1" t="s">
        <v>479</v>
      </c>
      <c r="AH68" s="1" t="s">
        <v>450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39"/>
      <c r="AW68" s="39"/>
      <c r="AX68" s="1"/>
      <c r="AY68" s="1"/>
      <c r="AZ68" s="1"/>
    </row>
    <row r="69" spans="1:52" x14ac:dyDescent="0.3">
      <c r="A69" s="17" t="s">
        <v>129</v>
      </c>
      <c r="B69" s="18" t="s">
        <v>130</v>
      </c>
      <c r="C69" s="53" t="s">
        <v>655</v>
      </c>
      <c r="D69" s="53" t="s">
        <v>450</v>
      </c>
      <c r="E69" s="53"/>
      <c r="F69" s="53" t="s">
        <v>852</v>
      </c>
      <c r="G69" s="53" t="s">
        <v>998</v>
      </c>
      <c r="H69" s="39" t="s">
        <v>450</v>
      </c>
      <c r="I69" s="39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39"/>
      <c r="V69" s="39"/>
      <c r="W69" s="39"/>
      <c r="X69" s="39"/>
      <c r="Y69" s="1"/>
      <c r="Z69" s="1"/>
      <c r="AA69" s="1"/>
      <c r="AB69" s="1"/>
      <c r="AC69" s="1"/>
      <c r="AD69" s="1"/>
      <c r="AE69" s="39"/>
      <c r="AF69" s="39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39"/>
      <c r="AW69" s="39"/>
      <c r="AX69" s="1"/>
      <c r="AY69" s="1"/>
      <c r="AZ69" s="1"/>
    </row>
    <row r="70" spans="1:52" x14ac:dyDescent="0.3">
      <c r="A70" s="13" t="s">
        <v>131</v>
      </c>
      <c r="B70" s="14" t="s">
        <v>132</v>
      </c>
      <c r="C70" s="53" t="s">
        <v>656</v>
      </c>
      <c r="D70" s="53" t="s">
        <v>450</v>
      </c>
      <c r="E70" s="53"/>
      <c r="F70" s="53" t="s">
        <v>853</v>
      </c>
      <c r="G70" s="53" t="s">
        <v>998</v>
      </c>
      <c r="H70" s="39" t="s">
        <v>450</v>
      </c>
      <c r="I70" s="39"/>
      <c r="J70" s="57" t="s">
        <v>472</v>
      </c>
      <c r="K70" s="1" t="s">
        <v>450</v>
      </c>
      <c r="L70" s="1"/>
      <c r="M70" s="1"/>
      <c r="N70" s="1"/>
      <c r="O70" s="1"/>
      <c r="P70" s="1"/>
      <c r="Q70" s="1"/>
      <c r="R70" s="1"/>
      <c r="S70" s="1" t="s">
        <v>472</v>
      </c>
      <c r="T70" s="1" t="s">
        <v>450</v>
      </c>
      <c r="U70" s="39"/>
      <c r="V70" s="39"/>
      <c r="W70" s="39"/>
      <c r="X70" s="39"/>
      <c r="Y70" s="1"/>
      <c r="Z70" s="1"/>
      <c r="AA70" s="1"/>
      <c r="AB70" s="1"/>
      <c r="AC70" s="1"/>
      <c r="AD70" s="1"/>
      <c r="AE70" s="39"/>
      <c r="AF70" s="39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9"/>
      <c r="AW70" s="39"/>
      <c r="AX70" s="1"/>
      <c r="AY70" s="1"/>
      <c r="AZ70" s="1"/>
    </row>
    <row r="71" spans="1:52" x14ac:dyDescent="0.3">
      <c r="A71" s="2" t="s">
        <v>133</v>
      </c>
      <c r="B71" s="3" t="s">
        <v>134</v>
      </c>
      <c r="C71" s="53" t="s">
        <v>657</v>
      </c>
      <c r="D71" s="53" t="s">
        <v>450</v>
      </c>
      <c r="E71" s="53"/>
      <c r="F71" s="53" t="s">
        <v>854</v>
      </c>
      <c r="G71" s="53" t="s">
        <v>998</v>
      </c>
      <c r="H71" s="57" t="s">
        <v>501</v>
      </c>
      <c r="I71" s="39" t="s">
        <v>450</v>
      </c>
      <c r="J71" s="39"/>
      <c r="K71" s="1"/>
      <c r="L71" s="1"/>
      <c r="M71" s="1"/>
      <c r="N71" s="1"/>
      <c r="O71" s="1"/>
      <c r="P71" s="1"/>
      <c r="Q71" s="1"/>
      <c r="R71" s="1"/>
      <c r="S71" s="61" t="s">
        <v>500</v>
      </c>
      <c r="T71" s="1" t="s">
        <v>450</v>
      </c>
      <c r="U71" s="39"/>
      <c r="V71" s="39"/>
      <c r="W71" s="39"/>
      <c r="X71" s="39"/>
      <c r="Y71" s="1"/>
      <c r="Z71" s="1"/>
      <c r="AA71" s="1"/>
      <c r="AB71" s="1"/>
      <c r="AC71" s="1"/>
      <c r="AD71" s="1"/>
      <c r="AE71" s="39"/>
      <c r="AF71" s="3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9"/>
      <c r="AW71" s="39"/>
      <c r="AX71" s="1"/>
      <c r="AY71" s="1"/>
      <c r="AZ71" s="1"/>
    </row>
    <row r="72" spans="1:52" x14ac:dyDescent="0.3">
      <c r="A72" s="9" t="s">
        <v>135</v>
      </c>
      <c r="B72" s="10" t="s">
        <v>136</v>
      </c>
      <c r="C72" s="53" t="s">
        <v>658</v>
      </c>
      <c r="D72" s="53" t="s">
        <v>450</v>
      </c>
      <c r="E72" s="53"/>
      <c r="F72" s="53" t="s">
        <v>855</v>
      </c>
      <c r="G72" s="53" t="s">
        <v>998</v>
      </c>
      <c r="H72" s="39" t="s">
        <v>450</v>
      </c>
      <c r="I72" s="39"/>
      <c r="J72" s="39"/>
      <c r="K72" s="61" t="s">
        <v>569</v>
      </c>
      <c r="L72" s="1" t="s">
        <v>450</v>
      </c>
      <c r="M72" s="1"/>
      <c r="N72" s="1"/>
      <c r="O72" s="61" t="s">
        <v>569</v>
      </c>
      <c r="P72" s="1" t="s">
        <v>450</v>
      </c>
      <c r="Q72" s="61" t="s">
        <v>569</v>
      </c>
      <c r="R72" s="1" t="s">
        <v>450</v>
      </c>
      <c r="S72" s="61" t="s">
        <v>569</v>
      </c>
      <c r="T72" s="1" t="s">
        <v>450</v>
      </c>
      <c r="U72" s="39"/>
      <c r="V72" s="39"/>
      <c r="W72" s="39"/>
      <c r="X72" s="39"/>
      <c r="Y72" s="1"/>
      <c r="Z72" s="1"/>
      <c r="AA72" s="1"/>
      <c r="AB72" s="1"/>
      <c r="AC72" s="1"/>
      <c r="AD72" s="1"/>
      <c r="AE72" s="39"/>
      <c r="AF72" s="3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39"/>
      <c r="AW72" s="39"/>
      <c r="AX72" s="1"/>
      <c r="AY72" s="1"/>
      <c r="AZ72" s="1"/>
    </row>
    <row r="73" spans="1:52" x14ac:dyDescent="0.3">
      <c r="A73" s="4" t="s">
        <v>137</v>
      </c>
      <c r="B73" s="5" t="s">
        <v>138</v>
      </c>
      <c r="C73" s="53" t="s">
        <v>659</v>
      </c>
      <c r="D73" s="53" t="s">
        <v>450</v>
      </c>
      <c r="E73" s="53"/>
      <c r="F73" s="53" t="s">
        <v>856</v>
      </c>
      <c r="G73" s="53" t="s">
        <v>998</v>
      </c>
      <c r="H73" s="39" t="s">
        <v>450</v>
      </c>
      <c r="I73" s="39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39"/>
      <c r="V73" s="39"/>
      <c r="W73" s="39"/>
      <c r="X73" s="39"/>
      <c r="Y73" s="1"/>
      <c r="Z73" s="1"/>
      <c r="AA73" s="1"/>
      <c r="AB73" s="1"/>
      <c r="AC73" s="1"/>
      <c r="AD73" s="1"/>
      <c r="AE73" s="39"/>
      <c r="AF73" s="39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39"/>
      <c r="AW73" s="39"/>
      <c r="AX73" s="1"/>
      <c r="AY73" s="1"/>
      <c r="AZ73" s="1"/>
    </row>
    <row r="74" spans="1:52" x14ac:dyDescent="0.3">
      <c r="A74" s="22" t="s">
        <v>139</v>
      </c>
      <c r="B74" s="23" t="s">
        <v>140</v>
      </c>
      <c r="C74" s="53" t="s">
        <v>660</v>
      </c>
      <c r="D74" s="53" t="s">
        <v>450</v>
      </c>
      <c r="E74" s="53"/>
      <c r="F74" s="53" t="s">
        <v>857</v>
      </c>
      <c r="G74" s="53" t="s">
        <v>998</v>
      </c>
      <c r="H74" s="39" t="s">
        <v>450</v>
      </c>
      <c r="I74" s="39"/>
      <c r="J74" s="57" t="s">
        <v>534</v>
      </c>
      <c r="K74" s="1" t="s">
        <v>450</v>
      </c>
      <c r="L74" s="1"/>
      <c r="M74" s="1"/>
      <c r="N74" s="1"/>
      <c r="O74" s="1"/>
      <c r="P74" s="1"/>
      <c r="Q74" s="1"/>
      <c r="R74" s="1"/>
      <c r="S74" s="1" t="s">
        <v>534</v>
      </c>
      <c r="T74" s="1" t="s">
        <v>450</v>
      </c>
      <c r="U74" s="39"/>
      <c r="V74" s="39"/>
      <c r="W74" s="39"/>
      <c r="X74" s="39"/>
      <c r="Y74" s="1"/>
      <c r="Z74" s="1"/>
      <c r="AA74" s="1"/>
      <c r="AB74" s="1"/>
      <c r="AC74" s="1"/>
      <c r="AD74" s="1"/>
      <c r="AE74" s="39"/>
      <c r="AF74" s="3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39"/>
      <c r="AW74" s="39"/>
      <c r="AX74" s="1"/>
      <c r="AY74" s="1"/>
      <c r="AZ74" s="1"/>
    </row>
    <row r="75" spans="1:52" x14ac:dyDescent="0.3">
      <c r="A75" s="4" t="s">
        <v>141</v>
      </c>
      <c r="B75" s="5" t="s">
        <v>142</v>
      </c>
      <c r="C75" s="53" t="s">
        <v>661</v>
      </c>
      <c r="D75" s="53" t="s">
        <v>450</v>
      </c>
      <c r="E75" s="53"/>
      <c r="F75" s="53" t="s">
        <v>858</v>
      </c>
      <c r="G75" s="53" t="s">
        <v>998</v>
      </c>
      <c r="H75" s="57" t="s">
        <v>514</v>
      </c>
      <c r="I75" s="39" t="s">
        <v>450</v>
      </c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39"/>
      <c r="V75" s="39"/>
      <c r="W75" s="39"/>
      <c r="X75" s="39"/>
      <c r="Y75" s="1"/>
      <c r="Z75" s="1"/>
      <c r="AA75" s="1"/>
      <c r="AB75" s="1"/>
      <c r="AC75" s="1"/>
      <c r="AD75" s="1"/>
      <c r="AE75" s="39"/>
      <c r="AF75" s="3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39"/>
      <c r="AW75" s="39"/>
      <c r="AX75" s="1"/>
      <c r="AY75" s="1"/>
      <c r="AZ75" s="1"/>
    </row>
    <row r="76" spans="1:52" x14ac:dyDescent="0.3">
      <c r="A76" s="2" t="s">
        <v>143</v>
      </c>
      <c r="B76" s="3" t="s">
        <v>144</v>
      </c>
      <c r="C76" s="53" t="s">
        <v>662</v>
      </c>
      <c r="D76" s="53" t="s">
        <v>450</v>
      </c>
      <c r="E76" s="53"/>
      <c r="F76" s="53" t="s">
        <v>859</v>
      </c>
      <c r="G76" s="53" t="s">
        <v>998</v>
      </c>
      <c r="H76" s="39" t="s">
        <v>450</v>
      </c>
      <c r="I76" s="39"/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39"/>
      <c r="V76" s="39"/>
      <c r="W76" s="39"/>
      <c r="X76" s="39"/>
      <c r="Y76" s="1"/>
      <c r="Z76" s="1"/>
      <c r="AA76" s="1"/>
      <c r="AB76" s="1"/>
      <c r="AC76" s="1"/>
      <c r="AD76" s="1"/>
      <c r="AE76" s="39"/>
      <c r="AF76" s="39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9"/>
      <c r="AW76" s="39"/>
      <c r="AX76" s="1"/>
      <c r="AY76" s="1"/>
      <c r="AZ76" s="1"/>
    </row>
    <row r="77" spans="1:52" x14ac:dyDescent="0.3">
      <c r="A77" s="9" t="s">
        <v>145</v>
      </c>
      <c r="B77" s="10" t="s">
        <v>146</v>
      </c>
      <c r="C77" s="53" t="s">
        <v>663</v>
      </c>
      <c r="D77" s="53" t="s">
        <v>450</v>
      </c>
      <c r="E77" s="53"/>
      <c r="F77" s="53" t="s">
        <v>860</v>
      </c>
      <c r="G77" s="53" t="s">
        <v>998</v>
      </c>
      <c r="H77" s="39" t="s">
        <v>450</v>
      </c>
      <c r="I77" s="39"/>
      <c r="J77" s="57" t="s">
        <v>570</v>
      </c>
      <c r="K77" s="1" t="s">
        <v>450</v>
      </c>
      <c r="L77" s="1"/>
      <c r="M77" s="1"/>
      <c r="N77" s="1"/>
      <c r="O77" s="1"/>
      <c r="P77" s="1"/>
      <c r="Q77" s="1"/>
      <c r="R77" s="1"/>
      <c r="S77" s="61" t="s">
        <v>570</v>
      </c>
      <c r="T77" s="1" t="s">
        <v>450</v>
      </c>
      <c r="U77" s="39" t="s">
        <v>550</v>
      </c>
      <c r="V77" s="57" t="s">
        <v>550</v>
      </c>
      <c r="W77" s="39" t="s">
        <v>450</v>
      </c>
      <c r="X77" s="39"/>
      <c r="Y77" s="1" t="s">
        <v>550</v>
      </c>
      <c r="Z77" s="1" t="s">
        <v>550</v>
      </c>
      <c r="AA77" s="1" t="s">
        <v>450</v>
      </c>
      <c r="AB77" s="1"/>
      <c r="AC77" s="1"/>
      <c r="AD77" s="1"/>
      <c r="AE77" s="39"/>
      <c r="AF77" s="39"/>
      <c r="AG77" s="1"/>
      <c r="AH77" s="1"/>
      <c r="AI77" s="1"/>
      <c r="AJ77" s="1"/>
      <c r="AK77" s="1"/>
      <c r="AL77" s="1"/>
      <c r="AM77" s="1"/>
      <c r="AN77" s="1"/>
      <c r="AO77" s="1"/>
      <c r="AP77" s="1" t="s">
        <v>550</v>
      </c>
      <c r="AQ77" s="1" t="s">
        <v>550</v>
      </c>
      <c r="AR77" s="1" t="s">
        <v>550</v>
      </c>
      <c r="AS77" s="1" t="s">
        <v>550</v>
      </c>
      <c r="AT77" s="1" t="s">
        <v>450</v>
      </c>
      <c r="AU77" s="1"/>
      <c r="AV77" s="39"/>
      <c r="AW77" s="39"/>
      <c r="AX77" s="1"/>
      <c r="AY77" s="1"/>
      <c r="AZ77" s="1"/>
    </row>
    <row r="78" spans="1:52" x14ac:dyDescent="0.3">
      <c r="A78" s="2" t="s">
        <v>147</v>
      </c>
      <c r="B78" s="3" t="s">
        <v>148</v>
      </c>
      <c r="C78" s="53" t="s">
        <v>664</v>
      </c>
      <c r="D78" s="53" t="s">
        <v>450</v>
      </c>
      <c r="E78" s="53"/>
      <c r="F78" s="53" t="s">
        <v>861</v>
      </c>
      <c r="G78" s="53" t="s">
        <v>998</v>
      </c>
      <c r="H78" s="39" t="s">
        <v>450</v>
      </c>
      <c r="I78" s="39"/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39"/>
      <c r="V78" s="39"/>
      <c r="W78" s="39"/>
      <c r="X78" s="39"/>
      <c r="Y78" s="1"/>
      <c r="Z78" s="1"/>
      <c r="AA78" s="1"/>
      <c r="AB78" s="1"/>
      <c r="AC78" s="1"/>
      <c r="AD78" s="1"/>
      <c r="AE78" s="39"/>
      <c r="AF78" s="3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39"/>
      <c r="AW78" s="39"/>
      <c r="AX78" s="1"/>
      <c r="AY78" s="1"/>
      <c r="AZ78" s="1"/>
    </row>
    <row r="79" spans="1:52" x14ac:dyDescent="0.3">
      <c r="A79" s="4" t="s">
        <v>149</v>
      </c>
      <c r="B79" s="5" t="s">
        <v>150</v>
      </c>
      <c r="C79" s="53" t="s">
        <v>665</v>
      </c>
      <c r="D79" s="53" t="s">
        <v>450</v>
      </c>
      <c r="E79" s="53"/>
      <c r="F79" s="53" t="s">
        <v>862</v>
      </c>
      <c r="G79" s="53" t="s">
        <v>998</v>
      </c>
      <c r="H79" s="39" t="s">
        <v>450</v>
      </c>
      <c r="I79" s="39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39"/>
      <c r="V79" s="39"/>
      <c r="W79" s="39"/>
      <c r="X79" s="39"/>
      <c r="Y79" s="1"/>
      <c r="Z79" s="1"/>
      <c r="AA79" s="1"/>
      <c r="AB79" s="1"/>
      <c r="AC79" s="1"/>
      <c r="AD79" s="1"/>
      <c r="AE79" s="39"/>
      <c r="AF79" s="3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39"/>
      <c r="AW79" s="39"/>
      <c r="AX79" s="1"/>
      <c r="AY79" s="1"/>
      <c r="AZ79" s="1"/>
    </row>
    <row r="80" spans="1:52" x14ac:dyDescent="0.3">
      <c r="A80" s="22" t="s">
        <v>151</v>
      </c>
      <c r="B80" s="23" t="s">
        <v>152</v>
      </c>
      <c r="C80" s="53" t="s">
        <v>666</v>
      </c>
      <c r="D80" s="53" t="s">
        <v>450</v>
      </c>
      <c r="E80" s="53"/>
      <c r="F80" s="53" t="s">
        <v>863</v>
      </c>
      <c r="G80" s="53" t="s">
        <v>998</v>
      </c>
      <c r="H80" s="39" t="s">
        <v>450</v>
      </c>
      <c r="I80" s="39"/>
      <c r="J80" s="39"/>
      <c r="K80" s="1"/>
      <c r="L80" s="1"/>
      <c r="M80" s="1"/>
      <c r="N80" s="1"/>
      <c r="O80" s="1"/>
      <c r="P80" s="1"/>
      <c r="Q80" s="1"/>
      <c r="R80" s="1"/>
      <c r="S80" s="1"/>
      <c r="T80" s="1"/>
      <c r="U80" s="39"/>
      <c r="V80" s="39"/>
      <c r="W80" s="39"/>
      <c r="X80" s="39"/>
      <c r="Y80" s="1"/>
      <c r="Z80" s="1"/>
      <c r="AA80" s="1"/>
      <c r="AB80" s="1"/>
      <c r="AC80" s="1"/>
      <c r="AD80" s="1"/>
      <c r="AE80" s="39"/>
      <c r="AF80" s="39"/>
      <c r="AG80" s="1"/>
      <c r="AH80" s="1"/>
      <c r="AI80" s="1"/>
      <c r="AJ80" s="1"/>
      <c r="AK80" s="1"/>
      <c r="AL80" s="1" t="s">
        <v>486</v>
      </c>
      <c r="AM80" s="1" t="s">
        <v>450</v>
      </c>
      <c r="AN80" s="1"/>
      <c r="AO80" s="1"/>
      <c r="AP80" s="1" t="s">
        <v>486</v>
      </c>
      <c r="AQ80" s="1" t="s">
        <v>450</v>
      </c>
      <c r="AR80" s="1"/>
      <c r="AS80" s="1"/>
      <c r="AT80" s="1" t="s">
        <v>486</v>
      </c>
      <c r="AU80" s="1" t="s">
        <v>450</v>
      </c>
      <c r="AV80" s="39" t="s">
        <v>486</v>
      </c>
      <c r="AW80" s="39" t="s">
        <v>450</v>
      </c>
      <c r="AX80" s="1"/>
      <c r="AY80" s="1"/>
      <c r="AZ80" s="1"/>
    </row>
    <row r="81" spans="1:52" x14ac:dyDescent="0.3">
      <c r="A81" s="19" t="s">
        <v>153</v>
      </c>
      <c r="B81" s="20" t="s">
        <v>154</v>
      </c>
      <c r="C81" s="53" t="s">
        <v>667</v>
      </c>
      <c r="D81" s="53" t="s">
        <v>450</v>
      </c>
      <c r="E81" s="53"/>
      <c r="F81" s="53" t="s">
        <v>864</v>
      </c>
      <c r="G81" s="53" t="s">
        <v>998</v>
      </c>
      <c r="H81" s="39" t="s">
        <v>450</v>
      </c>
      <c r="I81" s="39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39"/>
      <c r="V81" s="39"/>
      <c r="W81" s="39"/>
      <c r="X81" s="39"/>
      <c r="Y81" s="1"/>
      <c r="Z81" s="1"/>
      <c r="AA81" s="1"/>
      <c r="AB81" s="1"/>
      <c r="AC81" s="1"/>
      <c r="AD81" s="1"/>
      <c r="AE81" s="39"/>
      <c r="AF81" s="3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39"/>
      <c r="AW81" s="39"/>
      <c r="AX81" s="1"/>
      <c r="AY81" s="1"/>
      <c r="AZ81" s="1"/>
    </row>
    <row r="82" spans="1:52" x14ac:dyDescent="0.3">
      <c r="A82" s="2" t="s">
        <v>155</v>
      </c>
      <c r="B82" s="3" t="s">
        <v>156</v>
      </c>
      <c r="C82" s="53" t="s">
        <v>668</v>
      </c>
      <c r="D82" s="53" t="s">
        <v>450</v>
      </c>
      <c r="E82" s="53"/>
      <c r="F82" s="53" t="s">
        <v>865</v>
      </c>
      <c r="G82" s="53" t="s">
        <v>998</v>
      </c>
      <c r="H82" s="39" t="s">
        <v>450</v>
      </c>
      <c r="I82" s="39"/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39"/>
      <c r="V82" s="39"/>
      <c r="W82" s="39"/>
      <c r="X82" s="39"/>
      <c r="Y82" s="1"/>
      <c r="Z82" s="1"/>
      <c r="AA82" s="1"/>
      <c r="AB82" s="1"/>
      <c r="AC82" s="1"/>
      <c r="AD82" s="1"/>
      <c r="AE82" s="39"/>
      <c r="AF82" s="3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39"/>
      <c r="AW82" s="39"/>
      <c r="AX82" s="1"/>
      <c r="AY82" s="1"/>
      <c r="AZ82" s="1"/>
    </row>
    <row r="83" spans="1:52" x14ac:dyDescent="0.3">
      <c r="A83" s="2" t="s">
        <v>157</v>
      </c>
      <c r="B83" s="3" t="s">
        <v>158</v>
      </c>
      <c r="C83" s="53" t="s">
        <v>669</v>
      </c>
      <c r="D83" s="53" t="s">
        <v>450</v>
      </c>
      <c r="E83" s="53"/>
      <c r="F83" s="53" t="s">
        <v>866</v>
      </c>
      <c r="G83" s="53" t="s">
        <v>998</v>
      </c>
      <c r="H83" s="39" t="s">
        <v>450</v>
      </c>
      <c r="I83" s="39"/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39"/>
      <c r="V83" s="39"/>
      <c r="W83" s="39"/>
      <c r="X83" s="39"/>
      <c r="Y83" s="1"/>
      <c r="Z83" s="1"/>
      <c r="AA83" s="1"/>
      <c r="AB83" s="1"/>
      <c r="AC83" s="1"/>
      <c r="AD83" s="1"/>
      <c r="AE83" s="39"/>
      <c r="AF83" s="3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39"/>
      <c r="AW83" s="39"/>
      <c r="AX83" s="1"/>
      <c r="AY83" s="1"/>
      <c r="AZ83" s="1"/>
    </row>
    <row r="84" spans="1:52" x14ac:dyDescent="0.3">
      <c r="A84" s="17" t="s">
        <v>159</v>
      </c>
      <c r="B84" s="18" t="s">
        <v>160</v>
      </c>
      <c r="C84" s="53" t="s">
        <v>670</v>
      </c>
      <c r="D84" s="53" t="s">
        <v>450</v>
      </c>
      <c r="E84" s="53"/>
      <c r="F84" s="53" t="s">
        <v>867</v>
      </c>
      <c r="G84" s="53" t="s">
        <v>998</v>
      </c>
      <c r="H84" s="39" t="s">
        <v>450</v>
      </c>
      <c r="I84" s="39"/>
      <c r="J84" s="39" t="s">
        <v>499</v>
      </c>
      <c r="K84" s="1" t="s">
        <v>450</v>
      </c>
      <c r="L84" s="1"/>
      <c r="M84" s="1"/>
      <c r="N84" s="1"/>
      <c r="O84" s="1"/>
      <c r="P84" s="1"/>
      <c r="Q84" s="1"/>
      <c r="R84" s="1"/>
      <c r="S84" s="61" t="s">
        <v>499</v>
      </c>
      <c r="T84" s="1" t="s">
        <v>450</v>
      </c>
      <c r="U84" s="39"/>
      <c r="V84" s="39"/>
      <c r="W84" s="39"/>
      <c r="X84" s="39"/>
      <c r="Y84" s="1"/>
      <c r="Z84" s="1"/>
      <c r="AA84" s="1"/>
      <c r="AB84" s="1"/>
      <c r="AC84" s="1"/>
      <c r="AD84" s="1"/>
      <c r="AE84" s="39"/>
      <c r="AF84" s="3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39"/>
      <c r="AW84" s="39"/>
      <c r="AX84" s="1"/>
      <c r="AY84" s="1"/>
      <c r="AZ84" s="1"/>
    </row>
    <row r="85" spans="1:52" x14ac:dyDescent="0.3">
      <c r="A85" s="2" t="s">
        <v>161</v>
      </c>
      <c r="B85" s="3" t="s">
        <v>162</v>
      </c>
      <c r="C85" s="53" t="s">
        <v>671</v>
      </c>
      <c r="D85" s="53" t="s">
        <v>450</v>
      </c>
      <c r="E85" s="53"/>
      <c r="F85" s="53" t="s">
        <v>868</v>
      </c>
      <c r="G85" s="53" t="s">
        <v>998</v>
      </c>
      <c r="H85" s="39" t="s">
        <v>450</v>
      </c>
      <c r="I85" s="39"/>
      <c r="J85" s="57" t="s">
        <v>571</v>
      </c>
      <c r="K85" s="1" t="s">
        <v>450</v>
      </c>
      <c r="L85" s="1"/>
      <c r="M85" s="1"/>
      <c r="N85" s="1"/>
      <c r="O85" s="1"/>
      <c r="P85" s="1"/>
      <c r="Q85" s="1"/>
      <c r="R85" s="1"/>
      <c r="S85" s="1"/>
      <c r="T85" s="1"/>
      <c r="U85" s="39"/>
      <c r="V85" s="39"/>
      <c r="W85" s="39"/>
      <c r="X85" s="39"/>
      <c r="Y85" s="1"/>
      <c r="Z85" s="1"/>
      <c r="AA85" s="1"/>
      <c r="AB85" s="1"/>
      <c r="AC85" s="1"/>
      <c r="AD85" s="1"/>
      <c r="AE85" s="39"/>
      <c r="AF85" s="3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39"/>
      <c r="AW85" s="39"/>
      <c r="AX85" s="1"/>
      <c r="AY85" s="1"/>
      <c r="AZ85" s="1"/>
    </row>
    <row r="86" spans="1:52" x14ac:dyDescent="0.3">
      <c r="A86" s="2" t="s">
        <v>163</v>
      </c>
      <c r="B86" s="3" t="s">
        <v>164</v>
      </c>
      <c r="C86" s="53" t="s">
        <v>672</v>
      </c>
      <c r="D86" s="53" t="s">
        <v>450</v>
      </c>
      <c r="E86" s="53"/>
      <c r="F86" s="53" t="s">
        <v>869</v>
      </c>
      <c r="G86" s="53" t="s">
        <v>998</v>
      </c>
      <c r="H86" s="39" t="s">
        <v>450</v>
      </c>
      <c r="I86" s="39"/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39"/>
      <c r="V86" s="39"/>
      <c r="W86" s="39"/>
      <c r="X86" s="39"/>
      <c r="Y86" s="1"/>
      <c r="Z86" s="1"/>
      <c r="AA86" s="1"/>
      <c r="AB86" s="1"/>
      <c r="AC86" s="1"/>
      <c r="AD86" s="1"/>
      <c r="AE86" s="39"/>
      <c r="AF86" s="3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39"/>
      <c r="AW86" s="39"/>
      <c r="AX86" s="1"/>
      <c r="AY86" s="1"/>
      <c r="AZ86" s="1"/>
    </row>
    <row r="87" spans="1:52" x14ac:dyDescent="0.3">
      <c r="A87" s="4" t="s">
        <v>165</v>
      </c>
      <c r="B87" s="5" t="s">
        <v>166</v>
      </c>
      <c r="C87" s="53" t="s">
        <v>673</v>
      </c>
      <c r="D87" s="53" t="s">
        <v>450</v>
      </c>
      <c r="E87" s="53"/>
      <c r="F87" s="53" t="s">
        <v>870</v>
      </c>
      <c r="G87" s="53" t="s">
        <v>998</v>
      </c>
      <c r="H87" s="39" t="s">
        <v>450</v>
      </c>
      <c r="I87" s="39"/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39"/>
      <c r="V87" s="39"/>
      <c r="W87" s="39"/>
      <c r="X87" s="39"/>
      <c r="Y87" s="1"/>
      <c r="Z87" s="1"/>
      <c r="AA87" s="1"/>
      <c r="AB87" s="1"/>
      <c r="AC87" s="1"/>
      <c r="AD87" s="1"/>
      <c r="AE87" s="39"/>
      <c r="AF87" s="3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39"/>
      <c r="AW87" s="39"/>
      <c r="AX87" s="1"/>
      <c r="AY87" s="1"/>
      <c r="AZ87" s="1"/>
    </row>
    <row r="88" spans="1:52" x14ac:dyDescent="0.3">
      <c r="A88" s="4" t="s">
        <v>167</v>
      </c>
      <c r="B88" s="5" t="s">
        <v>168</v>
      </c>
      <c r="C88" s="53" t="s">
        <v>674</v>
      </c>
      <c r="D88" s="53" t="s">
        <v>450</v>
      </c>
      <c r="E88" s="53"/>
      <c r="F88" s="53" t="s">
        <v>871</v>
      </c>
      <c r="G88" s="53" t="s">
        <v>998</v>
      </c>
      <c r="H88" s="39" t="s">
        <v>450</v>
      </c>
      <c r="I88" s="39"/>
      <c r="J88" s="39"/>
      <c r="K88" s="1"/>
      <c r="L88" s="1"/>
      <c r="M88" s="1"/>
      <c r="N88" s="1"/>
      <c r="O88" s="1"/>
      <c r="P88" s="1"/>
      <c r="Q88" s="1"/>
      <c r="R88" s="1"/>
      <c r="S88" s="1"/>
      <c r="T88" s="1"/>
      <c r="U88" s="39"/>
      <c r="V88" s="39"/>
      <c r="W88" s="39"/>
      <c r="X88" s="39"/>
      <c r="Y88" s="1"/>
      <c r="Z88" s="1"/>
      <c r="AA88" s="1"/>
      <c r="AB88" s="1"/>
      <c r="AC88" s="1"/>
      <c r="AD88" s="1"/>
      <c r="AE88" s="39"/>
      <c r="AF88" s="3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39"/>
      <c r="AW88" s="39"/>
      <c r="AX88" s="1"/>
      <c r="AY88" s="1"/>
      <c r="AZ88" s="1"/>
    </row>
    <row r="89" spans="1:52" x14ac:dyDescent="0.3">
      <c r="A89" s="15" t="s">
        <v>169</v>
      </c>
      <c r="B89" s="16" t="s">
        <v>170</v>
      </c>
      <c r="C89" s="53" t="s">
        <v>675</v>
      </c>
      <c r="D89" s="53" t="s">
        <v>450</v>
      </c>
      <c r="E89" s="53"/>
      <c r="F89" s="53" t="s">
        <v>872</v>
      </c>
      <c r="G89" s="53" t="s">
        <v>998</v>
      </c>
      <c r="H89" s="39" t="s">
        <v>450</v>
      </c>
      <c r="I89" s="39"/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39"/>
      <c r="V89" s="39"/>
      <c r="W89" s="39"/>
      <c r="X89" s="39"/>
      <c r="Y89" s="1"/>
      <c r="Z89" s="1"/>
      <c r="AA89" s="1"/>
      <c r="AB89" s="1"/>
      <c r="AC89" s="1"/>
      <c r="AD89" s="1"/>
      <c r="AE89" s="39"/>
      <c r="AF89" s="3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39"/>
      <c r="AW89" s="39"/>
      <c r="AX89" s="1"/>
      <c r="AY89" s="1"/>
      <c r="AZ89" s="1"/>
    </row>
    <row r="90" spans="1:52" x14ac:dyDescent="0.3">
      <c r="A90" s="17" t="s">
        <v>171</v>
      </c>
      <c r="B90" s="18" t="s">
        <v>172</v>
      </c>
      <c r="C90" s="53" t="s">
        <v>676</v>
      </c>
      <c r="D90" s="53" t="s">
        <v>450</v>
      </c>
      <c r="E90" s="53"/>
      <c r="F90" s="53" t="s">
        <v>873</v>
      </c>
      <c r="G90" s="53" t="s">
        <v>998</v>
      </c>
      <c r="H90" s="39" t="s">
        <v>544</v>
      </c>
      <c r="I90" s="39" t="s">
        <v>450</v>
      </c>
      <c r="J90" s="61" t="s">
        <v>482</v>
      </c>
      <c r="K90" s="1" t="s">
        <v>450</v>
      </c>
      <c r="L90" s="1"/>
      <c r="M90" s="1"/>
      <c r="N90" s="1"/>
      <c r="O90" s="1"/>
      <c r="P90" s="1"/>
      <c r="Q90" s="1"/>
      <c r="R90" s="1"/>
      <c r="S90" s="1" t="s">
        <v>482</v>
      </c>
      <c r="T90" s="1" t="s">
        <v>450</v>
      </c>
      <c r="U90" s="39"/>
      <c r="V90" s="39"/>
      <c r="W90" s="39"/>
      <c r="X90" s="39"/>
      <c r="Y90" s="1"/>
      <c r="Z90" s="1"/>
      <c r="AA90" s="1"/>
      <c r="AB90" s="1"/>
      <c r="AC90" s="1"/>
      <c r="AD90" s="1"/>
      <c r="AE90" s="39"/>
      <c r="AF90" s="3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39"/>
      <c r="AW90" s="39"/>
      <c r="AX90" s="1"/>
      <c r="AY90" s="1"/>
      <c r="AZ90" s="1"/>
    </row>
    <row r="91" spans="1:52" x14ac:dyDescent="0.3">
      <c r="A91" s="2" t="s">
        <v>173</v>
      </c>
      <c r="B91" s="3" t="s">
        <v>174</v>
      </c>
      <c r="C91" s="53" t="s">
        <v>785</v>
      </c>
      <c r="D91" s="53" t="s">
        <v>450</v>
      </c>
      <c r="E91" s="53"/>
      <c r="F91" s="53" t="s">
        <v>874</v>
      </c>
      <c r="G91" s="53" t="s">
        <v>998</v>
      </c>
      <c r="H91" s="39" t="s">
        <v>450</v>
      </c>
      <c r="I91" s="39"/>
      <c r="J91" s="61" t="s">
        <v>535</v>
      </c>
      <c r="K91" s="1" t="s">
        <v>450</v>
      </c>
      <c r="L91" s="1"/>
      <c r="M91" s="1"/>
      <c r="N91" s="1"/>
      <c r="O91" s="1"/>
      <c r="P91" s="1"/>
      <c r="Q91" s="1"/>
      <c r="R91" s="1"/>
      <c r="S91" s="61" t="s">
        <v>535</v>
      </c>
      <c r="T91" s="1" t="s">
        <v>450</v>
      </c>
      <c r="U91" s="39"/>
      <c r="V91" s="39"/>
      <c r="W91" s="39"/>
      <c r="X91" s="39"/>
      <c r="Y91" s="1"/>
      <c r="Z91" s="1"/>
      <c r="AA91" s="1"/>
      <c r="AB91" s="1"/>
      <c r="AC91" s="1"/>
      <c r="AD91" s="1"/>
      <c r="AE91" s="39"/>
      <c r="AF91" s="3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39"/>
      <c r="AW91" s="39"/>
      <c r="AX91" s="1"/>
      <c r="AY91" s="1"/>
      <c r="AZ91" s="1"/>
    </row>
    <row r="92" spans="1:52" x14ac:dyDescent="0.3">
      <c r="A92" s="2" t="s">
        <v>175</v>
      </c>
      <c r="B92" s="3" t="s">
        <v>176</v>
      </c>
      <c r="C92" s="53" t="s">
        <v>677</v>
      </c>
      <c r="D92" s="53" t="s">
        <v>450</v>
      </c>
      <c r="E92" s="53"/>
      <c r="F92" s="53" t="s">
        <v>875</v>
      </c>
      <c r="G92" s="53" t="s">
        <v>998</v>
      </c>
      <c r="H92" s="39" t="s">
        <v>450</v>
      </c>
      <c r="I92" s="39"/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39"/>
      <c r="V92" s="39"/>
      <c r="W92" s="39"/>
      <c r="X92" s="39"/>
      <c r="Y92" s="1"/>
      <c r="Z92" s="1"/>
      <c r="AA92" s="1"/>
      <c r="AB92" s="1"/>
      <c r="AC92" s="1"/>
      <c r="AD92" s="1"/>
      <c r="AE92" s="39"/>
      <c r="AF92" s="3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39"/>
      <c r="AW92" s="39"/>
      <c r="AX92" s="1"/>
      <c r="AY92" s="1"/>
      <c r="AZ92" s="1"/>
    </row>
    <row r="93" spans="1:52" x14ac:dyDescent="0.3">
      <c r="A93" s="2" t="s">
        <v>177</v>
      </c>
      <c r="B93" s="3" t="s">
        <v>178</v>
      </c>
      <c r="C93" s="53" t="s">
        <v>678</v>
      </c>
      <c r="D93" s="53" t="s">
        <v>450</v>
      </c>
      <c r="E93" s="53"/>
      <c r="F93" s="53" t="s">
        <v>876</v>
      </c>
      <c r="G93" s="53" t="s">
        <v>998</v>
      </c>
      <c r="H93" s="39" t="s">
        <v>450</v>
      </c>
      <c r="I93" s="39"/>
      <c r="J93" s="39"/>
      <c r="K93" s="1"/>
      <c r="L93" s="1"/>
      <c r="M93" s="1"/>
      <c r="N93" s="1"/>
      <c r="O93" s="1"/>
      <c r="P93" s="1"/>
      <c r="Q93" s="1"/>
      <c r="R93" s="1"/>
      <c r="S93" s="1"/>
      <c r="T93" s="1"/>
      <c r="U93" s="39"/>
      <c r="V93" s="39"/>
      <c r="W93" s="39"/>
      <c r="X93" s="39"/>
      <c r="Y93" s="1"/>
      <c r="Z93" s="1"/>
      <c r="AA93" s="1"/>
      <c r="AB93" s="1"/>
      <c r="AC93" s="1"/>
      <c r="AD93" s="1"/>
      <c r="AE93" s="39"/>
      <c r="AF93" s="3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39"/>
      <c r="AW93" s="39"/>
      <c r="AX93" s="1"/>
      <c r="AY93" s="1"/>
      <c r="AZ93" s="1"/>
    </row>
    <row r="94" spans="1:52" x14ac:dyDescent="0.3">
      <c r="A94" s="4" t="s">
        <v>179</v>
      </c>
      <c r="B94" s="5" t="s">
        <v>180</v>
      </c>
      <c r="C94" s="53" t="s">
        <v>679</v>
      </c>
      <c r="D94" s="53" t="s">
        <v>450</v>
      </c>
      <c r="E94" s="53"/>
      <c r="F94" s="53" t="s">
        <v>877</v>
      </c>
      <c r="G94" s="53" t="s">
        <v>998</v>
      </c>
      <c r="H94" s="39" t="s">
        <v>450</v>
      </c>
      <c r="I94" s="39"/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39"/>
      <c r="V94" s="39"/>
      <c r="W94" s="39"/>
      <c r="X94" s="39"/>
      <c r="Y94" s="1"/>
      <c r="Z94" s="1"/>
      <c r="AA94" s="1"/>
      <c r="AB94" s="1"/>
      <c r="AC94" s="1"/>
      <c r="AD94" s="1"/>
      <c r="AE94" s="39"/>
      <c r="AF94" s="3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39"/>
      <c r="AW94" s="39"/>
      <c r="AX94" s="1"/>
      <c r="AY94" s="1"/>
      <c r="AZ94" s="1"/>
    </row>
    <row r="95" spans="1:52" x14ac:dyDescent="0.3">
      <c r="A95" s="2" t="s">
        <v>181</v>
      </c>
      <c r="B95" s="3" t="s">
        <v>182</v>
      </c>
      <c r="C95" s="53" t="s">
        <v>680</v>
      </c>
      <c r="D95" s="53" t="s">
        <v>450</v>
      </c>
      <c r="E95" s="53"/>
      <c r="F95" s="53" t="s">
        <v>878</v>
      </c>
      <c r="G95" s="53" t="s">
        <v>998</v>
      </c>
      <c r="H95" s="39" t="s">
        <v>544</v>
      </c>
      <c r="I95" s="39" t="s">
        <v>450</v>
      </c>
      <c r="J95" s="57" t="s">
        <v>572</v>
      </c>
      <c r="K95" s="1" t="s">
        <v>450</v>
      </c>
      <c r="L95" s="1"/>
      <c r="M95" s="1"/>
      <c r="N95" s="1"/>
      <c r="O95" s="1"/>
      <c r="P95" s="1"/>
      <c r="Q95" s="1"/>
      <c r="R95" s="1"/>
      <c r="S95" s="61" t="s">
        <v>572</v>
      </c>
      <c r="T95" s="1" t="s">
        <v>450</v>
      </c>
      <c r="U95" s="39"/>
      <c r="V95" s="39"/>
      <c r="W95" s="39"/>
      <c r="X95" s="39"/>
      <c r="Y95" s="1"/>
      <c r="Z95" s="1"/>
      <c r="AA95" s="1"/>
      <c r="AB95" s="1"/>
      <c r="AC95" s="1"/>
      <c r="AD95" s="1"/>
      <c r="AE95" s="39"/>
      <c r="AF95" s="3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39"/>
      <c r="AW95" s="39"/>
      <c r="AX95" s="1"/>
      <c r="AY95" s="1"/>
      <c r="AZ95" s="1"/>
    </row>
    <row r="96" spans="1:52" x14ac:dyDescent="0.3">
      <c r="A96" s="22" t="s">
        <v>183</v>
      </c>
      <c r="B96" s="23" t="s">
        <v>184</v>
      </c>
      <c r="C96" s="53" t="s">
        <v>681</v>
      </c>
      <c r="D96" s="53" t="s">
        <v>450</v>
      </c>
      <c r="E96" s="53"/>
      <c r="F96" s="53" t="s">
        <v>879</v>
      </c>
      <c r="G96" s="53" t="s">
        <v>998</v>
      </c>
      <c r="H96" s="39" t="s">
        <v>450</v>
      </c>
      <c r="I96" s="39"/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39"/>
      <c r="V96" s="39"/>
      <c r="W96" s="39"/>
      <c r="X96" s="39"/>
      <c r="Y96" s="1"/>
      <c r="Z96" s="1"/>
      <c r="AA96" s="1"/>
      <c r="AB96" s="1"/>
      <c r="AC96" s="1"/>
      <c r="AD96" s="1"/>
      <c r="AE96" s="39"/>
      <c r="AF96" s="3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39"/>
      <c r="AW96" s="39"/>
      <c r="AX96" s="1"/>
      <c r="AY96" s="1"/>
      <c r="AZ96" s="1"/>
    </row>
    <row r="97" spans="1:52" x14ac:dyDescent="0.3">
      <c r="A97" s="2" t="s">
        <v>185</v>
      </c>
      <c r="B97" s="3" t="s">
        <v>186</v>
      </c>
      <c r="C97" s="53" t="s">
        <v>682</v>
      </c>
      <c r="D97" s="53" t="s">
        <v>450</v>
      </c>
      <c r="E97" s="53"/>
      <c r="F97" s="53" t="s">
        <v>880</v>
      </c>
      <c r="G97" s="53" t="s">
        <v>998</v>
      </c>
      <c r="H97" s="39" t="s">
        <v>450</v>
      </c>
      <c r="I97" s="39"/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39"/>
      <c r="V97" s="39"/>
      <c r="W97" s="39"/>
      <c r="X97" s="39"/>
      <c r="Y97" s="1"/>
      <c r="Z97" s="1"/>
      <c r="AA97" s="1"/>
      <c r="AB97" s="1"/>
      <c r="AC97" s="1"/>
      <c r="AD97" s="1"/>
      <c r="AE97" s="39"/>
      <c r="AF97" s="3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39"/>
      <c r="AW97" s="39"/>
      <c r="AX97" s="1"/>
      <c r="AY97" s="1"/>
      <c r="AZ97" s="1"/>
    </row>
    <row r="98" spans="1:52" x14ac:dyDescent="0.3">
      <c r="A98" s="2" t="s">
        <v>187</v>
      </c>
      <c r="B98" s="3" t="s">
        <v>188</v>
      </c>
      <c r="C98" s="53" t="s">
        <v>683</v>
      </c>
      <c r="D98" s="53" t="s">
        <v>450</v>
      </c>
      <c r="E98" s="53"/>
      <c r="F98" s="53" t="s">
        <v>881</v>
      </c>
      <c r="G98" s="53" t="s">
        <v>998</v>
      </c>
      <c r="H98" s="39" t="s">
        <v>450</v>
      </c>
      <c r="I98" s="39"/>
      <c r="J98" s="39"/>
      <c r="K98" s="1"/>
      <c r="L98" s="1"/>
      <c r="M98" s="1"/>
      <c r="N98" s="1"/>
      <c r="O98" s="1"/>
      <c r="P98" s="1"/>
      <c r="Q98" s="1"/>
      <c r="R98" s="1"/>
      <c r="S98" s="1"/>
      <c r="T98" s="1"/>
      <c r="U98" s="39"/>
      <c r="V98" s="39"/>
      <c r="W98" s="39"/>
      <c r="X98" s="39"/>
      <c r="Y98" s="1"/>
      <c r="Z98" s="1"/>
      <c r="AA98" s="1"/>
      <c r="AB98" s="1"/>
      <c r="AC98" s="1"/>
      <c r="AD98" s="1"/>
      <c r="AE98" s="39"/>
      <c r="AF98" s="3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9"/>
      <c r="AW98" s="39"/>
      <c r="AX98" s="1"/>
      <c r="AY98" s="1"/>
      <c r="AZ98" s="1"/>
    </row>
    <row r="99" spans="1:52" x14ac:dyDescent="0.3">
      <c r="A99" s="4" t="s">
        <v>189</v>
      </c>
      <c r="B99" s="5" t="s">
        <v>190</v>
      </c>
      <c r="C99" s="53" t="s">
        <v>782</v>
      </c>
      <c r="D99" s="53" t="s">
        <v>450</v>
      </c>
      <c r="E99" s="53"/>
      <c r="F99" s="53" t="s">
        <v>882</v>
      </c>
      <c r="G99" s="53" t="s">
        <v>998</v>
      </c>
      <c r="H99" s="39" t="s">
        <v>450</v>
      </c>
      <c r="I99" s="39"/>
      <c r="J99" s="39"/>
      <c r="K99" s="1"/>
      <c r="L99" s="1"/>
      <c r="M99" s="1"/>
      <c r="N99" s="1"/>
      <c r="O99" s="1"/>
      <c r="P99" s="1"/>
      <c r="Q99" s="1"/>
      <c r="R99" s="1"/>
      <c r="S99" s="1"/>
      <c r="T99" s="1"/>
      <c r="U99" s="39"/>
      <c r="V99" s="39"/>
      <c r="W99" s="39"/>
      <c r="X99" s="39"/>
      <c r="Y99" s="1"/>
      <c r="Z99" s="1"/>
      <c r="AA99" s="1"/>
      <c r="AB99" s="1"/>
      <c r="AC99" s="1"/>
      <c r="AD99" s="1"/>
      <c r="AE99" s="39"/>
      <c r="AF99" s="3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9"/>
      <c r="AW99" s="39"/>
      <c r="AX99" s="1"/>
      <c r="AY99" s="1"/>
      <c r="AZ99" s="1"/>
    </row>
    <row r="100" spans="1:52" x14ac:dyDescent="0.3">
      <c r="A100" s="2" t="s">
        <v>191</v>
      </c>
      <c r="B100" s="3" t="s">
        <v>192</v>
      </c>
      <c r="C100" s="53" t="s">
        <v>684</v>
      </c>
      <c r="D100" s="53" t="s">
        <v>450</v>
      </c>
      <c r="E100" s="53"/>
      <c r="F100" s="53" t="s">
        <v>883</v>
      </c>
      <c r="G100" s="53" t="s">
        <v>998</v>
      </c>
      <c r="H100" s="39" t="s">
        <v>544</v>
      </c>
      <c r="I100" s="39" t="s">
        <v>450</v>
      </c>
      <c r="J100" s="39"/>
      <c r="K100" s="1"/>
      <c r="L100" s="1"/>
      <c r="M100" s="1"/>
      <c r="N100" s="1"/>
      <c r="O100" s="1"/>
      <c r="P100" s="1"/>
      <c r="Q100" s="1"/>
      <c r="R100" s="1"/>
      <c r="S100" s="61" t="s">
        <v>573</v>
      </c>
      <c r="T100" s="1" t="s">
        <v>450</v>
      </c>
      <c r="U100" s="39"/>
      <c r="V100" s="39"/>
      <c r="W100" s="39"/>
      <c r="X100" s="39"/>
      <c r="Y100" s="1"/>
      <c r="Z100" s="1"/>
      <c r="AA100" s="1"/>
      <c r="AB100" s="1"/>
      <c r="AC100" s="1"/>
      <c r="AD100" s="1"/>
      <c r="AE100" s="39"/>
      <c r="AF100" s="3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9"/>
      <c r="AW100" s="39"/>
      <c r="AX100" s="1"/>
      <c r="AY100" s="1"/>
      <c r="AZ100" s="1"/>
    </row>
    <row r="101" spans="1:52" x14ac:dyDescent="0.3">
      <c r="A101" s="13" t="s">
        <v>193</v>
      </c>
      <c r="B101" s="14" t="s">
        <v>194</v>
      </c>
      <c r="C101" s="53" t="s">
        <v>685</v>
      </c>
      <c r="D101" s="53" t="s">
        <v>450</v>
      </c>
      <c r="E101" s="53"/>
      <c r="F101" s="53" t="s">
        <v>884</v>
      </c>
      <c r="G101" s="53" t="s">
        <v>998</v>
      </c>
      <c r="H101" s="39" t="s">
        <v>544</v>
      </c>
      <c r="I101" s="39" t="s">
        <v>450</v>
      </c>
      <c r="J101" s="39"/>
      <c r="K101" s="1"/>
      <c r="L101" s="1"/>
      <c r="M101" s="1"/>
      <c r="N101" s="1"/>
      <c r="O101" s="1"/>
      <c r="P101" s="1"/>
      <c r="Q101" s="1"/>
      <c r="R101" s="1"/>
      <c r="S101" s="1" t="s">
        <v>992</v>
      </c>
      <c r="T101" s="1" t="s">
        <v>450</v>
      </c>
      <c r="U101" s="39"/>
      <c r="V101" s="39"/>
      <c r="W101" s="39"/>
      <c r="X101" s="39"/>
      <c r="Y101" s="1"/>
      <c r="Z101" s="1"/>
      <c r="AA101" s="1"/>
      <c r="AB101" s="1"/>
      <c r="AC101" s="1"/>
      <c r="AD101" s="1"/>
      <c r="AE101" s="39"/>
      <c r="AF101" s="3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9"/>
      <c r="AW101" s="39"/>
      <c r="AX101" s="1"/>
      <c r="AY101" s="1"/>
      <c r="AZ101" s="1"/>
    </row>
    <row r="102" spans="1:52" x14ac:dyDescent="0.3">
      <c r="A102" s="2" t="s">
        <v>195</v>
      </c>
      <c r="B102" s="3" t="s">
        <v>196</v>
      </c>
      <c r="C102" s="53" t="s">
        <v>686</v>
      </c>
      <c r="D102" s="53" t="s">
        <v>450</v>
      </c>
      <c r="E102" s="53"/>
      <c r="F102" s="53" t="s">
        <v>885</v>
      </c>
      <c r="G102" s="53" t="s">
        <v>998</v>
      </c>
      <c r="H102" s="39" t="s">
        <v>450</v>
      </c>
      <c r="I102" s="39"/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9"/>
      <c r="V102" s="39"/>
      <c r="W102" s="39"/>
      <c r="X102" s="39"/>
      <c r="Y102" s="1"/>
      <c r="Z102" s="1"/>
      <c r="AA102" s="1"/>
      <c r="AB102" s="1"/>
      <c r="AC102" s="1"/>
      <c r="AD102" s="1"/>
      <c r="AE102" s="39"/>
      <c r="AF102" s="3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9"/>
      <c r="AW102" s="39"/>
      <c r="AX102" s="1"/>
      <c r="AY102" s="1"/>
      <c r="AZ102" s="1"/>
    </row>
    <row r="103" spans="1:52" x14ac:dyDescent="0.3">
      <c r="A103" s="4" t="s">
        <v>197</v>
      </c>
      <c r="B103" s="5" t="s">
        <v>198</v>
      </c>
      <c r="C103" s="53" t="s">
        <v>687</v>
      </c>
      <c r="D103" s="53" t="s">
        <v>450</v>
      </c>
      <c r="E103" s="53"/>
      <c r="F103" s="53" t="s">
        <v>886</v>
      </c>
      <c r="G103" s="53" t="s">
        <v>998</v>
      </c>
      <c r="H103" s="39" t="s">
        <v>450</v>
      </c>
      <c r="I103" s="39"/>
      <c r="J103" s="39"/>
      <c r="K103" s="1"/>
      <c r="L103" s="1"/>
      <c r="M103" s="1"/>
      <c r="N103" s="1"/>
      <c r="O103" s="1"/>
      <c r="P103" s="1"/>
      <c r="Q103" s="1"/>
      <c r="R103" s="1"/>
      <c r="S103" s="61" t="s">
        <v>536</v>
      </c>
      <c r="T103" s="1" t="s">
        <v>450</v>
      </c>
      <c r="U103" s="39"/>
      <c r="V103" s="39"/>
      <c r="W103" s="39"/>
      <c r="X103" s="39"/>
      <c r="Y103" s="1"/>
      <c r="Z103" s="1"/>
      <c r="AA103" s="1"/>
      <c r="AB103" s="1"/>
      <c r="AC103" s="1"/>
      <c r="AD103" s="1"/>
      <c r="AE103" s="39"/>
      <c r="AF103" s="3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9"/>
      <c r="AW103" s="39"/>
      <c r="AX103" s="1"/>
      <c r="AY103" s="1"/>
      <c r="AZ103" s="1"/>
    </row>
    <row r="104" spans="1:52" x14ac:dyDescent="0.3">
      <c r="A104" s="13" t="s">
        <v>199</v>
      </c>
      <c r="B104" s="14" t="s">
        <v>200</v>
      </c>
      <c r="C104" s="53" t="s">
        <v>688</v>
      </c>
      <c r="D104" s="53" t="s">
        <v>450</v>
      </c>
      <c r="E104" s="53"/>
      <c r="F104" s="53" t="s">
        <v>887</v>
      </c>
      <c r="G104" s="53" t="s">
        <v>998</v>
      </c>
      <c r="H104" s="39" t="s">
        <v>450</v>
      </c>
      <c r="I104" s="39"/>
      <c r="J104" s="39"/>
      <c r="K104" s="1"/>
      <c r="L104" s="1"/>
      <c r="M104" s="1"/>
      <c r="N104" s="1"/>
      <c r="O104" s="1"/>
      <c r="P104" s="1"/>
      <c r="Q104" s="1"/>
      <c r="R104" s="1"/>
      <c r="S104" s="1" t="s">
        <v>546</v>
      </c>
      <c r="T104" s="1" t="s">
        <v>450</v>
      </c>
      <c r="U104" s="39"/>
      <c r="V104" s="39"/>
      <c r="W104" s="39"/>
      <c r="X104" s="39"/>
      <c r="Y104" s="1"/>
      <c r="Z104" s="1"/>
      <c r="AA104" s="1"/>
      <c r="AB104" s="1"/>
      <c r="AC104" s="61" t="s">
        <v>546</v>
      </c>
      <c r="AD104" s="1" t="s">
        <v>450</v>
      </c>
      <c r="AE104" s="39"/>
      <c r="AF104" s="3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9"/>
      <c r="AW104" s="39"/>
      <c r="AX104" s="1"/>
      <c r="AY104" s="1"/>
      <c r="AZ104" s="1"/>
    </row>
    <row r="105" spans="1:52" x14ac:dyDescent="0.3">
      <c r="A105" s="4" t="s">
        <v>201</v>
      </c>
      <c r="B105" s="5" t="s">
        <v>202</v>
      </c>
      <c r="C105" s="53" t="s">
        <v>689</v>
      </c>
      <c r="D105" s="53" t="s">
        <v>450</v>
      </c>
      <c r="E105" s="53"/>
      <c r="F105" s="53" t="s">
        <v>888</v>
      </c>
      <c r="G105" s="53" t="s">
        <v>998</v>
      </c>
      <c r="H105" s="39" t="s">
        <v>450</v>
      </c>
      <c r="I105" s="39"/>
      <c r="J105" s="39"/>
      <c r="K105" s="1"/>
      <c r="L105" s="1"/>
      <c r="M105" s="1"/>
      <c r="N105" s="1"/>
      <c r="O105" s="1"/>
      <c r="P105" s="1"/>
      <c r="Q105" s="1"/>
      <c r="R105" s="1"/>
      <c r="S105" s="61" t="s">
        <v>537</v>
      </c>
      <c r="T105" s="1" t="s">
        <v>450</v>
      </c>
      <c r="U105" s="39"/>
      <c r="V105" s="39"/>
      <c r="W105" s="39"/>
      <c r="X105" s="39"/>
      <c r="Y105" s="1"/>
      <c r="Z105" s="1"/>
      <c r="AA105" s="1"/>
      <c r="AB105" s="1"/>
      <c r="AC105" s="1"/>
      <c r="AD105" s="1"/>
      <c r="AE105" s="39"/>
      <c r="AF105" s="3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9"/>
      <c r="AW105" s="39"/>
      <c r="AX105" s="1"/>
      <c r="AY105" s="1"/>
      <c r="AZ105" s="1"/>
    </row>
    <row r="106" spans="1:52" x14ac:dyDescent="0.3">
      <c r="A106" s="2" t="s">
        <v>203</v>
      </c>
      <c r="B106" s="3" t="s">
        <v>204</v>
      </c>
      <c r="C106" s="53" t="s">
        <v>690</v>
      </c>
      <c r="D106" s="53" t="s">
        <v>450</v>
      </c>
      <c r="E106" s="53"/>
      <c r="F106" s="53" t="s">
        <v>889</v>
      </c>
      <c r="G106" s="53" t="s">
        <v>998</v>
      </c>
      <c r="H106" s="39" t="s">
        <v>450</v>
      </c>
      <c r="I106" s="39"/>
      <c r="J106" s="3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9"/>
      <c r="V106" s="39"/>
      <c r="W106" s="39"/>
      <c r="X106" s="39"/>
      <c r="Y106" s="1"/>
      <c r="Z106" s="1"/>
      <c r="AA106" s="1"/>
      <c r="AB106" s="1"/>
      <c r="AC106" s="1"/>
      <c r="AD106" s="1"/>
      <c r="AE106" s="39"/>
      <c r="AF106" s="3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39"/>
      <c r="AW106" s="39"/>
      <c r="AX106" s="1"/>
      <c r="AY106" s="1"/>
      <c r="AZ106" s="1"/>
    </row>
    <row r="107" spans="1:52" x14ac:dyDescent="0.3">
      <c r="A107" s="22" t="s">
        <v>205</v>
      </c>
      <c r="B107" s="23" t="s">
        <v>206</v>
      </c>
      <c r="C107" s="53" t="s">
        <v>691</v>
      </c>
      <c r="D107" s="53" t="s">
        <v>450</v>
      </c>
      <c r="E107" s="53"/>
      <c r="F107" s="53" t="s">
        <v>890</v>
      </c>
      <c r="G107" s="53" t="s">
        <v>998</v>
      </c>
      <c r="H107" s="39" t="s">
        <v>544</v>
      </c>
      <c r="I107" s="39" t="s">
        <v>450</v>
      </c>
      <c r="J107" s="57" t="s">
        <v>473</v>
      </c>
      <c r="K107" s="1" t="s">
        <v>450</v>
      </c>
      <c r="L107" s="1"/>
      <c r="M107" s="1"/>
      <c r="N107" s="1"/>
      <c r="O107" s="1"/>
      <c r="P107" s="1"/>
      <c r="Q107" s="1"/>
      <c r="R107" s="1"/>
      <c r="S107" s="1" t="s">
        <v>473</v>
      </c>
      <c r="T107" s="1" t="s">
        <v>450</v>
      </c>
      <c r="U107" s="39"/>
      <c r="V107" s="39"/>
      <c r="W107" s="39"/>
      <c r="X107" s="39"/>
      <c r="Y107" s="1"/>
      <c r="Z107" s="1"/>
      <c r="AA107" s="1"/>
      <c r="AB107" s="1"/>
      <c r="AC107" s="1"/>
      <c r="AD107" s="1"/>
      <c r="AE107" s="39"/>
      <c r="AF107" s="3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39"/>
      <c r="AW107" s="39"/>
      <c r="AX107" s="1"/>
      <c r="AY107" s="1"/>
      <c r="AZ107" s="1"/>
    </row>
    <row r="108" spans="1:52" x14ac:dyDescent="0.3">
      <c r="A108" s="22" t="s">
        <v>207</v>
      </c>
      <c r="B108" s="23" t="s">
        <v>208</v>
      </c>
      <c r="C108" s="53" t="s">
        <v>692</v>
      </c>
      <c r="D108" s="53" t="s">
        <v>450</v>
      </c>
      <c r="E108" s="53"/>
      <c r="F108" s="53" t="s">
        <v>891</v>
      </c>
      <c r="G108" s="53" t="s">
        <v>998</v>
      </c>
      <c r="H108" s="39" t="s">
        <v>450</v>
      </c>
      <c r="I108" s="39"/>
      <c r="J108" s="39"/>
      <c r="K108" s="1"/>
      <c r="L108" s="1"/>
      <c r="M108" s="1"/>
      <c r="N108" s="1"/>
      <c r="O108" s="1"/>
      <c r="P108" s="1"/>
      <c r="Q108" s="1"/>
      <c r="R108" s="1"/>
      <c r="T108" s="1" t="s">
        <v>450</v>
      </c>
      <c r="U108" s="39"/>
      <c r="V108" s="39"/>
      <c r="W108" s="39"/>
      <c r="X108" s="39"/>
      <c r="Y108" s="1"/>
      <c r="Z108" s="1"/>
      <c r="AA108" s="1"/>
      <c r="AB108" s="1"/>
      <c r="AC108" s="1"/>
      <c r="AD108" s="1"/>
      <c r="AE108" s="39"/>
      <c r="AF108" s="3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39"/>
      <c r="AW108" s="39"/>
      <c r="AX108" s="1"/>
      <c r="AY108" s="1"/>
      <c r="AZ108" s="1"/>
    </row>
    <row r="109" spans="1:52" x14ac:dyDescent="0.3">
      <c r="A109" s="2" t="s">
        <v>209</v>
      </c>
      <c r="B109" s="3" t="s">
        <v>210</v>
      </c>
      <c r="C109" s="53" t="s">
        <v>693</v>
      </c>
      <c r="D109" s="53" t="s">
        <v>450</v>
      </c>
      <c r="E109" s="53"/>
      <c r="F109" s="53" t="s">
        <v>892</v>
      </c>
      <c r="G109" s="53" t="s">
        <v>998</v>
      </c>
      <c r="H109" s="39" t="s">
        <v>450</v>
      </c>
      <c r="I109" s="39"/>
      <c r="J109" s="3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9"/>
      <c r="V109" s="39"/>
      <c r="W109" s="39"/>
      <c r="X109" s="39"/>
      <c r="Y109" s="1"/>
      <c r="Z109" s="1"/>
      <c r="AA109" s="1"/>
      <c r="AB109" s="1"/>
      <c r="AC109" s="1"/>
      <c r="AD109" s="1"/>
      <c r="AE109" s="39"/>
      <c r="AF109" s="3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39"/>
      <c r="AW109" s="39"/>
      <c r="AX109" s="1"/>
      <c r="AY109" s="1"/>
      <c r="AZ109" s="1"/>
    </row>
    <row r="110" spans="1:52" x14ac:dyDescent="0.3">
      <c r="A110" s="2" t="s">
        <v>211</v>
      </c>
      <c r="B110" s="3" t="s">
        <v>212</v>
      </c>
      <c r="C110" s="53" t="s">
        <v>694</v>
      </c>
      <c r="D110" s="53" t="s">
        <v>450</v>
      </c>
      <c r="E110" s="53"/>
      <c r="F110" s="53" t="s">
        <v>893</v>
      </c>
      <c r="G110" s="53" t="s">
        <v>998</v>
      </c>
      <c r="H110" s="39" t="s">
        <v>450</v>
      </c>
      <c r="I110" s="39"/>
      <c r="J110" s="3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9"/>
      <c r="V110" s="39"/>
      <c r="W110" s="39"/>
      <c r="X110" s="39"/>
      <c r="Y110" s="1"/>
      <c r="Z110" s="1"/>
      <c r="AA110" s="1"/>
      <c r="AB110" s="1"/>
      <c r="AC110" s="1"/>
      <c r="AD110" s="1"/>
      <c r="AE110" s="39"/>
      <c r="AF110" s="3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9"/>
      <c r="AW110" s="39"/>
      <c r="AX110" s="1"/>
      <c r="AY110" s="1"/>
      <c r="AZ110" s="1"/>
    </row>
    <row r="111" spans="1:52" x14ac:dyDescent="0.3">
      <c r="A111" s="17" t="s">
        <v>213</v>
      </c>
      <c r="B111" s="18" t="s">
        <v>214</v>
      </c>
      <c r="C111" s="53" t="s">
        <v>695</v>
      </c>
      <c r="D111" s="53" t="s">
        <v>450</v>
      </c>
      <c r="E111" s="53"/>
      <c r="F111" s="53" t="s">
        <v>894</v>
      </c>
      <c r="G111" s="53" t="s">
        <v>998</v>
      </c>
      <c r="H111" s="57" t="s">
        <v>538</v>
      </c>
      <c r="I111" s="39" t="s">
        <v>450</v>
      </c>
      <c r="J111" s="39" t="s">
        <v>538</v>
      </c>
      <c r="K111" s="1" t="s">
        <v>450</v>
      </c>
      <c r="L111" s="1"/>
      <c r="M111" s="1"/>
      <c r="N111" s="1"/>
      <c r="O111" s="1"/>
      <c r="P111" s="1"/>
      <c r="Q111" s="1"/>
      <c r="R111" s="1"/>
      <c r="S111" s="1" t="s">
        <v>538</v>
      </c>
      <c r="T111" s="1" t="s">
        <v>450</v>
      </c>
      <c r="U111" s="39"/>
      <c r="V111" s="39"/>
      <c r="W111" s="39"/>
      <c r="X111" s="39"/>
      <c r="Y111" s="1"/>
      <c r="Z111" s="1"/>
      <c r="AA111" s="1"/>
      <c r="AB111" s="1"/>
      <c r="AC111" s="1"/>
      <c r="AD111" s="1"/>
      <c r="AE111" s="39"/>
      <c r="AF111" s="3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9"/>
      <c r="AW111" s="39"/>
      <c r="AX111" s="1"/>
      <c r="AY111" s="1"/>
      <c r="AZ111" s="1"/>
    </row>
    <row r="112" spans="1:52" x14ac:dyDescent="0.3">
      <c r="A112" s="2" t="s">
        <v>215</v>
      </c>
      <c r="B112" s="3" t="s">
        <v>216</v>
      </c>
      <c r="C112" s="53" t="s">
        <v>696</v>
      </c>
      <c r="D112" s="53" t="s">
        <v>450</v>
      </c>
      <c r="E112" s="53"/>
      <c r="F112" s="53" t="s">
        <v>895</v>
      </c>
      <c r="G112" s="53" t="s">
        <v>998</v>
      </c>
      <c r="H112" s="39" t="s">
        <v>450</v>
      </c>
      <c r="I112" s="39"/>
      <c r="J112" s="39" t="s">
        <v>488</v>
      </c>
      <c r="K112" s="1" t="s">
        <v>450</v>
      </c>
      <c r="L112" s="1"/>
      <c r="M112" s="1"/>
      <c r="N112" s="1"/>
      <c r="O112" s="1"/>
      <c r="P112" s="1"/>
      <c r="Q112" s="1"/>
      <c r="R112" s="1"/>
      <c r="S112" s="61" t="s">
        <v>488</v>
      </c>
      <c r="T112" s="1" t="s">
        <v>488</v>
      </c>
      <c r="U112" s="39" t="s">
        <v>450</v>
      </c>
      <c r="V112" s="39"/>
      <c r="W112" s="39"/>
      <c r="X112" s="39"/>
      <c r="Y112" s="1"/>
      <c r="Z112" s="1"/>
      <c r="AA112" s="1"/>
      <c r="AB112" s="1"/>
      <c r="AC112" s="1"/>
      <c r="AD112" s="1"/>
      <c r="AE112" s="39"/>
      <c r="AF112" s="3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9"/>
      <c r="AW112" s="39"/>
      <c r="AX112" s="1"/>
      <c r="AY112" s="1"/>
      <c r="AZ112" s="1"/>
    </row>
    <row r="113" spans="1:52" x14ac:dyDescent="0.3">
      <c r="A113" s="19" t="s">
        <v>217</v>
      </c>
      <c r="B113" s="20" t="s">
        <v>218</v>
      </c>
      <c r="C113" s="53" t="s">
        <v>697</v>
      </c>
      <c r="D113" s="53" t="s">
        <v>450</v>
      </c>
      <c r="E113" s="53"/>
      <c r="F113" s="53" t="s">
        <v>896</v>
      </c>
      <c r="G113" s="53" t="s">
        <v>998</v>
      </c>
      <c r="H113" s="39" t="s">
        <v>450</v>
      </c>
      <c r="I113" s="39"/>
      <c r="J113" s="39"/>
      <c r="K113" s="1"/>
      <c r="L113" s="1"/>
      <c r="M113" s="1"/>
      <c r="N113" s="1"/>
      <c r="O113" s="1"/>
      <c r="P113" s="1"/>
      <c r="Q113" s="1"/>
      <c r="R113" s="1"/>
      <c r="S113" s="61" t="s">
        <v>490</v>
      </c>
      <c r="T113" s="1" t="s">
        <v>450</v>
      </c>
      <c r="U113" s="39"/>
      <c r="V113" s="39"/>
      <c r="W113" s="39"/>
      <c r="X113" s="39"/>
      <c r="Y113" s="1"/>
      <c r="Z113" s="1"/>
      <c r="AA113" s="1"/>
      <c r="AB113" s="1"/>
      <c r="AC113" s="1"/>
      <c r="AD113" s="1"/>
      <c r="AE113" s="39"/>
      <c r="AF113" s="3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39"/>
      <c r="AW113" s="39"/>
      <c r="AX113" s="1"/>
      <c r="AY113" s="1"/>
      <c r="AZ113" s="1"/>
    </row>
    <row r="114" spans="1:52" x14ac:dyDescent="0.3">
      <c r="A114" s="2" t="s">
        <v>219</v>
      </c>
      <c r="B114" s="3" t="s">
        <v>220</v>
      </c>
      <c r="C114" s="53" t="s">
        <v>698</v>
      </c>
      <c r="D114" s="53" t="s">
        <v>450</v>
      </c>
      <c r="E114" s="53"/>
      <c r="F114" s="53" t="s">
        <v>897</v>
      </c>
      <c r="G114" s="53" t="s">
        <v>998</v>
      </c>
      <c r="H114" s="39" t="s">
        <v>450</v>
      </c>
      <c r="I114" s="39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9"/>
      <c r="V114" s="39"/>
      <c r="W114" s="39"/>
      <c r="X114" s="39"/>
      <c r="Y114" s="1"/>
      <c r="Z114" s="1"/>
      <c r="AA114" s="1"/>
      <c r="AB114" s="1"/>
      <c r="AC114" s="1"/>
      <c r="AD114" s="1"/>
      <c r="AE114" s="39"/>
      <c r="AF114" s="3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9"/>
      <c r="AW114" s="39"/>
      <c r="AX114" s="1"/>
      <c r="AY114" s="1"/>
      <c r="AZ114" s="1"/>
    </row>
    <row r="115" spans="1:52" x14ac:dyDescent="0.3">
      <c r="A115" s="2" t="s">
        <v>221</v>
      </c>
      <c r="B115" s="3" t="s">
        <v>222</v>
      </c>
      <c r="C115" s="53" t="s">
        <v>699</v>
      </c>
      <c r="D115" s="53" t="s">
        <v>450</v>
      </c>
      <c r="E115" s="53"/>
      <c r="F115" s="53" t="s">
        <v>898</v>
      </c>
      <c r="G115" s="53" t="s">
        <v>998</v>
      </c>
      <c r="H115" s="39" t="s">
        <v>450</v>
      </c>
      <c r="I115" s="39"/>
      <c r="J115" s="57" t="s">
        <v>509</v>
      </c>
      <c r="K115" s="1" t="s">
        <v>450</v>
      </c>
      <c r="L115" s="1"/>
      <c r="M115" s="1"/>
      <c r="N115" s="1"/>
      <c r="O115" s="1"/>
      <c r="P115" s="1"/>
      <c r="Q115" s="1"/>
      <c r="R115" s="1"/>
      <c r="S115" s="1" t="s">
        <v>509</v>
      </c>
      <c r="T115" s="1" t="s">
        <v>450</v>
      </c>
      <c r="U115" s="39"/>
      <c r="V115" s="39"/>
      <c r="W115" s="39"/>
      <c r="X115" s="39"/>
      <c r="Y115" s="1"/>
      <c r="Z115" s="1"/>
      <c r="AA115" s="1"/>
      <c r="AB115" s="1"/>
      <c r="AC115" s="1"/>
      <c r="AD115" s="1"/>
      <c r="AE115" s="39"/>
      <c r="AF115" s="3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9"/>
      <c r="AW115" s="39"/>
      <c r="AX115" s="1"/>
      <c r="AY115" s="1"/>
      <c r="AZ115" s="1"/>
    </row>
    <row r="116" spans="1:52" x14ac:dyDescent="0.3">
      <c r="A116" s="2" t="s">
        <v>223</v>
      </c>
      <c r="B116" s="3" t="s">
        <v>224</v>
      </c>
      <c r="C116" s="53" t="s">
        <v>783</v>
      </c>
      <c r="D116" s="53" t="s">
        <v>450</v>
      </c>
      <c r="E116" s="53"/>
      <c r="F116" s="53" t="s">
        <v>899</v>
      </c>
      <c r="G116" s="53" t="s">
        <v>998</v>
      </c>
      <c r="H116" s="39" t="s">
        <v>450</v>
      </c>
      <c r="I116" s="39"/>
      <c r="J116" s="3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9"/>
      <c r="V116" s="39"/>
      <c r="W116" s="39"/>
      <c r="X116" s="39"/>
      <c r="Y116" s="1"/>
      <c r="Z116" s="1"/>
      <c r="AA116" s="1"/>
      <c r="AB116" s="1"/>
      <c r="AC116" s="1"/>
      <c r="AD116" s="1"/>
      <c r="AE116" s="39"/>
      <c r="AF116" s="3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9"/>
      <c r="AW116" s="39"/>
      <c r="AX116" s="1"/>
      <c r="AY116" s="1"/>
      <c r="AZ116" s="1"/>
    </row>
    <row r="117" spans="1:52" x14ac:dyDescent="0.3">
      <c r="A117" s="4" t="s">
        <v>225</v>
      </c>
      <c r="B117" s="5" t="s">
        <v>226</v>
      </c>
      <c r="C117" s="53" t="s">
        <v>700</v>
      </c>
      <c r="D117" s="53" t="s">
        <v>450</v>
      </c>
      <c r="E117" s="53"/>
      <c r="F117" s="53" t="s">
        <v>900</v>
      </c>
      <c r="G117" s="53" t="s">
        <v>998</v>
      </c>
      <c r="H117" s="39" t="s">
        <v>450</v>
      </c>
      <c r="I117" s="39"/>
      <c r="J117" s="3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9"/>
      <c r="V117" s="39"/>
      <c r="W117" s="39"/>
      <c r="X117" s="39"/>
      <c r="Y117" s="1"/>
      <c r="Z117" s="1"/>
      <c r="AA117" s="1"/>
      <c r="AB117" s="1"/>
      <c r="AC117" s="1"/>
      <c r="AD117" s="1"/>
      <c r="AE117" s="39"/>
      <c r="AF117" s="3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9"/>
      <c r="AW117" s="39"/>
      <c r="AX117" s="1"/>
      <c r="AY117" s="1"/>
      <c r="AZ117" s="1"/>
    </row>
    <row r="118" spans="1:52" x14ac:dyDescent="0.3">
      <c r="A118" s="4" t="s">
        <v>227</v>
      </c>
      <c r="B118" s="5" t="s">
        <v>228</v>
      </c>
      <c r="C118" s="53" t="s">
        <v>701</v>
      </c>
      <c r="D118" s="53" t="s">
        <v>450</v>
      </c>
      <c r="E118" s="53"/>
      <c r="F118" s="53" t="s">
        <v>901</v>
      </c>
      <c r="G118" s="53" t="s">
        <v>998</v>
      </c>
      <c r="H118" s="39" t="s">
        <v>450</v>
      </c>
      <c r="I118" s="39"/>
      <c r="J118" s="39"/>
      <c r="K118" s="1"/>
      <c r="L118" s="1"/>
      <c r="M118" s="1"/>
      <c r="N118" s="1"/>
      <c r="O118" s="1"/>
      <c r="P118" s="1"/>
      <c r="Q118" s="1"/>
      <c r="R118" s="1"/>
      <c r="S118" s="61" t="s">
        <v>489</v>
      </c>
      <c r="T118" s="1" t="s">
        <v>489</v>
      </c>
      <c r="U118" s="39" t="s">
        <v>450</v>
      </c>
      <c r="V118" s="39"/>
      <c r="W118" s="39"/>
      <c r="X118" s="39"/>
      <c r="Y118" s="1"/>
      <c r="Z118" s="1"/>
      <c r="AA118" s="1"/>
      <c r="AB118" s="1"/>
      <c r="AC118" s="1"/>
      <c r="AD118" s="1"/>
      <c r="AE118" s="39"/>
      <c r="AF118" s="3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9"/>
      <c r="AW118" s="39"/>
      <c r="AX118" s="1"/>
      <c r="AY118" s="1"/>
      <c r="AZ118" s="1"/>
    </row>
    <row r="119" spans="1:52" x14ac:dyDescent="0.3">
      <c r="A119" s="24" t="s">
        <v>229</v>
      </c>
      <c r="B119" s="25" t="s">
        <v>230</v>
      </c>
      <c r="C119" s="53" t="s">
        <v>702</v>
      </c>
      <c r="D119" s="53" t="s">
        <v>450</v>
      </c>
      <c r="E119" s="53"/>
      <c r="F119" s="53" t="s">
        <v>902</v>
      </c>
      <c r="G119" s="53" t="s">
        <v>998</v>
      </c>
      <c r="H119" s="39" t="s">
        <v>450</v>
      </c>
      <c r="I119" s="39"/>
      <c r="J119" s="3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9"/>
      <c r="V119" s="39"/>
      <c r="W119" s="39"/>
      <c r="X119" s="39"/>
      <c r="Y119" s="1"/>
      <c r="Z119" s="1"/>
      <c r="AA119" s="1"/>
      <c r="AB119" s="1"/>
      <c r="AC119" s="1"/>
      <c r="AD119" s="1"/>
      <c r="AE119" s="39"/>
      <c r="AF119" s="3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9"/>
      <c r="AW119" s="39"/>
      <c r="AX119" s="1"/>
      <c r="AY119" s="1"/>
      <c r="AZ119" s="1"/>
    </row>
    <row r="120" spans="1:52" x14ac:dyDescent="0.3">
      <c r="A120" s="2" t="s">
        <v>231</v>
      </c>
      <c r="B120" s="3" t="s">
        <v>232</v>
      </c>
      <c r="C120" s="53" t="s">
        <v>703</v>
      </c>
      <c r="D120" s="53" t="s">
        <v>450</v>
      </c>
      <c r="E120" s="53"/>
      <c r="F120" s="53" t="s">
        <v>903</v>
      </c>
      <c r="G120" s="53" t="s">
        <v>998</v>
      </c>
      <c r="H120" s="39" t="s">
        <v>450</v>
      </c>
      <c r="I120" s="39"/>
      <c r="J120" s="3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9"/>
      <c r="V120" s="39"/>
      <c r="W120" s="39"/>
      <c r="X120" s="39"/>
      <c r="Y120" s="1"/>
      <c r="Z120" s="1"/>
      <c r="AA120" s="1"/>
      <c r="AB120" s="1"/>
      <c r="AC120" s="1"/>
      <c r="AD120" s="1"/>
      <c r="AE120" s="39"/>
      <c r="AF120" s="3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9"/>
      <c r="AW120" s="39"/>
      <c r="AX120" s="1"/>
      <c r="AY120" s="1"/>
      <c r="AZ120" s="1"/>
    </row>
    <row r="121" spans="1:52" x14ac:dyDescent="0.3">
      <c r="A121" s="4" t="s">
        <v>233</v>
      </c>
      <c r="B121" s="5" t="s">
        <v>234</v>
      </c>
      <c r="C121" s="53" t="s">
        <v>704</v>
      </c>
      <c r="D121" s="53" t="s">
        <v>450</v>
      </c>
      <c r="E121" s="53"/>
      <c r="F121" s="53" t="s">
        <v>904</v>
      </c>
      <c r="G121" s="53" t="s">
        <v>998</v>
      </c>
      <c r="H121" s="39" t="s">
        <v>450</v>
      </c>
      <c r="I121" s="39"/>
      <c r="J121" s="3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9"/>
      <c r="V121" s="39"/>
      <c r="W121" s="39"/>
      <c r="X121" s="39"/>
      <c r="Y121" s="1"/>
      <c r="Z121" s="1"/>
      <c r="AA121" s="1"/>
      <c r="AB121" s="1"/>
      <c r="AC121" s="1"/>
      <c r="AD121" s="1"/>
      <c r="AE121" s="39"/>
      <c r="AF121" s="3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9"/>
      <c r="AW121" s="39"/>
      <c r="AX121" s="1"/>
      <c r="AY121" s="1"/>
      <c r="AZ121" s="1"/>
    </row>
    <row r="122" spans="1:52" x14ac:dyDescent="0.3">
      <c r="A122" s="2" t="s">
        <v>235</v>
      </c>
      <c r="B122" s="3" t="s">
        <v>236</v>
      </c>
      <c r="C122" s="53" t="s">
        <v>705</v>
      </c>
      <c r="D122" s="53" t="s">
        <v>450</v>
      </c>
      <c r="E122" s="53"/>
      <c r="F122" s="53" t="s">
        <v>905</v>
      </c>
      <c r="G122" s="53" t="s">
        <v>998</v>
      </c>
      <c r="H122" s="39" t="s">
        <v>450</v>
      </c>
      <c r="I122" s="39"/>
      <c r="J122" s="3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9"/>
      <c r="V122" s="39"/>
      <c r="W122" s="39"/>
      <c r="X122" s="39"/>
      <c r="Y122" s="1"/>
      <c r="Z122" s="1"/>
      <c r="AA122" s="1"/>
      <c r="AB122" s="1"/>
      <c r="AC122" s="1"/>
      <c r="AD122" s="1"/>
      <c r="AE122" s="39"/>
      <c r="AF122" s="3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9"/>
      <c r="AW122" s="39"/>
      <c r="AX122" s="1"/>
      <c r="AY122" s="1"/>
      <c r="AZ122" s="1"/>
    </row>
    <row r="123" spans="1:52" x14ac:dyDescent="0.3">
      <c r="A123" s="2" t="s">
        <v>237</v>
      </c>
      <c r="B123" s="3" t="s">
        <v>238</v>
      </c>
      <c r="C123" s="53" t="s">
        <v>706</v>
      </c>
      <c r="D123" s="53" t="s">
        <v>450</v>
      </c>
      <c r="E123" s="53"/>
      <c r="F123" s="53" t="s">
        <v>906</v>
      </c>
      <c r="G123" s="53" t="s">
        <v>998</v>
      </c>
      <c r="H123" s="39" t="s">
        <v>450</v>
      </c>
      <c r="I123" s="39"/>
      <c r="J123" s="3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9"/>
      <c r="V123" s="39"/>
      <c r="W123" s="39"/>
      <c r="X123" s="39"/>
      <c r="Y123" s="1"/>
      <c r="Z123" s="1"/>
      <c r="AA123" s="1"/>
      <c r="AB123" s="1"/>
      <c r="AC123" s="1"/>
      <c r="AD123" s="1"/>
      <c r="AE123" s="39"/>
      <c r="AF123" s="3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39"/>
      <c r="AW123" s="39"/>
      <c r="AX123" s="1"/>
      <c r="AY123" s="1"/>
      <c r="AZ123" s="1"/>
    </row>
    <row r="124" spans="1:52" x14ac:dyDescent="0.3">
      <c r="A124" s="11" t="s">
        <v>239</v>
      </c>
      <c r="B124" s="12" t="s">
        <v>240</v>
      </c>
      <c r="C124" s="53" t="s">
        <v>707</v>
      </c>
      <c r="D124" s="53" t="s">
        <v>450</v>
      </c>
      <c r="E124" s="53"/>
      <c r="F124" s="53" t="s">
        <v>907</v>
      </c>
      <c r="G124" s="53" t="s">
        <v>998</v>
      </c>
      <c r="H124" s="39" t="s">
        <v>450</v>
      </c>
      <c r="I124" s="39"/>
      <c r="J124" s="61" t="s">
        <v>574</v>
      </c>
      <c r="K124" s="1" t="s">
        <v>450</v>
      </c>
      <c r="L124" s="1"/>
      <c r="M124" s="1"/>
      <c r="N124" s="1"/>
      <c r="O124" s="1"/>
      <c r="P124" s="1"/>
      <c r="Q124" s="1"/>
      <c r="R124" s="1"/>
      <c r="S124" s="61" t="s">
        <v>574</v>
      </c>
      <c r="T124" s="1" t="s">
        <v>450</v>
      </c>
      <c r="U124" s="39"/>
      <c r="V124" s="39"/>
      <c r="W124" s="39"/>
      <c r="X124" s="39"/>
      <c r="Y124" s="1"/>
      <c r="Z124" s="1"/>
      <c r="AA124" s="1"/>
      <c r="AB124" s="1"/>
      <c r="AC124" s="1"/>
      <c r="AD124" s="1"/>
      <c r="AE124" s="39"/>
      <c r="AF124" s="3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39"/>
      <c r="AW124" s="39"/>
      <c r="AX124" s="1"/>
      <c r="AY124" s="1"/>
      <c r="AZ124" s="1"/>
    </row>
    <row r="125" spans="1:52" x14ac:dyDescent="0.3">
      <c r="A125" s="2" t="s">
        <v>241</v>
      </c>
      <c r="B125" s="3" t="s">
        <v>242</v>
      </c>
      <c r="C125" s="53" t="s">
        <v>708</v>
      </c>
      <c r="D125" s="53" t="s">
        <v>450</v>
      </c>
      <c r="E125" s="53"/>
      <c r="F125" s="53" t="s">
        <v>908</v>
      </c>
      <c r="G125" s="53" t="s">
        <v>998</v>
      </c>
      <c r="H125" s="39" t="s">
        <v>450</v>
      </c>
      <c r="I125" s="39"/>
      <c r="J125" s="3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9"/>
      <c r="V125" s="39"/>
      <c r="W125" s="39"/>
      <c r="X125" s="39"/>
      <c r="Y125" s="1"/>
      <c r="Z125" s="1"/>
      <c r="AA125" s="1"/>
      <c r="AB125" s="1"/>
      <c r="AC125" s="1"/>
      <c r="AD125" s="1"/>
      <c r="AE125" s="39"/>
      <c r="AF125" s="3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39"/>
      <c r="AW125" s="39"/>
      <c r="AX125" s="1"/>
      <c r="AY125" s="1"/>
      <c r="AZ125" s="1"/>
    </row>
    <row r="126" spans="1:52" x14ac:dyDescent="0.3">
      <c r="A126" s="11" t="s">
        <v>243</v>
      </c>
      <c r="B126" s="12" t="s">
        <v>244</v>
      </c>
      <c r="C126" s="53" t="s">
        <v>709</v>
      </c>
      <c r="D126" s="53" t="s">
        <v>450</v>
      </c>
      <c r="E126" s="53"/>
      <c r="F126" s="53" t="s">
        <v>909</v>
      </c>
      <c r="G126" s="53" t="s">
        <v>998</v>
      </c>
      <c r="H126" s="57" t="s">
        <v>462</v>
      </c>
      <c r="I126" s="39" t="s">
        <v>450</v>
      </c>
      <c r="J126" s="39"/>
      <c r="K126" s="1"/>
      <c r="L126" s="1"/>
      <c r="M126" s="1"/>
      <c r="N126" s="1"/>
      <c r="O126" s="1"/>
      <c r="P126" s="1"/>
      <c r="Q126" s="1"/>
      <c r="R126" s="1"/>
      <c r="S126" s="1" t="s">
        <v>992</v>
      </c>
      <c r="T126" s="1" t="s">
        <v>450</v>
      </c>
      <c r="U126" s="57" t="s">
        <v>462</v>
      </c>
      <c r="V126" s="39" t="s">
        <v>450</v>
      </c>
      <c r="W126" s="39"/>
      <c r="X126" s="39"/>
      <c r="Y126" s="61" t="s">
        <v>549</v>
      </c>
      <c r="Z126" s="1" t="s">
        <v>549</v>
      </c>
      <c r="AA126" s="1" t="s">
        <v>450</v>
      </c>
      <c r="AB126" s="1"/>
      <c r="AC126" s="1"/>
      <c r="AD126" s="1"/>
      <c r="AE126" s="39"/>
      <c r="AF126" s="3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59" t="s">
        <v>462</v>
      </c>
      <c r="AW126" s="39" t="s">
        <v>450</v>
      </c>
      <c r="AX126" s="1"/>
      <c r="AY126" s="1"/>
      <c r="AZ126" s="1"/>
    </row>
    <row r="127" spans="1:52" x14ac:dyDescent="0.3">
      <c r="A127" s="2" t="s">
        <v>245</v>
      </c>
      <c r="B127" s="3" t="s">
        <v>246</v>
      </c>
      <c r="C127" s="53" t="s">
        <v>710</v>
      </c>
      <c r="D127" s="53" t="s">
        <v>450</v>
      </c>
      <c r="E127" s="53"/>
      <c r="F127" s="53" t="s">
        <v>910</v>
      </c>
      <c r="G127" s="53" t="s">
        <v>998</v>
      </c>
      <c r="H127" s="39" t="s">
        <v>450</v>
      </c>
      <c r="I127" s="39"/>
      <c r="J127" s="3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9"/>
      <c r="V127" s="39"/>
      <c r="W127" s="39"/>
      <c r="X127" s="39"/>
      <c r="Y127" s="1"/>
      <c r="Z127" s="1"/>
      <c r="AA127" s="1"/>
      <c r="AB127" s="1"/>
      <c r="AC127" s="1"/>
      <c r="AD127" s="1"/>
      <c r="AE127" s="39"/>
      <c r="AF127" s="3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39"/>
      <c r="AW127" s="39"/>
      <c r="AX127" s="1"/>
      <c r="AY127" s="1"/>
      <c r="AZ127" s="1"/>
    </row>
    <row r="128" spans="1:52" x14ac:dyDescent="0.3">
      <c r="A128" s="24" t="s">
        <v>247</v>
      </c>
      <c r="B128" s="25" t="s">
        <v>248</v>
      </c>
      <c r="C128" s="53" t="s">
        <v>711</v>
      </c>
      <c r="D128" s="53" t="s">
        <v>450</v>
      </c>
      <c r="E128" s="53"/>
      <c r="F128" s="53" t="s">
        <v>911</v>
      </c>
      <c r="G128" s="53" t="s">
        <v>998</v>
      </c>
      <c r="H128" s="39" t="s">
        <v>450</v>
      </c>
      <c r="I128" s="39"/>
      <c r="J128" s="3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9"/>
      <c r="V128" s="39"/>
      <c r="W128" s="39"/>
      <c r="X128" s="39"/>
      <c r="Y128" s="1"/>
      <c r="Z128" s="1"/>
      <c r="AA128" s="1"/>
      <c r="AB128" s="1"/>
      <c r="AC128" s="1"/>
      <c r="AD128" s="1"/>
      <c r="AE128" s="39"/>
      <c r="AF128" s="3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9"/>
      <c r="AW128" s="39"/>
      <c r="AX128" s="1"/>
      <c r="AY128" s="1"/>
      <c r="AZ128" s="1"/>
    </row>
    <row r="129" spans="1:52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912</v>
      </c>
      <c r="G129" s="53" t="s">
        <v>998</v>
      </c>
      <c r="H129" s="39" t="s">
        <v>450</v>
      </c>
      <c r="I129" s="39"/>
      <c r="J129" s="3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9"/>
      <c r="V129" s="39"/>
      <c r="W129" s="39"/>
      <c r="X129" s="39"/>
      <c r="Y129" s="1"/>
      <c r="Z129" s="1"/>
      <c r="AA129" s="1"/>
      <c r="AB129" s="1"/>
      <c r="AC129" s="1"/>
      <c r="AD129" s="1"/>
      <c r="AE129" s="39"/>
      <c r="AF129" s="3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39"/>
      <c r="AW129" s="39"/>
      <c r="AX129" s="1"/>
      <c r="AY129" s="1"/>
      <c r="AZ129" s="1"/>
    </row>
    <row r="130" spans="1:52" x14ac:dyDescent="0.3">
      <c r="A130" s="13" t="s">
        <v>251</v>
      </c>
      <c r="B130" s="14" t="s">
        <v>252</v>
      </c>
      <c r="C130" s="53" t="s">
        <v>712</v>
      </c>
      <c r="D130" s="53" t="s">
        <v>450</v>
      </c>
      <c r="E130" s="53"/>
      <c r="F130" s="53" t="s">
        <v>913</v>
      </c>
      <c r="G130" s="53" t="s">
        <v>998</v>
      </c>
      <c r="H130" s="57" t="s">
        <v>545</v>
      </c>
      <c r="I130" s="39" t="s">
        <v>450</v>
      </c>
      <c r="J130" s="39"/>
      <c r="K130" s="1" t="s">
        <v>545</v>
      </c>
      <c r="L130" s="1" t="s">
        <v>450</v>
      </c>
      <c r="M130" s="1" t="s">
        <v>545</v>
      </c>
      <c r="N130" s="1" t="s">
        <v>450</v>
      </c>
      <c r="O130" s="1" t="s">
        <v>545</v>
      </c>
      <c r="P130" s="1" t="s">
        <v>450</v>
      </c>
      <c r="Q130" s="1" t="s">
        <v>545</v>
      </c>
      <c r="R130" s="1" t="s">
        <v>450</v>
      </c>
      <c r="S130" s="1" t="s">
        <v>992</v>
      </c>
      <c r="T130" s="1" t="s">
        <v>450</v>
      </c>
      <c r="U130" s="39" t="s">
        <v>545</v>
      </c>
      <c r="V130" s="39" t="s">
        <v>450</v>
      </c>
      <c r="W130" s="39"/>
      <c r="X130" s="39"/>
      <c r="Y130" s="1" t="s">
        <v>545</v>
      </c>
      <c r="Z130" s="1" t="s">
        <v>450</v>
      </c>
      <c r="AA130" s="1"/>
      <c r="AB130" s="1"/>
      <c r="AC130" s="1" t="s">
        <v>545</v>
      </c>
      <c r="AD130" s="1" t="s">
        <v>450</v>
      </c>
      <c r="AE130" s="39"/>
      <c r="AF130" s="39"/>
      <c r="AG130" s="1"/>
      <c r="AH130" s="1"/>
      <c r="AI130" s="1"/>
      <c r="AJ130" s="1"/>
      <c r="AK130" s="1"/>
      <c r="AL130" s="1" t="s">
        <v>545</v>
      </c>
      <c r="AM130" s="1" t="s">
        <v>450</v>
      </c>
      <c r="AN130" s="1"/>
      <c r="AO130" s="1"/>
      <c r="AP130" s="1" t="s">
        <v>545</v>
      </c>
      <c r="AQ130" s="1" t="s">
        <v>450</v>
      </c>
      <c r="AR130" s="1"/>
      <c r="AS130" s="1"/>
      <c r="AT130" s="1"/>
      <c r="AU130" s="1"/>
      <c r="AV130" s="39" t="s">
        <v>545</v>
      </c>
      <c r="AW130" s="39" t="s">
        <v>450</v>
      </c>
      <c r="AX130" s="1"/>
      <c r="AY130" s="1"/>
      <c r="AZ130" s="1"/>
    </row>
    <row r="131" spans="1:52" x14ac:dyDescent="0.3">
      <c r="A131" s="24" t="s">
        <v>253</v>
      </c>
      <c r="B131" s="25" t="s">
        <v>254</v>
      </c>
      <c r="C131" s="53" t="s">
        <v>713</v>
      </c>
      <c r="D131" s="53" t="s">
        <v>450</v>
      </c>
      <c r="E131" s="53"/>
      <c r="F131" s="53" t="s">
        <v>914</v>
      </c>
      <c r="G131" s="53" t="s">
        <v>998</v>
      </c>
      <c r="H131" s="39" t="s">
        <v>575</v>
      </c>
      <c r="I131" s="39" t="s">
        <v>450</v>
      </c>
      <c r="J131" s="39" t="s">
        <v>575</v>
      </c>
      <c r="K131" s="1" t="s">
        <v>450</v>
      </c>
      <c r="L131" s="1"/>
      <c r="M131" s="1"/>
      <c r="N131" s="1"/>
      <c r="O131" s="1"/>
      <c r="P131" s="1"/>
      <c r="Q131" s="1"/>
      <c r="R131" s="1"/>
      <c r="S131" s="61" t="s">
        <v>576</v>
      </c>
      <c r="T131" s="1" t="s">
        <v>450</v>
      </c>
      <c r="U131" s="39"/>
      <c r="V131" s="39"/>
      <c r="W131" s="39" t="s">
        <v>575</v>
      </c>
      <c r="X131" s="39" t="s">
        <v>450</v>
      </c>
      <c r="Y131" s="1"/>
      <c r="Z131" s="1"/>
      <c r="AA131" s="1"/>
      <c r="AB131" s="1"/>
      <c r="AC131" s="1"/>
      <c r="AD131" s="1"/>
      <c r="AE131" s="39"/>
      <c r="AF131" s="3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39" t="s">
        <v>575</v>
      </c>
      <c r="AW131" s="39" t="s">
        <v>450</v>
      </c>
      <c r="AX131" s="1"/>
      <c r="AY131" s="1"/>
      <c r="AZ131" s="1"/>
    </row>
    <row r="132" spans="1:52" x14ac:dyDescent="0.3">
      <c r="A132" s="4" t="s">
        <v>255</v>
      </c>
      <c r="B132" s="5" t="s">
        <v>256</v>
      </c>
      <c r="C132" s="53" t="s">
        <v>714</v>
      </c>
      <c r="D132" s="53" t="s">
        <v>450</v>
      </c>
      <c r="E132" s="54"/>
      <c r="F132" s="53" t="s">
        <v>915</v>
      </c>
      <c r="G132" s="53" t="s">
        <v>998</v>
      </c>
      <c r="H132" s="57" t="s">
        <v>474</v>
      </c>
      <c r="I132" s="39" t="s">
        <v>474</v>
      </c>
      <c r="J132" s="39" t="s">
        <v>474</v>
      </c>
      <c r="K132" s="1" t="s">
        <v>474</v>
      </c>
      <c r="L132" s="1" t="s">
        <v>450</v>
      </c>
      <c r="M132" s="1" t="s">
        <v>474</v>
      </c>
      <c r="N132" s="1" t="s">
        <v>450</v>
      </c>
      <c r="O132" s="1"/>
      <c r="P132" s="1"/>
      <c r="Q132" s="1" t="s">
        <v>474</v>
      </c>
      <c r="R132" s="1" t="s">
        <v>450</v>
      </c>
      <c r="S132" s="1" t="s">
        <v>474</v>
      </c>
      <c r="T132" s="1" t="s">
        <v>450</v>
      </c>
      <c r="U132" s="39" t="s">
        <v>474</v>
      </c>
      <c r="V132" s="39" t="s">
        <v>450</v>
      </c>
      <c r="W132" s="39"/>
      <c r="X132" s="39"/>
      <c r="Y132" s="1" t="s">
        <v>474</v>
      </c>
      <c r="Z132" s="1" t="s">
        <v>450</v>
      </c>
      <c r="AA132" s="1" t="s">
        <v>474</v>
      </c>
      <c r="AB132" s="1" t="s">
        <v>450</v>
      </c>
      <c r="AC132" s="1"/>
      <c r="AD132" s="1"/>
      <c r="AE132" s="39"/>
      <c r="AF132" s="39"/>
      <c r="AG132" s="1"/>
      <c r="AH132" s="1"/>
      <c r="AI132" s="1"/>
      <c r="AJ132" s="1"/>
      <c r="AK132" s="1"/>
      <c r="AL132" s="1"/>
      <c r="AM132" s="1"/>
      <c r="AN132" s="1"/>
      <c r="AO132" s="1"/>
      <c r="AP132" s="1" t="s">
        <v>474</v>
      </c>
      <c r="AQ132" s="1" t="s">
        <v>450</v>
      </c>
      <c r="AR132" s="1"/>
      <c r="AS132" s="1"/>
      <c r="AT132" s="1"/>
      <c r="AU132" s="1"/>
      <c r="AV132" s="39"/>
      <c r="AW132" s="39"/>
      <c r="AX132" s="1"/>
      <c r="AY132" s="1"/>
      <c r="AZ132" s="1"/>
    </row>
    <row r="133" spans="1:52" x14ac:dyDescent="0.3">
      <c r="A133" s="22" t="s">
        <v>257</v>
      </c>
      <c r="B133" s="23" t="s">
        <v>258</v>
      </c>
      <c r="C133" s="53" t="s">
        <v>715</v>
      </c>
      <c r="D133" s="53" t="s">
        <v>450</v>
      </c>
      <c r="E133" s="53"/>
      <c r="F133" s="53" t="s">
        <v>916</v>
      </c>
      <c r="G133" s="53" t="s">
        <v>998</v>
      </c>
      <c r="H133" s="39" t="s">
        <v>450</v>
      </c>
      <c r="I133" s="39"/>
      <c r="J133" s="3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9"/>
      <c r="V133" s="39"/>
      <c r="W133" s="39"/>
      <c r="X133" s="39"/>
      <c r="Y133" s="1"/>
      <c r="Z133" s="1"/>
      <c r="AA133" s="1"/>
      <c r="AB133" s="1"/>
      <c r="AC133" s="1"/>
      <c r="AD133" s="1"/>
      <c r="AE133" s="39"/>
      <c r="AF133" s="3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9"/>
      <c r="AW133" s="39"/>
      <c r="AX133" s="1"/>
      <c r="AY133" s="1"/>
      <c r="AZ133" s="1"/>
    </row>
    <row r="134" spans="1:52" x14ac:dyDescent="0.3">
      <c r="A134" s="2" t="s">
        <v>259</v>
      </c>
      <c r="B134" s="3" t="s">
        <v>260</v>
      </c>
      <c r="C134" s="53" t="s">
        <v>716</v>
      </c>
      <c r="D134" s="53" t="s">
        <v>450</v>
      </c>
      <c r="E134" s="53"/>
      <c r="F134" s="53" t="s">
        <v>917</v>
      </c>
      <c r="G134" s="53" t="s">
        <v>998</v>
      </c>
      <c r="H134" s="39" t="s">
        <v>450</v>
      </c>
      <c r="I134" s="39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9"/>
      <c r="V134" s="39"/>
      <c r="W134" s="39"/>
      <c r="X134" s="39"/>
      <c r="Y134" s="1"/>
      <c r="Z134" s="1"/>
      <c r="AA134" s="1"/>
      <c r="AB134" s="1"/>
      <c r="AC134" s="1"/>
      <c r="AD134" s="1"/>
      <c r="AE134" s="39"/>
      <c r="AF134" s="3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9"/>
      <c r="AW134" s="39"/>
      <c r="AX134" s="1"/>
      <c r="AY134" s="1"/>
      <c r="AZ134" s="1"/>
    </row>
    <row r="135" spans="1:52" x14ac:dyDescent="0.3">
      <c r="A135" s="22" t="s">
        <v>261</v>
      </c>
      <c r="B135" s="23" t="s">
        <v>262</v>
      </c>
      <c r="C135" s="53" t="s">
        <v>717</v>
      </c>
      <c r="D135" s="53" t="s">
        <v>450</v>
      </c>
      <c r="E135" s="53"/>
      <c r="F135" s="53" t="s">
        <v>918</v>
      </c>
      <c r="G135" s="53" t="s">
        <v>998</v>
      </c>
      <c r="H135" s="39" t="s">
        <v>450</v>
      </c>
      <c r="I135" s="39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9"/>
      <c r="V135" s="39"/>
      <c r="W135" s="39"/>
      <c r="X135" s="39"/>
      <c r="Y135" s="1"/>
      <c r="Z135" s="1"/>
      <c r="AA135" s="1"/>
      <c r="AB135" s="1"/>
      <c r="AC135" s="1"/>
      <c r="AD135" s="1"/>
      <c r="AE135" s="39"/>
      <c r="AF135" s="3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9"/>
      <c r="AW135" s="39"/>
      <c r="AX135" s="1"/>
      <c r="AY135" s="1"/>
      <c r="AZ135" s="1"/>
    </row>
    <row r="136" spans="1:52" x14ac:dyDescent="0.3">
      <c r="A136" s="2" t="s">
        <v>263</v>
      </c>
      <c r="B136" s="3" t="s">
        <v>264</v>
      </c>
      <c r="C136" s="53" t="s">
        <v>718</v>
      </c>
      <c r="D136" s="53" t="s">
        <v>450</v>
      </c>
      <c r="E136" s="53"/>
      <c r="F136" s="53" t="s">
        <v>919</v>
      </c>
      <c r="G136" s="53" t="s">
        <v>998</v>
      </c>
      <c r="H136" s="39" t="s">
        <v>450</v>
      </c>
      <c r="I136" s="39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9"/>
      <c r="V136" s="39"/>
      <c r="W136" s="39"/>
      <c r="X136" s="39"/>
      <c r="Y136" s="1"/>
      <c r="Z136" s="1"/>
      <c r="AA136" s="1"/>
      <c r="AB136" s="1"/>
      <c r="AC136" s="1"/>
      <c r="AD136" s="1"/>
      <c r="AE136" s="39"/>
      <c r="AF136" s="3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9"/>
      <c r="AW136" s="39"/>
      <c r="AX136" s="1"/>
      <c r="AY136" s="1"/>
      <c r="AZ136" s="1"/>
    </row>
    <row r="137" spans="1:52" x14ac:dyDescent="0.3">
      <c r="A137" s="4" t="s">
        <v>265</v>
      </c>
      <c r="B137" s="5" t="s">
        <v>266</v>
      </c>
      <c r="C137" s="53" t="s">
        <v>719</v>
      </c>
      <c r="D137" s="53" t="s">
        <v>450</v>
      </c>
      <c r="E137" s="53"/>
      <c r="F137" s="53" t="s">
        <v>920</v>
      </c>
      <c r="G137" s="53" t="s">
        <v>998</v>
      </c>
      <c r="H137" s="39" t="s">
        <v>450</v>
      </c>
      <c r="I137" s="39"/>
      <c r="J137" s="39"/>
      <c r="K137" s="1"/>
      <c r="L137" s="1"/>
      <c r="M137" s="1"/>
      <c r="N137" s="1"/>
      <c r="O137" s="1"/>
      <c r="P137" s="1"/>
      <c r="Q137" s="1"/>
      <c r="R137" s="1"/>
      <c r="S137" s="61" t="s">
        <v>492</v>
      </c>
      <c r="T137" s="1" t="s">
        <v>450</v>
      </c>
      <c r="U137" s="39"/>
      <c r="V137" s="39"/>
      <c r="W137" s="39"/>
      <c r="X137" s="39"/>
      <c r="Y137" s="1"/>
      <c r="Z137" s="1"/>
      <c r="AA137" s="1"/>
      <c r="AB137" s="1"/>
      <c r="AC137" s="1"/>
      <c r="AD137" s="1"/>
      <c r="AE137" s="39"/>
      <c r="AF137" s="3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9"/>
      <c r="AW137" s="39"/>
      <c r="AX137" s="1"/>
      <c r="AY137" s="1"/>
      <c r="AZ137" s="1"/>
    </row>
    <row r="138" spans="1:52" x14ac:dyDescent="0.3">
      <c r="A138" s="19" t="s">
        <v>267</v>
      </c>
      <c r="B138" s="20" t="s">
        <v>268</v>
      </c>
      <c r="C138" s="53" t="s">
        <v>720</v>
      </c>
      <c r="D138" s="53" t="s">
        <v>450</v>
      </c>
      <c r="E138" s="53"/>
      <c r="F138" s="53" t="s">
        <v>921</v>
      </c>
      <c r="G138" s="53" t="s">
        <v>998</v>
      </c>
      <c r="H138" s="39" t="s">
        <v>450</v>
      </c>
      <c r="I138" s="39"/>
      <c r="J138" s="57" t="s">
        <v>539</v>
      </c>
      <c r="K138" s="1" t="s">
        <v>450</v>
      </c>
      <c r="L138" s="1"/>
      <c r="M138" s="1"/>
      <c r="N138" s="1"/>
      <c r="O138" s="1"/>
      <c r="P138" s="1"/>
      <c r="Q138" s="1"/>
      <c r="R138" s="1"/>
      <c r="S138" s="1" t="s">
        <v>539</v>
      </c>
      <c r="T138" s="1" t="s">
        <v>450</v>
      </c>
      <c r="U138" s="39"/>
      <c r="V138" s="39"/>
      <c r="W138" s="39"/>
      <c r="X138" s="39"/>
      <c r="Y138" s="1"/>
      <c r="Z138" s="1"/>
      <c r="AA138" s="1"/>
      <c r="AB138" s="1"/>
      <c r="AC138" s="1"/>
      <c r="AD138" s="1"/>
      <c r="AE138" s="39"/>
      <c r="AF138" s="3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9"/>
      <c r="AW138" s="39"/>
      <c r="AX138" s="1"/>
      <c r="AY138" s="1"/>
      <c r="AZ138" s="1"/>
    </row>
    <row r="139" spans="1:52" x14ac:dyDescent="0.3">
      <c r="A139" s="17" t="s">
        <v>269</v>
      </c>
      <c r="B139" s="18" t="s">
        <v>270</v>
      </c>
      <c r="C139" s="53" t="s">
        <v>721</v>
      </c>
      <c r="D139" s="53" t="s">
        <v>450</v>
      </c>
      <c r="E139" s="53"/>
      <c r="F139" s="53" t="s">
        <v>922</v>
      </c>
      <c r="G139" s="53" t="s">
        <v>998</v>
      </c>
      <c r="H139" s="39" t="s">
        <v>450</v>
      </c>
      <c r="I139" s="39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9"/>
      <c r="V139" s="39"/>
      <c r="W139" s="39"/>
      <c r="X139" s="39"/>
      <c r="Y139" s="1"/>
      <c r="Z139" s="1"/>
      <c r="AA139" s="1"/>
      <c r="AB139" s="1"/>
      <c r="AC139" s="1"/>
      <c r="AD139" s="1"/>
      <c r="AE139" s="39"/>
      <c r="AF139" s="3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9"/>
      <c r="AW139" s="39"/>
      <c r="AX139" s="1"/>
      <c r="AY139" s="1"/>
      <c r="AZ139" s="1"/>
    </row>
    <row r="140" spans="1:52" x14ac:dyDescent="0.3">
      <c r="A140" s="15" t="s">
        <v>271</v>
      </c>
      <c r="B140" s="16" t="s">
        <v>272</v>
      </c>
      <c r="C140" s="53" t="s">
        <v>722</v>
      </c>
      <c r="D140" s="53" t="s">
        <v>450</v>
      </c>
      <c r="E140" s="53"/>
      <c r="F140" s="53" t="s">
        <v>923</v>
      </c>
      <c r="G140" s="53" t="s">
        <v>998</v>
      </c>
      <c r="H140" s="39" t="s">
        <v>450</v>
      </c>
      <c r="I140" s="39"/>
      <c r="J140" s="39"/>
      <c r="K140" s="1"/>
      <c r="L140" s="1"/>
      <c r="M140" s="1"/>
      <c r="N140" s="1"/>
      <c r="O140" s="1"/>
      <c r="P140" s="1"/>
      <c r="Q140" s="1"/>
      <c r="R140" s="1"/>
      <c r="S140" s="61" t="s">
        <v>475</v>
      </c>
      <c r="T140" s="1" t="s">
        <v>475</v>
      </c>
      <c r="U140" s="39" t="s">
        <v>450</v>
      </c>
      <c r="V140" s="39"/>
      <c r="W140" s="39"/>
      <c r="X140" s="39"/>
      <c r="Y140" s="1"/>
      <c r="Z140" s="1"/>
      <c r="AA140" s="1"/>
      <c r="AB140" s="1"/>
      <c r="AC140" s="1"/>
      <c r="AD140" s="1"/>
      <c r="AE140" s="39"/>
      <c r="AF140" s="3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9"/>
      <c r="AW140" s="39"/>
      <c r="AX140" s="1"/>
      <c r="AY140" s="1"/>
      <c r="AZ140" s="1"/>
    </row>
    <row r="141" spans="1:52" x14ac:dyDescent="0.3">
      <c r="A141" s="13" t="s">
        <v>273</v>
      </c>
      <c r="B141" s="14" t="s">
        <v>274</v>
      </c>
      <c r="C141" s="53" t="s">
        <v>723</v>
      </c>
      <c r="D141" s="53" t="s">
        <v>450</v>
      </c>
      <c r="E141" s="53"/>
      <c r="F141" s="53" t="s">
        <v>924</v>
      </c>
      <c r="G141" s="53" t="s">
        <v>998</v>
      </c>
      <c r="H141" s="59" t="s">
        <v>476</v>
      </c>
      <c r="I141" s="39" t="s">
        <v>450</v>
      </c>
      <c r="J141" s="39"/>
      <c r="K141" s="1"/>
      <c r="L141" s="1"/>
      <c r="M141" s="1"/>
      <c r="N141" s="1"/>
      <c r="O141" s="1"/>
      <c r="P141" s="1"/>
      <c r="Q141" s="1"/>
      <c r="R141" s="1"/>
      <c r="S141" s="59" t="s">
        <v>476</v>
      </c>
      <c r="T141" s="1" t="s">
        <v>450</v>
      </c>
      <c r="U141" s="39"/>
      <c r="V141" s="39"/>
      <c r="W141" s="39"/>
      <c r="X141" s="39"/>
      <c r="Y141" s="1"/>
      <c r="Z141" s="1"/>
      <c r="AA141" s="1"/>
      <c r="AB141" s="1"/>
      <c r="AC141" s="1"/>
      <c r="AD141" s="1"/>
      <c r="AE141" s="39"/>
      <c r="AF141" s="3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39"/>
      <c r="AW141" s="39"/>
      <c r="AX141" s="1"/>
      <c r="AY141" s="1"/>
      <c r="AZ141" s="1"/>
    </row>
    <row r="142" spans="1:52" x14ac:dyDescent="0.3">
      <c r="A142" s="4" t="s">
        <v>275</v>
      </c>
      <c r="B142" s="5" t="s">
        <v>276</v>
      </c>
      <c r="C142" s="53" t="s">
        <v>724</v>
      </c>
      <c r="D142" s="53" t="s">
        <v>450</v>
      </c>
      <c r="E142" s="53"/>
      <c r="F142" s="53" t="s">
        <v>925</v>
      </c>
      <c r="G142" s="53" t="s">
        <v>998</v>
      </c>
      <c r="H142" s="39" t="s">
        <v>450</v>
      </c>
      <c r="I142" s="39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9"/>
      <c r="V142" s="39"/>
      <c r="W142" s="39"/>
      <c r="X142" s="39"/>
      <c r="Y142" s="1"/>
      <c r="Z142" s="1"/>
      <c r="AA142" s="1"/>
      <c r="AB142" s="1"/>
      <c r="AC142" s="1"/>
      <c r="AD142" s="1"/>
      <c r="AE142" s="39"/>
      <c r="AF142" s="3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39"/>
      <c r="AW142" s="39"/>
      <c r="AX142" s="1"/>
      <c r="AY142" s="1"/>
      <c r="AZ142" s="1"/>
    </row>
    <row r="143" spans="1:52" x14ac:dyDescent="0.3">
      <c r="A143" s="13" t="s">
        <v>277</v>
      </c>
      <c r="B143" s="14" t="s">
        <v>278</v>
      </c>
      <c r="C143" s="53" t="s">
        <v>725</v>
      </c>
      <c r="D143" s="53" t="s">
        <v>450</v>
      </c>
      <c r="E143" s="53"/>
      <c r="F143" s="53" t="s">
        <v>926</v>
      </c>
      <c r="G143" s="53" t="s">
        <v>998</v>
      </c>
      <c r="H143" s="39" t="s">
        <v>544</v>
      </c>
      <c r="I143" s="39" t="s">
        <v>450</v>
      </c>
      <c r="J143" s="57" t="s">
        <v>540</v>
      </c>
      <c r="K143" s="1" t="s">
        <v>450</v>
      </c>
      <c r="L143" s="1"/>
      <c r="M143" s="1"/>
      <c r="N143" s="1"/>
      <c r="O143" s="1"/>
      <c r="P143" s="1"/>
      <c r="Q143" s="1"/>
      <c r="R143" s="1"/>
      <c r="S143" s="1" t="s">
        <v>540</v>
      </c>
      <c r="T143" s="1" t="s">
        <v>450</v>
      </c>
      <c r="U143" s="39"/>
      <c r="V143" s="39"/>
      <c r="W143" s="39"/>
      <c r="X143" s="39"/>
      <c r="Y143" s="1"/>
      <c r="Z143" s="1"/>
      <c r="AA143" s="1"/>
      <c r="AB143" s="1"/>
      <c r="AC143" s="1"/>
      <c r="AD143" s="1"/>
      <c r="AE143" s="39"/>
      <c r="AF143" s="3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39"/>
      <c r="AW143" s="39"/>
      <c r="AX143" s="1"/>
      <c r="AY143" s="1"/>
      <c r="AZ143" s="1"/>
    </row>
    <row r="144" spans="1:52" x14ac:dyDescent="0.3">
      <c r="A144" s="2" t="s">
        <v>279</v>
      </c>
      <c r="B144" s="3" t="s">
        <v>280</v>
      </c>
      <c r="C144" s="53" t="s">
        <v>726</v>
      </c>
      <c r="D144" s="53" t="s">
        <v>450</v>
      </c>
      <c r="E144" s="53"/>
      <c r="F144" s="53" t="s">
        <v>927</v>
      </c>
      <c r="G144" s="53" t="s">
        <v>998</v>
      </c>
      <c r="H144" s="39" t="s">
        <v>450</v>
      </c>
      <c r="I144" s="39"/>
      <c r="J144" s="3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9"/>
      <c r="V144" s="39"/>
      <c r="W144" s="39"/>
      <c r="X144" s="39"/>
      <c r="Y144" s="1"/>
      <c r="Z144" s="1"/>
      <c r="AA144" s="1"/>
      <c r="AB144" s="1"/>
      <c r="AC144" s="1"/>
      <c r="AD144" s="1"/>
      <c r="AE144" s="39"/>
      <c r="AF144" s="3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39"/>
      <c r="AW144" s="39"/>
      <c r="AX144" s="1"/>
      <c r="AY144" s="1"/>
      <c r="AZ144" s="1"/>
    </row>
    <row r="145" spans="1:52" x14ac:dyDescent="0.3">
      <c r="A145" s="2" t="s">
        <v>281</v>
      </c>
      <c r="B145" s="3" t="s">
        <v>282</v>
      </c>
      <c r="C145" s="53" t="s">
        <v>727</v>
      </c>
      <c r="D145" s="53" t="s">
        <v>450</v>
      </c>
      <c r="E145" s="53"/>
      <c r="F145" s="53" t="s">
        <v>928</v>
      </c>
      <c r="G145" s="53" t="s">
        <v>998</v>
      </c>
      <c r="H145" s="39" t="s">
        <v>450</v>
      </c>
      <c r="I145" s="39"/>
      <c r="J145" s="3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9"/>
      <c r="V145" s="39"/>
      <c r="W145" s="39"/>
      <c r="X145" s="39"/>
      <c r="Y145" s="1"/>
      <c r="Z145" s="1"/>
      <c r="AA145" s="1"/>
      <c r="AB145" s="1"/>
      <c r="AC145" s="1"/>
      <c r="AD145" s="1"/>
      <c r="AE145" s="39"/>
      <c r="AF145" s="3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39"/>
      <c r="AW145" s="39"/>
      <c r="AX145" s="1"/>
      <c r="AY145" s="1"/>
      <c r="AZ145" s="1"/>
    </row>
    <row r="146" spans="1:52" x14ac:dyDescent="0.3">
      <c r="A146" s="22" t="s">
        <v>283</v>
      </c>
      <c r="B146" s="23" t="s">
        <v>284</v>
      </c>
      <c r="C146" s="53" t="s">
        <v>728</v>
      </c>
      <c r="D146" s="53" t="s">
        <v>450</v>
      </c>
      <c r="E146" s="53"/>
      <c r="F146" s="53" t="s">
        <v>929</v>
      </c>
      <c r="G146" s="53" t="s">
        <v>998</v>
      </c>
      <c r="H146" s="39" t="s">
        <v>450</v>
      </c>
      <c r="I146" s="39"/>
      <c r="J146" s="3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9"/>
      <c r="V146" s="39"/>
      <c r="W146" s="39"/>
      <c r="X146" s="39"/>
      <c r="Y146" s="1"/>
      <c r="Z146" s="1"/>
      <c r="AA146" s="1"/>
      <c r="AB146" s="1"/>
      <c r="AC146" s="1"/>
      <c r="AD146" s="1"/>
      <c r="AE146" s="39"/>
      <c r="AF146" s="3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39"/>
      <c r="AW146" s="39"/>
      <c r="AX146" s="1"/>
      <c r="AY146" s="1"/>
      <c r="AZ146" s="1"/>
    </row>
    <row r="147" spans="1:52" x14ac:dyDescent="0.3">
      <c r="A147" s="2" t="s">
        <v>285</v>
      </c>
      <c r="B147" s="3" t="s">
        <v>286</v>
      </c>
      <c r="C147" s="53" t="s">
        <v>729</v>
      </c>
      <c r="D147" s="53" t="s">
        <v>450</v>
      </c>
      <c r="E147" s="53"/>
      <c r="F147" s="53" t="s">
        <v>930</v>
      </c>
      <c r="G147" s="53" t="s">
        <v>998</v>
      </c>
      <c r="H147" s="39" t="s">
        <v>450</v>
      </c>
      <c r="I147" s="39"/>
      <c r="J147" s="3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9"/>
      <c r="V147" s="39"/>
      <c r="W147" s="39"/>
      <c r="X147" s="39"/>
      <c r="Y147" s="1"/>
      <c r="Z147" s="1"/>
      <c r="AA147" s="1"/>
      <c r="AB147" s="1"/>
      <c r="AC147" s="1"/>
      <c r="AD147" s="1"/>
      <c r="AE147" s="39"/>
      <c r="AF147" s="3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39"/>
      <c r="AW147" s="39"/>
      <c r="AX147" s="1"/>
      <c r="AY147" s="1"/>
      <c r="AZ147" s="1"/>
    </row>
    <row r="148" spans="1:52" x14ac:dyDescent="0.3">
      <c r="A148" s="2" t="s">
        <v>287</v>
      </c>
      <c r="B148" s="3" t="s">
        <v>288</v>
      </c>
      <c r="C148" s="53" t="s">
        <v>730</v>
      </c>
      <c r="D148" s="53" t="s">
        <v>450</v>
      </c>
      <c r="E148" s="53"/>
      <c r="F148" s="53" t="s">
        <v>931</v>
      </c>
      <c r="G148" s="53" t="s">
        <v>998</v>
      </c>
      <c r="H148" s="39" t="s">
        <v>450</v>
      </c>
      <c r="I148" s="39"/>
      <c r="J148" s="3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9"/>
      <c r="V148" s="39"/>
      <c r="W148" s="39"/>
      <c r="X148" s="39"/>
      <c r="Y148" s="1"/>
      <c r="Z148" s="1"/>
      <c r="AA148" s="1"/>
      <c r="AB148" s="1"/>
      <c r="AC148" s="1"/>
      <c r="AD148" s="1"/>
      <c r="AE148" s="39"/>
      <c r="AF148" s="3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9"/>
      <c r="AW148" s="39"/>
      <c r="AX148" s="1"/>
      <c r="AY148" s="1"/>
      <c r="AZ148" s="1"/>
    </row>
    <row r="149" spans="1:52" x14ac:dyDescent="0.3">
      <c r="A149" s="2" t="s">
        <v>289</v>
      </c>
      <c r="B149" s="3" t="s">
        <v>290</v>
      </c>
      <c r="C149" s="53" t="s">
        <v>731</v>
      </c>
      <c r="D149" s="53" t="s">
        <v>450</v>
      </c>
      <c r="E149" s="53"/>
      <c r="F149" s="53" t="s">
        <v>932</v>
      </c>
      <c r="G149" s="53" t="s">
        <v>998</v>
      </c>
      <c r="H149" s="39" t="s">
        <v>450</v>
      </c>
      <c r="I149" s="39"/>
      <c r="J149" s="3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9"/>
      <c r="V149" s="39"/>
      <c r="W149" s="39"/>
      <c r="X149" s="39"/>
      <c r="Y149" s="1"/>
      <c r="Z149" s="1"/>
      <c r="AA149" s="1"/>
      <c r="AB149" s="1"/>
      <c r="AC149" s="1"/>
      <c r="AD149" s="1"/>
      <c r="AE149" s="39"/>
      <c r="AF149" s="3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9"/>
      <c r="AW149" s="39"/>
      <c r="AX149" s="1"/>
      <c r="AY149" s="1"/>
      <c r="AZ149" s="1"/>
    </row>
    <row r="150" spans="1:52" x14ac:dyDescent="0.3">
      <c r="A150" s="17" t="s">
        <v>291</v>
      </c>
      <c r="B150" s="18" t="s">
        <v>292</v>
      </c>
      <c r="C150" s="53" t="s">
        <v>732</v>
      </c>
      <c r="D150" s="53" t="s">
        <v>450</v>
      </c>
      <c r="E150" s="53"/>
      <c r="F150" s="53" t="s">
        <v>933</v>
      </c>
      <c r="G150" s="53" t="s">
        <v>998</v>
      </c>
      <c r="H150" s="39" t="s">
        <v>450</v>
      </c>
      <c r="I150" s="39"/>
      <c r="J150" s="39"/>
      <c r="K150" s="1"/>
      <c r="L150" s="1"/>
      <c r="M150" s="1"/>
      <c r="N150" s="1"/>
      <c r="O150" s="1"/>
      <c r="P150" s="1"/>
      <c r="Q150" s="1"/>
      <c r="R150" s="1"/>
      <c r="S150" s="61" t="s">
        <v>577</v>
      </c>
      <c r="T150" s="1" t="s">
        <v>450</v>
      </c>
      <c r="U150" s="39"/>
      <c r="V150" s="39"/>
      <c r="W150" s="39"/>
      <c r="X150" s="39"/>
      <c r="Y150" s="1"/>
      <c r="Z150" s="1"/>
      <c r="AA150" s="1"/>
      <c r="AB150" s="1"/>
      <c r="AC150" s="1"/>
      <c r="AD150" s="1"/>
      <c r="AE150" s="39"/>
      <c r="AF150" s="3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9"/>
      <c r="AW150" s="39"/>
      <c r="AX150" s="1"/>
      <c r="AY150" s="1"/>
      <c r="AZ150" s="1"/>
    </row>
    <row r="151" spans="1:52" x14ac:dyDescent="0.3">
      <c r="A151" s="9" t="s">
        <v>293</v>
      </c>
      <c r="B151" s="10" t="s">
        <v>294</v>
      </c>
      <c r="C151" s="53" t="s">
        <v>733</v>
      </c>
      <c r="D151" s="53" t="s">
        <v>450</v>
      </c>
      <c r="E151" s="53"/>
      <c r="F151" s="53" t="s">
        <v>934</v>
      </c>
      <c r="G151" s="53" t="s">
        <v>998</v>
      </c>
      <c r="H151" s="39" t="s">
        <v>544</v>
      </c>
      <c r="I151" s="39" t="s">
        <v>450</v>
      </c>
      <c r="J151" s="39"/>
      <c r="K151" s="1"/>
      <c r="L151" s="1"/>
      <c r="M151" s="1"/>
      <c r="N151" s="1"/>
      <c r="O151" s="1"/>
      <c r="P151" s="1"/>
      <c r="Q151" s="61" t="s">
        <v>578</v>
      </c>
      <c r="R151" s="1" t="s">
        <v>450</v>
      </c>
      <c r="S151" s="1" t="s">
        <v>578</v>
      </c>
      <c r="T151" s="1" t="s">
        <v>450</v>
      </c>
      <c r="U151" s="39"/>
      <c r="V151" s="39"/>
      <c r="W151" s="39"/>
      <c r="X151" s="39"/>
      <c r="Y151" s="1"/>
      <c r="Z151" s="1"/>
      <c r="AA151" s="1"/>
      <c r="AB151" s="1"/>
      <c r="AC151" s="1"/>
      <c r="AD151" s="1"/>
      <c r="AE151" s="39"/>
      <c r="AF151" s="3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9"/>
      <c r="AW151" s="39"/>
      <c r="AX151" s="1"/>
      <c r="AY151" s="1"/>
      <c r="AZ151" s="1"/>
    </row>
    <row r="152" spans="1:52" x14ac:dyDescent="0.3">
      <c r="A152" s="13" t="s">
        <v>295</v>
      </c>
      <c r="B152" s="14" t="s">
        <v>296</v>
      </c>
      <c r="C152" s="53" t="s">
        <v>734</v>
      </c>
      <c r="D152" s="53" t="s">
        <v>450</v>
      </c>
      <c r="E152" s="53"/>
      <c r="F152" s="53" t="s">
        <v>935</v>
      </c>
      <c r="G152" s="53" t="s">
        <v>998</v>
      </c>
      <c r="H152" s="57" t="s">
        <v>579</v>
      </c>
      <c r="I152" s="39" t="s">
        <v>450</v>
      </c>
      <c r="J152" s="39"/>
      <c r="K152" s="61" t="s">
        <v>461</v>
      </c>
      <c r="L152" s="1" t="s">
        <v>450</v>
      </c>
      <c r="M152" s="1" t="s">
        <v>461</v>
      </c>
      <c r="N152" s="1" t="s">
        <v>450</v>
      </c>
      <c r="O152" s="1"/>
      <c r="P152" s="1"/>
      <c r="Q152" s="1" t="s">
        <v>461</v>
      </c>
      <c r="R152" s="1" t="s">
        <v>450</v>
      </c>
      <c r="S152" s="61" t="s">
        <v>461</v>
      </c>
      <c r="T152" s="1" t="s">
        <v>450</v>
      </c>
      <c r="U152" s="39"/>
      <c r="V152" s="39"/>
      <c r="W152" s="39"/>
      <c r="X152" s="39"/>
      <c r="Y152" s="1"/>
      <c r="Z152" s="1"/>
      <c r="AA152" s="1"/>
      <c r="AB152" s="1"/>
      <c r="AC152" s="1"/>
      <c r="AD152" s="1"/>
      <c r="AE152" s="39"/>
      <c r="AF152" s="3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9"/>
      <c r="AW152" s="39"/>
      <c r="AX152" s="1"/>
      <c r="AY152" s="1"/>
      <c r="AZ152" s="1"/>
    </row>
    <row r="153" spans="1:52" x14ac:dyDescent="0.3">
      <c r="A153" s="24" t="s">
        <v>297</v>
      </c>
      <c r="B153" s="25" t="s">
        <v>298</v>
      </c>
      <c r="C153" s="53" t="s">
        <v>735</v>
      </c>
      <c r="D153" s="53" t="s">
        <v>450</v>
      </c>
      <c r="E153" s="53"/>
      <c r="F153" s="53" t="s">
        <v>936</v>
      </c>
      <c r="G153" s="53" t="s">
        <v>998</v>
      </c>
      <c r="H153" s="39" t="s">
        <v>450</v>
      </c>
      <c r="I153" s="39"/>
      <c r="J153" s="3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9"/>
      <c r="V153" s="39"/>
      <c r="W153" s="39"/>
      <c r="X153" s="39"/>
      <c r="Y153" s="1"/>
      <c r="Z153" s="1"/>
      <c r="AA153" s="1"/>
      <c r="AB153" s="1"/>
      <c r="AC153" s="1"/>
      <c r="AD153" s="1"/>
      <c r="AE153" s="39"/>
      <c r="AF153" s="3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39"/>
      <c r="AW153" s="39"/>
      <c r="AX153" s="1"/>
      <c r="AY153" s="1"/>
      <c r="AZ153" s="1"/>
    </row>
    <row r="154" spans="1:52" x14ac:dyDescent="0.3">
      <c r="A154" s="19" t="s">
        <v>299</v>
      </c>
      <c r="B154" s="20" t="s">
        <v>300</v>
      </c>
      <c r="C154" s="53" t="s">
        <v>736</v>
      </c>
      <c r="D154" s="53" t="s">
        <v>450</v>
      </c>
      <c r="E154" s="53"/>
      <c r="F154" s="53" t="s">
        <v>937</v>
      </c>
      <c r="G154" s="53" t="s">
        <v>998</v>
      </c>
      <c r="H154" s="39" t="s">
        <v>450</v>
      </c>
      <c r="I154" s="39"/>
      <c r="J154" s="57" t="s">
        <v>487</v>
      </c>
      <c r="K154" s="1" t="s">
        <v>450</v>
      </c>
      <c r="L154" s="1"/>
      <c r="M154" s="1"/>
      <c r="N154" s="1"/>
      <c r="O154" s="1"/>
      <c r="P154" s="1"/>
      <c r="Q154" s="1"/>
      <c r="R154" s="1"/>
      <c r="S154" s="61" t="s">
        <v>580</v>
      </c>
      <c r="T154" s="1" t="s">
        <v>487</v>
      </c>
      <c r="U154" s="39" t="s">
        <v>450</v>
      </c>
      <c r="V154" s="39"/>
      <c r="W154" s="39"/>
      <c r="X154" s="39"/>
      <c r="Y154" s="1"/>
      <c r="Z154" s="1"/>
      <c r="AA154" s="1"/>
      <c r="AB154" s="1"/>
      <c r="AC154" s="1"/>
      <c r="AD154" s="1"/>
      <c r="AE154" s="39"/>
      <c r="AF154" s="3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39"/>
      <c r="AW154" s="39"/>
      <c r="AX154" s="1"/>
      <c r="AY154" s="1"/>
      <c r="AZ154" s="1"/>
    </row>
    <row r="155" spans="1:52" x14ac:dyDescent="0.3">
      <c r="A155" s="2" t="s">
        <v>301</v>
      </c>
      <c r="B155" s="3" t="s">
        <v>302</v>
      </c>
      <c r="C155" s="53" t="s">
        <v>737</v>
      </c>
      <c r="D155" s="53" t="s">
        <v>450</v>
      </c>
      <c r="E155" s="53"/>
      <c r="F155" s="53" t="s">
        <v>938</v>
      </c>
      <c r="G155" s="53" t="s">
        <v>998</v>
      </c>
      <c r="H155" s="39" t="s">
        <v>450</v>
      </c>
      <c r="I155" s="39"/>
      <c r="J155" s="3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9"/>
      <c r="V155" s="39"/>
      <c r="W155" s="39"/>
      <c r="X155" s="39"/>
      <c r="Y155" s="1"/>
      <c r="Z155" s="1"/>
      <c r="AA155" s="1"/>
      <c r="AB155" s="1"/>
      <c r="AC155" s="1"/>
      <c r="AD155" s="1"/>
      <c r="AE155" s="39"/>
      <c r="AF155" s="3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39"/>
      <c r="AW155" s="39"/>
      <c r="AX155" s="1"/>
      <c r="AY155" s="1"/>
      <c r="AZ155" s="1"/>
    </row>
    <row r="156" spans="1:52" x14ac:dyDescent="0.3">
      <c r="A156" s="4" t="s">
        <v>303</v>
      </c>
      <c r="B156" s="5" t="s">
        <v>304</v>
      </c>
      <c r="C156" s="53" t="s">
        <v>738</v>
      </c>
      <c r="D156" s="53" t="s">
        <v>450</v>
      </c>
      <c r="E156" s="53"/>
      <c r="F156" s="53" t="s">
        <v>939</v>
      </c>
      <c r="G156" s="53" t="s">
        <v>998</v>
      </c>
      <c r="H156" s="39" t="s">
        <v>450</v>
      </c>
      <c r="I156" s="39"/>
      <c r="J156" s="3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9"/>
      <c r="V156" s="39"/>
      <c r="W156" s="39"/>
      <c r="X156" s="39"/>
      <c r="Y156" s="1"/>
      <c r="Z156" s="1"/>
      <c r="AA156" s="1"/>
      <c r="AB156" s="1"/>
      <c r="AC156" s="1"/>
      <c r="AD156" s="1"/>
      <c r="AE156" s="39"/>
      <c r="AF156" s="3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39"/>
      <c r="AW156" s="39"/>
      <c r="AX156" s="1"/>
      <c r="AY156" s="1"/>
      <c r="AZ156" s="1"/>
    </row>
    <row r="157" spans="1:52" x14ac:dyDescent="0.3">
      <c r="A157" s="2" t="s">
        <v>305</v>
      </c>
      <c r="B157" s="3" t="s">
        <v>306</v>
      </c>
      <c r="C157" s="53" t="s">
        <v>739</v>
      </c>
      <c r="D157" s="53" t="s">
        <v>450</v>
      </c>
      <c r="E157" s="53"/>
      <c r="F157" s="53" t="s">
        <v>940</v>
      </c>
      <c r="G157" s="53" t="s">
        <v>998</v>
      </c>
      <c r="H157" s="39" t="s">
        <v>450</v>
      </c>
      <c r="I157" s="39"/>
      <c r="J157" s="3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9"/>
      <c r="V157" s="39"/>
      <c r="W157" s="39"/>
      <c r="X157" s="39"/>
      <c r="Y157" s="1"/>
      <c r="Z157" s="1"/>
      <c r="AA157" s="1"/>
      <c r="AB157" s="1"/>
      <c r="AC157" s="1"/>
      <c r="AD157" s="1"/>
      <c r="AE157" s="39"/>
      <c r="AF157" s="3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39"/>
      <c r="AW157" s="39"/>
      <c r="AX157" s="1"/>
      <c r="AY157" s="1"/>
      <c r="AZ157" s="1"/>
    </row>
    <row r="158" spans="1:52" x14ac:dyDescent="0.3">
      <c r="A158" s="9" t="s">
        <v>307</v>
      </c>
      <c r="B158" s="10" t="s">
        <v>308</v>
      </c>
      <c r="C158" s="53" t="s">
        <v>740</v>
      </c>
      <c r="D158" s="53" t="s">
        <v>450</v>
      </c>
      <c r="E158" s="53"/>
      <c r="F158" s="53" t="s">
        <v>941</v>
      </c>
      <c r="G158" s="53" t="s">
        <v>998</v>
      </c>
      <c r="H158" s="39" t="s">
        <v>450</v>
      </c>
      <c r="I158" s="39"/>
      <c r="J158" s="39"/>
      <c r="K158" s="1"/>
      <c r="L158" s="1"/>
      <c r="M158" s="1"/>
      <c r="N158" s="1"/>
      <c r="O158" s="1"/>
      <c r="P158" s="1"/>
      <c r="Q158" s="1"/>
      <c r="R158" s="1"/>
      <c r="S158" s="61" t="s">
        <v>468</v>
      </c>
      <c r="T158" s="1" t="s">
        <v>450</v>
      </c>
      <c r="U158" s="39"/>
      <c r="V158" s="39"/>
      <c r="W158" s="39"/>
      <c r="X158" s="39"/>
      <c r="Y158" s="1"/>
      <c r="Z158" s="1"/>
      <c r="AA158" s="1"/>
      <c r="AB158" s="1"/>
      <c r="AC158" s="1"/>
      <c r="AD158" s="61" t="s">
        <v>547</v>
      </c>
      <c r="AE158" s="39" t="s">
        <v>450</v>
      </c>
      <c r="AF158" s="3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39"/>
      <c r="AW158" s="39"/>
      <c r="AX158" s="1"/>
      <c r="AY158" s="1"/>
      <c r="AZ158" s="1"/>
    </row>
    <row r="159" spans="1:52" x14ac:dyDescent="0.3">
      <c r="A159" s="15" t="s">
        <v>309</v>
      </c>
      <c r="B159" s="16" t="s">
        <v>310</v>
      </c>
      <c r="C159" s="53" t="s">
        <v>741</v>
      </c>
      <c r="D159" s="53" t="s">
        <v>450</v>
      </c>
      <c r="E159" s="53"/>
      <c r="F159" s="53" t="s">
        <v>942</v>
      </c>
      <c r="G159" s="53" t="s">
        <v>998</v>
      </c>
      <c r="H159" s="57" t="s">
        <v>481</v>
      </c>
      <c r="I159" s="39"/>
      <c r="J159" s="39"/>
      <c r="K159" s="1"/>
      <c r="L159" s="1"/>
      <c r="M159" s="1"/>
      <c r="N159" s="1"/>
      <c r="O159" s="1"/>
      <c r="P159" s="1"/>
      <c r="Q159" s="1"/>
      <c r="R159" s="1"/>
      <c r="S159" s="1" t="s">
        <v>481</v>
      </c>
      <c r="T159" s="1" t="s">
        <v>450</v>
      </c>
      <c r="U159" s="39"/>
      <c r="V159" s="39"/>
      <c r="W159" s="39"/>
      <c r="X159" s="39"/>
      <c r="Y159" s="1"/>
      <c r="Z159" s="1"/>
      <c r="AA159" s="1"/>
      <c r="AB159" s="1"/>
      <c r="AC159" s="1"/>
      <c r="AD159" s="1"/>
      <c r="AE159" s="39"/>
      <c r="AF159" s="3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39"/>
      <c r="AW159" s="39"/>
      <c r="AX159" s="1"/>
      <c r="AY159" s="1"/>
      <c r="AZ159" s="1"/>
    </row>
    <row r="160" spans="1:52" x14ac:dyDescent="0.3">
      <c r="A160" s="17" t="s">
        <v>311</v>
      </c>
      <c r="B160" s="18" t="s">
        <v>312</v>
      </c>
      <c r="C160" s="53" t="s">
        <v>742</v>
      </c>
      <c r="D160" s="53" t="s">
        <v>450</v>
      </c>
      <c r="E160" s="53"/>
      <c r="F160" s="53" t="s">
        <v>943</v>
      </c>
      <c r="G160" s="53" t="s">
        <v>998</v>
      </c>
      <c r="H160" s="39" t="s">
        <v>544</v>
      </c>
      <c r="I160" s="39" t="s">
        <v>450</v>
      </c>
      <c r="J160" s="57" t="s">
        <v>581</v>
      </c>
      <c r="K160" s="1" t="s">
        <v>450</v>
      </c>
      <c r="L160" s="1"/>
      <c r="M160" s="1"/>
      <c r="N160" s="1"/>
      <c r="O160" s="1"/>
      <c r="P160" s="1"/>
      <c r="Q160" s="1"/>
      <c r="R160" s="1"/>
      <c r="S160" s="61" t="s">
        <v>581</v>
      </c>
      <c r="T160" s="1" t="s">
        <v>450</v>
      </c>
      <c r="U160" s="39"/>
      <c r="V160" s="39"/>
      <c r="W160" s="39"/>
      <c r="X160" s="39"/>
      <c r="Y160" s="1"/>
      <c r="Z160" s="1"/>
      <c r="AA160" s="1"/>
      <c r="AB160" s="1"/>
      <c r="AC160" s="1"/>
      <c r="AD160" s="1"/>
      <c r="AE160" s="39"/>
      <c r="AF160" s="3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39"/>
      <c r="AW160" s="39"/>
      <c r="AX160" s="1"/>
      <c r="AY160" s="1"/>
      <c r="AZ160" s="1"/>
    </row>
    <row r="161" spans="1:52" x14ac:dyDescent="0.3">
      <c r="A161" s="2" t="s">
        <v>313</v>
      </c>
      <c r="B161" s="3" t="s">
        <v>314</v>
      </c>
      <c r="C161" s="53" t="s">
        <v>743</v>
      </c>
      <c r="D161" s="53" t="s">
        <v>450</v>
      </c>
      <c r="E161" s="53"/>
      <c r="F161" s="53" t="s">
        <v>944</v>
      </c>
      <c r="G161" s="53" t="s">
        <v>998</v>
      </c>
      <c r="H161" s="39" t="s">
        <v>450</v>
      </c>
      <c r="I161" s="39"/>
      <c r="J161" s="3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9"/>
      <c r="V161" s="39"/>
      <c r="W161" s="39"/>
      <c r="X161" s="39"/>
      <c r="Y161" s="1"/>
      <c r="Z161" s="1"/>
      <c r="AA161" s="1"/>
      <c r="AB161" s="1"/>
      <c r="AC161" s="1"/>
      <c r="AD161" s="1"/>
      <c r="AE161" s="39"/>
      <c r="AF161" s="3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39"/>
      <c r="AW161" s="39"/>
      <c r="AX161" s="1"/>
      <c r="AY161" s="1"/>
      <c r="AZ161" s="1"/>
    </row>
    <row r="162" spans="1:52" x14ac:dyDescent="0.3">
      <c r="A162" s="13" t="s">
        <v>315</v>
      </c>
      <c r="B162" s="14" t="s">
        <v>316</v>
      </c>
      <c r="C162" s="53" t="s">
        <v>744</v>
      </c>
      <c r="D162" s="53" t="s">
        <v>450</v>
      </c>
      <c r="E162" s="53"/>
      <c r="F162" s="53" t="s">
        <v>945</v>
      </c>
      <c r="G162" s="53" t="s">
        <v>998</v>
      </c>
      <c r="H162" s="39" t="s">
        <v>544</v>
      </c>
      <c r="I162" s="39" t="s">
        <v>450</v>
      </c>
      <c r="J162" s="57"/>
      <c r="K162" s="1" t="s">
        <v>450</v>
      </c>
      <c r="L162" s="1"/>
      <c r="M162" s="1"/>
      <c r="N162" s="1"/>
      <c r="O162" s="1"/>
      <c r="P162" s="1"/>
      <c r="Q162" s="1"/>
      <c r="R162" s="1"/>
      <c r="S162" s="61" t="s">
        <v>541</v>
      </c>
      <c r="T162" s="1" t="s">
        <v>450</v>
      </c>
      <c r="U162" s="39"/>
      <c r="V162" s="39"/>
      <c r="W162" s="39"/>
      <c r="X162" s="39"/>
      <c r="Y162" s="1"/>
      <c r="Z162" s="1"/>
      <c r="AA162" s="1"/>
      <c r="AB162" s="1"/>
      <c r="AC162" s="1"/>
      <c r="AD162" s="1"/>
      <c r="AE162" s="39"/>
      <c r="AF162" s="3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39"/>
      <c r="AW162" s="39"/>
      <c r="AX162" s="1"/>
      <c r="AY162" s="1"/>
      <c r="AZ162" s="1"/>
    </row>
    <row r="163" spans="1:52" x14ac:dyDescent="0.3">
      <c r="A163" s="24" t="s">
        <v>317</v>
      </c>
      <c r="B163" s="25" t="s">
        <v>318</v>
      </c>
      <c r="C163" s="53" t="s">
        <v>745</v>
      </c>
      <c r="D163" s="53" t="s">
        <v>450</v>
      </c>
      <c r="E163" s="53"/>
      <c r="F163" s="53" t="s">
        <v>946</v>
      </c>
      <c r="G163" s="53" t="s">
        <v>998</v>
      </c>
      <c r="H163" s="39" t="s">
        <v>450</v>
      </c>
      <c r="I163" s="39"/>
      <c r="J163" s="3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9"/>
      <c r="V163" s="39"/>
      <c r="W163" s="39"/>
      <c r="X163" s="39"/>
      <c r="Y163" s="1"/>
      <c r="Z163" s="1"/>
      <c r="AA163" s="1"/>
      <c r="AB163" s="1"/>
      <c r="AC163" s="1"/>
      <c r="AD163" s="1"/>
      <c r="AE163" s="39"/>
      <c r="AF163" s="3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39"/>
      <c r="AW163" s="39"/>
      <c r="AX163" s="1"/>
      <c r="AY163" s="1"/>
      <c r="AZ163" s="1"/>
    </row>
    <row r="164" spans="1:52" x14ac:dyDescent="0.3">
      <c r="A164" s="2" t="s">
        <v>319</v>
      </c>
      <c r="B164" s="3" t="s">
        <v>320</v>
      </c>
      <c r="C164" s="53" t="s">
        <v>746</v>
      </c>
      <c r="D164" s="53" t="s">
        <v>450</v>
      </c>
      <c r="E164" s="53"/>
      <c r="F164" s="53" t="s">
        <v>947</v>
      </c>
      <c r="G164" s="53" t="s">
        <v>998</v>
      </c>
      <c r="H164" s="39" t="s">
        <v>450</v>
      </c>
      <c r="I164" s="39"/>
      <c r="J164" s="3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9"/>
      <c r="V164" s="39"/>
      <c r="W164" s="39"/>
      <c r="X164" s="39"/>
      <c r="Y164" s="1"/>
      <c r="Z164" s="1"/>
      <c r="AA164" s="1"/>
      <c r="AB164" s="1"/>
      <c r="AC164" s="1"/>
      <c r="AD164" s="1"/>
      <c r="AE164" s="39"/>
      <c r="AF164" s="3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39"/>
      <c r="AW164" s="39"/>
      <c r="AX164" s="1"/>
      <c r="AY164" s="1"/>
      <c r="AZ164" s="1"/>
    </row>
    <row r="165" spans="1:52" x14ac:dyDescent="0.3">
      <c r="A165" s="2" t="s">
        <v>321</v>
      </c>
      <c r="B165" s="3" t="s">
        <v>322</v>
      </c>
      <c r="C165" s="53" t="s">
        <v>747</v>
      </c>
      <c r="D165" s="53" t="s">
        <v>450</v>
      </c>
      <c r="E165" s="53"/>
      <c r="F165" s="53" t="s">
        <v>948</v>
      </c>
      <c r="G165" s="53" t="s">
        <v>998</v>
      </c>
      <c r="H165" s="39" t="s">
        <v>450</v>
      </c>
      <c r="I165" s="39"/>
      <c r="J165" s="57"/>
      <c r="K165" s="1" t="s">
        <v>583</v>
      </c>
      <c r="L165" s="1" t="s">
        <v>450</v>
      </c>
      <c r="M165" s="1"/>
      <c r="N165" s="1"/>
      <c r="O165" s="1"/>
      <c r="P165" s="1"/>
      <c r="Q165" s="1"/>
      <c r="R165" s="1"/>
      <c r="S165" s="1" t="s">
        <v>583</v>
      </c>
      <c r="T165" s="1" t="s">
        <v>450</v>
      </c>
      <c r="U165" s="39"/>
      <c r="V165" s="39"/>
      <c r="W165" s="39"/>
      <c r="X165" s="39"/>
      <c r="Y165" s="1"/>
      <c r="Z165" s="1"/>
      <c r="AA165" s="1"/>
      <c r="AB165" s="1"/>
      <c r="AC165" s="1"/>
      <c r="AD165" s="1"/>
      <c r="AE165" s="39"/>
      <c r="AF165" s="3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39"/>
      <c r="AW165" s="39"/>
      <c r="AX165" s="1"/>
      <c r="AY165" s="1"/>
      <c r="AZ165" s="1"/>
    </row>
    <row r="166" spans="1:52" x14ac:dyDescent="0.3">
      <c r="A166" s="2" t="s">
        <v>323</v>
      </c>
      <c r="B166" s="3" t="s">
        <v>324</v>
      </c>
      <c r="C166" s="53" t="s">
        <v>748</v>
      </c>
      <c r="D166" s="53" t="s">
        <v>450</v>
      </c>
      <c r="E166" s="53"/>
      <c r="F166" s="53" t="s">
        <v>949</v>
      </c>
      <c r="G166" s="53" t="s">
        <v>998</v>
      </c>
      <c r="H166" s="39" t="s">
        <v>450</v>
      </c>
      <c r="I166" s="39"/>
      <c r="J166" s="3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9"/>
      <c r="V166" s="39"/>
      <c r="W166" s="39"/>
      <c r="X166" s="39"/>
      <c r="Y166" s="1"/>
      <c r="Z166" s="1"/>
      <c r="AA166" s="1"/>
      <c r="AB166" s="1"/>
      <c r="AC166" s="1"/>
      <c r="AD166" s="1"/>
      <c r="AE166" s="39"/>
      <c r="AF166" s="3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39"/>
      <c r="AW166" s="39"/>
      <c r="AX166" s="1"/>
      <c r="AY166" s="1"/>
      <c r="AZ166" s="1"/>
    </row>
    <row r="167" spans="1:52" x14ac:dyDescent="0.3">
      <c r="A167" s="13" t="s">
        <v>325</v>
      </c>
      <c r="B167" s="14" t="s">
        <v>326</v>
      </c>
      <c r="C167" s="53" t="s">
        <v>749</v>
      </c>
      <c r="D167" s="53" t="s">
        <v>450</v>
      </c>
      <c r="E167" s="53"/>
      <c r="F167" s="53" t="s">
        <v>950</v>
      </c>
      <c r="G167" s="53" t="s">
        <v>998</v>
      </c>
      <c r="H167" s="39" t="s">
        <v>450</v>
      </c>
      <c r="I167" s="39"/>
      <c r="J167" s="39"/>
      <c r="K167" s="1"/>
      <c r="L167" s="1"/>
      <c r="M167" s="1"/>
      <c r="N167" s="1"/>
      <c r="O167" s="1"/>
      <c r="P167" s="1"/>
      <c r="Q167" s="1"/>
      <c r="R167" s="1"/>
      <c r="S167" s="1" t="s">
        <v>992</v>
      </c>
      <c r="T167" s="1" t="s">
        <v>450</v>
      </c>
      <c r="U167" s="39"/>
      <c r="V167" s="39"/>
      <c r="W167" s="39"/>
      <c r="X167" s="39"/>
      <c r="Y167" s="1"/>
      <c r="Z167" s="1"/>
      <c r="AA167" s="1"/>
      <c r="AB167" s="1"/>
      <c r="AC167" s="1"/>
      <c r="AD167" s="1"/>
      <c r="AE167" s="39"/>
      <c r="AF167" s="3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39"/>
      <c r="AW167" s="39"/>
      <c r="AX167" s="1"/>
      <c r="AY167" s="1"/>
      <c r="AZ167" s="1"/>
    </row>
    <row r="168" spans="1:52" x14ac:dyDescent="0.3">
      <c r="A168" s="2" t="s">
        <v>327</v>
      </c>
      <c r="B168" s="3" t="s">
        <v>328</v>
      </c>
      <c r="C168" s="53" t="s">
        <v>750</v>
      </c>
      <c r="D168" s="53" t="s">
        <v>450</v>
      </c>
      <c r="E168" s="53"/>
      <c r="F168" s="53" t="s">
        <v>951</v>
      </c>
      <c r="G168" s="53" t="s">
        <v>998</v>
      </c>
      <c r="H168" s="39" t="s">
        <v>450</v>
      </c>
      <c r="I168" s="39"/>
      <c r="J168" s="3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9"/>
      <c r="V168" s="39"/>
      <c r="W168" s="39"/>
      <c r="X168" s="39"/>
      <c r="Y168" s="1"/>
      <c r="Z168" s="1"/>
      <c r="AA168" s="1"/>
      <c r="AB168" s="1"/>
      <c r="AC168" s="1"/>
      <c r="AD168" s="1"/>
      <c r="AE168" s="39"/>
      <c r="AF168" s="3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39"/>
      <c r="AW168" s="39"/>
      <c r="AX168" s="1"/>
      <c r="AY168" s="1"/>
      <c r="AZ168" s="1"/>
    </row>
    <row r="169" spans="1:52" x14ac:dyDescent="0.3">
      <c r="A169" s="2" t="s">
        <v>329</v>
      </c>
      <c r="B169" s="3" t="s">
        <v>330</v>
      </c>
      <c r="C169" s="53" t="s">
        <v>751</v>
      </c>
      <c r="D169" s="53" t="s">
        <v>450</v>
      </c>
      <c r="E169" s="53"/>
      <c r="F169" s="53" t="s">
        <v>952</v>
      </c>
      <c r="G169" s="53" t="s">
        <v>998</v>
      </c>
      <c r="H169" s="39" t="s">
        <v>450</v>
      </c>
      <c r="I169" s="39"/>
      <c r="J169" s="3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9"/>
      <c r="V169" s="39"/>
      <c r="W169" s="39"/>
      <c r="X169" s="39"/>
      <c r="Y169" s="1"/>
      <c r="Z169" s="1"/>
      <c r="AA169" s="1"/>
      <c r="AB169" s="1"/>
      <c r="AC169" s="1"/>
      <c r="AD169" s="1"/>
      <c r="AE169" s="39"/>
      <c r="AF169" s="3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39"/>
      <c r="AW169" s="39"/>
      <c r="AX169" s="1"/>
      <c r="AY169" s="1"/>
      <c r="AZ169" s="1"/>
    </row>
    <row r="170" spans="1:52" x14ac:dyDescent="0.3">
      <c r="A170" s="2" t="s">
        <v>331</v>
      </c>
      <c r="B170" s="3" t="s">
        <v>332</v>
      </c>
      <c r="C170" s="53" t="s">
        <v>752</v>
      </c>
      <c r="D170" s="53" t="s">
        <v>450</v>
      </c>
      <c r="E170" s="53"/>
      <c r="F170" s="53" t="s">
        <v>953</v>
      </c>
      <c r="G170" s="53" t="s">
        <v>998</v>
      </c>
      <c r="H170" s="39" t="s">
        <v>450</v>
      </c>
      <c r="I170" s="39"/>
      <c r="J170" s="3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9"/>
      <c r="V170" s="39"/>
      <c r="W170" s="39"/>
      <c r="X170" s="39"/>
      <c r="Y170" s="1"/>
      <c r="Z170" s="1"/>
      <c r="AA170" s="1"/>
      <c r="AB170" s="1"/>
      <c r="AC170" s="1"/>
      <c r="AD170" s="1"/>
      <c r="AE170" s="39"/>
      <c r="AF170" s="3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39"/>
      <c r="AW170" s="39"/>
      <c r="AX170" s="1"/>
      <c r="AY170" s="1"/>
      <c r="AZ170" s="1"/>
    </row>
    <row r="171" spans="1:52" x14ac:dyDescent="0.3">
      <c r="A171" s="2" t="s">
        <v>333</v>
      </c>
      <c r="B171" s="3" t="s">
        <v>334</v>
      </c>
      <c r="C171" s="53" t="s">
        <v>753</v>
      </c>
      <c r="D171" s="53" t="s">
        <v>450</v>
      </c>
      <c r="E171" s="53"/>
      <c r="F171" s="53" t="s">
        <v>954</v>
      </c>
      <c r="G171" s="53" t="s">
        <v>998</v>
      </c>
      <c r="H171" s="39" t="s">
        <v>450</v>
      </c>
      <c r="I171" s="39"/>
      <c r="J171" s="3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9"/>
      <c r="V171" s="39"/>
      <c r="W171" s="39"/>
      <c r="X171" s="39"/>
      <c r="Y171" s="1"/>
      <c r="Z171" s="1"/>
      <c r="AA171" s="1"/>
      <c r="AB171" s="1"/>
      <c r="AC171" s="1"/>
      <c r="AD171" s="1"/>
      <c r="AE171" s="39"/>
      <c r="AF171" s="3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39"/>
      <c r="AW171" s="39"/>
      <c r="AX171" s="1"/>
      <c r="AY171" s="1"/>
      <c r="AZ171" s="1"/>
    </row>
    <row r="172" spans="1:52" x14ac:dyDescent="0.3">
      <c r="A172" s="4" t="s">
        <v>335</v>
      </c>
      <c r="B172" s="5" t="s">
        <v>336</v>
      </c>
      <c r="C172" s="53" t="s">
        <v>754</v>
      </c>
      <c r="D172" s="53" t="s">
        <v>450</v>
      </c>
      <c r="E172" s="53"/>
      <c r="F172" s="53" t="s">
        <v>955</v>
      </c>
      <c r="G172" s="53" t="s">
        <v>998</v>
      </c>
      <c r="H172" s="39" t="s">
        <v>450</v>
      </c>
      <c r="I172" s="39" t="s">
        <v>450</v>
      </c>
      <c r="J172" s="3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9"/>
      <c r="V172" s="39"/>
      <c r="W172" s="39"/>
      <c r="X172" s="39"/>
      <c r="Y172" s="1"/>
      <c r="Z172" s="1"/>
      <c r="AA172" s="1"/>
      <c r="AB172" s="1"/>
      <c r="AC172" s="1"/>
      <c r="AD172" s="1"/>
      <c r="AE172" s="39"/>
      <c r="AF172" s="3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39"/>
      <c r="AW172" s="39"/>
      <c r="AX172" s="1"/>
      <c r="AY172" s="1"/>
      <c r="AZ172" s="1"/>
    </row>
    <row r="173" spans="1:52" x14ac:dyDescent="0.3">
      <c r="A173" s="22" t="s">
        <v>337</v>
      </c>
      <c r="B173" s="23" t="s">
        <v>338</v>
      </c>
      <c r="C173" s="53" t="s">
        <v>755</v>
      </c>
      <c r="D173" s="53" t="s">
        <v>450</v>
      </c>
      <c r="E173" s="53"/>
      <c r="F173" s="53" t="s">
        <v>956</v>
      </c>
      <c r="G173" s="53" t="s">
        <v>998</v>
      </c>
      <c r="H173" s="57" t="s">
        <v>542</v>
      </c>
      <c r="I173" s="39" t="s">
        <v>450</v>
      </c>
      <c r="J173" s="39"/>
      <c r="K173" s="1"/>
      <c r="L173" s="1"/>
      <c r="M173" s="1"/>
      <c r="N173" s="1"/>
      <c r="O173" s="1"/>
      <c r="P173" s="1"/>
      <c r="Q173" s="1"/>
      <c r="R173" s="1"/>
      <c r="S173" s="1"/>
      <c r="T173" s="1"/>
      <c r="V173" s="39"/>
      <c r="W173" s="39"/>
      <c r="X173" s="39"/>
      <c r="Y173" s="1"/>
      <c r="Z173" s="1"/>
      <c r="AA173" s="1"/>
      <c r="AB173" s="1"/>
      <c r="AC173" s="1"/>
      <c r="AD173" s="1"/>
      <c r="AE173" s="39"/>
      <c r="AF173" s="3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39" t="s">
        <v>542</v>
      </c>
      <c r="AW173" s="39" t="s">
        <v>450</v>
      </c>
      <c r="AX173" s="1"/>
      <c r="AY173" s="1"/>
      <c r="AZ173" s="1"/>
    </row>
    <row r="174" spans="1:52" x14ac:dyDescent="0.3">
      <c r="A174" s="13" t="s">
        <v>339</v>
      </c>
      <c r="B174" s="14" t="s">
        <v>340</v>
      </c>
      <c r="C174" s="53" t="s">
        <v>756</v>
      </c>
      <c r="D174" s="53" t="s">
        <v>450</v>
      </c>
      <c r="E174" s="53"/>
      <c r="F174" s="53" t="s">
        <v>957</v>
      </c>
      <c r="G174" s="53" t="s">
        <v>998</v>
      </c>
      <c r="H174" s="39" t="s">
        <v>450</v>
      </c>
      <c r="I174" s="39"/>
      <c r="J174" s="3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9"/>
      <c r="V174" s="39"/>
      <c r="W174" s="39"/>
      <c r="X174" s="39"/>
      <c r="Y174" s="1"/>
      <c r="Z174" s="1"/>
      <c r="AA174" s="1"/>
      <c r="AB174" s="1"/>
      <c r="AC174" s="1"/>
      <c r="AD174" s="1"/>
      <c r="AE174" s="39"/>
      <c r="AF174" s="3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39"/>
      <c r="AW174" s="39"/>
      <c r="AX174" s="1"/>
      <c r="AY174" s="1"/>
      <c r="AZ174" s="1"/>
    </row>
    <row r="175" spans="1:52" x14ac:dyDescent="0.3">
      <c r="A175" s="2" t="s">
        <v>341</v>
      </c>
      <c r="B175" s="3" t="s">
        <v>342</v>
      </c>
      <c r="C175" s="53" t="s">
        <v>757</v>
      </c>
      <c r="D175" s="53" t="s">
        <v>450</v>
      </c>
      <c r="E175" s="53"/>
      <c r="F175" s="53" t="s">
        <v>958</v>
      </c>
      <c r="G175" s="53" t="s">
        <v>998</v>
      </c>
      <c r="H175" s="39" t="s">
        <v>450</v>
      </c>
      <c r="I175" s="39"/>
      <c r="J175" s="3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9"/>
      <c r="V175" s="39"/>
      <c r="W175" s="39"/>
      <c r="X175" s="39"/>
      <c r="Y175" s="1"/>
      <c r="Z175" s="1"/>
      <c r="AA175" s="1"/>
      <c r="AB175" s="1"/>
      <c r="AC175" s="1"/>
      <c r="AD175" s="1"/>
      <c r="AE175" s="39"/>
      <c r="AF175" s="3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39"/>
      <c r="AW175" s="39"/>
      <c r="AX175" s="1"/>
      <c r="AY175" s="1"/>
      <c r="AZ175" s="1"/>
    </row>
    <row r="176" spans="1:52" x14ac:dyDescent="0.3">
      <c r="A176" s="2" t="s">
        <v>343</v>
      </c>
      <c r="B176" s="3" t="s">
        <v>344</v>
      </c>
      <c r="C176" s="53" t="s">
        <v>758</v>
      </c>
      <c r="D176" s="53" t="s">
        <v>450</v>
      </c>
      <c r="E176" s="53"/>
      <c r="F176" s="53" t="s">
        <v>959</v>
      </c>
      <c r="G176" s="53" t="s">
        <v>998</v>
      </c>
      <c r="H176" s="39" t="s">
        <v>450</v>
      </c>
      <c r="I176" s="39"/>
      <c r="J176" s="3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9"/>
      <c r="V176" s="39"/>
      <c r="W176" s="39"/>
      <c r="X176" s="39"/>
      <c r="Y176" s="1"/>
      <c r="Z176" s="1"/>
      <c r="AA176" s="1"/>
      <c r="AB176" s="1"/>
      <c r="AC176" s="1"/>
      <c r="AD176" s="1"/>
      <c r="AE176" s="39"/>
      <c r="AF176" s="3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39"/>
      <c r="AW176" s="39"/>
      <c r="AX176" s="1"/>
      <c r="AY176" s="1"/>
      <c r="AZ176" s="1"/>
    </row>
    <row r="177" spans="1:52" x14ac:dyDescent="0.3">
      <c r="A177" s="4" t="s">
        <v>345</v>
      </c>
      <c r="B177" s="5" t="s">
        <v>346</v>
      </c>
      <c r="C177" s="53" t="s">
        <v>759</v>
      </c>
      <c r="D177" s="53" t="s">
        <v>450</v>
      </c>
      <c r="E177" s="53"/>
      <c r="F177" s="53" t="s">
        <v>960</v>
      </c>
      <c r="G177" s="53" t="s">
        <v>998</v>
      </c>
      <c r="H177" s="39" t="s">
        <v>450</v>
      </c>
      <c r="I177" s="39"/>
      <c r="J177" s="3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9"/>
      <c r="V177" s="39"/>
      <c r="W177" s="39"/>
      <c r="X177" s="39"/>
      <c r="Y177" s="1"/>
      <c r="Z177" s="1"/>
      <c r="AA177" s="1"/>
      <c r="AB177" s="1"/>
      <c r="AC177" s="1"/>
      <c r="AD177" s="1"/>
      <c r="AE177" s="39"/>
      <c r="AF177" s="3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39"/>
      <c r="AW177" s="39"/>
      <c r="AX177" s="1"/>
      <c r="AY177" s="1"/>
      <c r="AZ177" s="1"/>
    </row>
    <row r="178" spans="1:52" x14ac:dyDescent="0.3">
      <c r="A178" s="4" t="s">
        <v>347</v>
      </c>
      <c r="B178" s="5" t="s">
        <v>348</v>
      </c>
      <c r="C178" s="53" t="s">
        <v>760</v>
      </c>
      <c r="D178" s="53" t="s">
        <v>450</v>
      </c>
      <c r="E178" s="53"/>
      <c r="F178" s="53" t="s">
        <v>961</v>
      </c>
      <c r="G178" s="53" t="s">
        <v>998</v>
      </c>
      <c r="H178" s="39" t="s">
        <v>450</v>
      </c>
      <c r="I178" s="39"/>
      <c r="J178" s="3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9"/>
      <c r="V178" s="39"/>
      <c r="W178" s="39"/>
      <c r="X178" s="39"/>
      <c r="Y178" s="1"/>
      <c r="Z178" s="1"/>
      <c r="AA178" s="1"/>
      <c r="AB178" s="1"/>
      <c r="AC178" s="1"/>
      <c r="AD178" s="1"/>
      <c r="AE178" s="39"/>
      <c r="AF178" s="3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39"/>
      <c r="AW178" s="39"/>
      <c r="AX178" s="1"/>
      <c r="AY178" s="1"/>
      <c r="AZ178" s="1"/>
    </row>
    <row r="179" spans="1:52" x14ac:dyDescent="0.3">
      <c r="A179" s="4" t="s">
        <v>349</v>
      </c>
      <c r="B179" s="5" t="s">
        <v>350</v>
      </c>
      <c r="C179" s="53" t="s">
        <v>761</v>
      </c>
      <c r="D179" s="53" t="s">
        <v>450</v>
      </c>
      <c r="E179" s="53"/>
      <c r="F179" s="53" t="s">
        <v>962</v>
      </c>
      <c r="G179" s="53" t="s">
        <v>998</v>
      </c>
      <c r="H179" s="39" t="s">
        <v>450</v>
      </c>
      <c r="I179" s="39"/>
      <c r="J179" s="3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9"/>
      <c r="V179" s="39"/>
      <c r="W179" s="39"/>
      <c r="X179" s="39"/>
      <c r="Y179" s="1"/>
      <c r="Z179" s="1"/>
      <c r="AA179" s="1"/>
      <c r="AB179" s="1"/>
      <c r="AC179" s="1"/>
      <c r="AD179" s="1"/>
      <c r="AE179" s="39"/>
      <c r="AF179" s="3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39"/>
      <c r="AW179" s="39"/>
      <c r="AX179" s="1"/>
      <c r="AY179" s="1"/>
      <c r="AZ179" s="1"/>
    </row>
    <row r="180" spans="1:52" x14ac:dyDescent="0.3">
      <c r="A180" s="13" t="s">
        <v>351</v>
      </c>
      <c r="B180" s="14" t="s">
        <v>352</v>
      </c>
      <c r="C180" s="53" t="s">
        <v>762</v>
      </c>
      <c r="D180" s="53" t="s">
        <v>450</v>
      </c>
      <c r="E180" s="53"/>
      <c r="F180" s="53" t="s">
        <v>963</v>
      </c>
      <c r="G180" s="53" t="s">
        <v>998</v>
      </c>
      <c r="H180" s="39" t="s">
        <v>450</v>
      </c>
      <c r="I180" s="39"/>
      <c r="J180" s="57" t="s">
        <v>478</v>
      </c>
      <c r="K180" s="1"/>
      <c r="L180" s="1"/>
      <c r="M180" s="1"/>
      <c r="N180" s="1"/>
      <c r="O180" s="1"/>
      <c r="P180" s="1"/>
      <c r="Q180" s="1"/>
      <c r="R180" s="1"/>
      <c r="S180" s="1" t="s">
        <v>992</v>
      </c>
      <c r="T180" s="1" t="s">
        <v>450</v>
      </c>
      <c r="U180" s="39"/>
      <c r="V180" s="39"/>
      <c r="W180" s="39"/>
      <c r="X180" s="39"/>
      <c r="Y180" s="1"/>
      <c r="Z180" s="1"/>
      <c r="AA180" s="1"/>
      <c r="AB180" s="1"/>
      <c r="AC180" s="1"/>
      <c r="AD180" s="1"/>
      <c r="AE180" s="39"/>
      <c r="AF180" s="3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39"/>
      <c r="AW180" s="39"/>
      <c r="AX180" s="1"/>
      <c r="AY180" s="1"/>
      <c r="AZ180" s="1"/>
    </row>
    <row r="181" spans="1:52" x14ac:dyDescent="0.3">
      <c r="A181" s="24" t="s">
        <v>353</v>
      </c>
      <c r="B181" s="25" t="s">
        <v>354</v>
      </c>
      <c r="C181" s="53" t="s">
        <v>763</v>
      </c>
      <c r="D181" s="53" t="s">
        <v>450</v>
      </c>
      <c r="E181" s="53"/>
      <c r="F181" s="53" t="s">
        <v>964</v>
      </c>
      <c r="G181" s="53" t="s">
        <v>998</v>
      </c>
      <c r="H181" s="39" t="s">
        <v>450</v>
      </c>
      <c r="I181" s="39"/>
      <c r="J181" s="39"/>
      <c r="K181" s="1"/>
      <c r="L181" s="1"/>
      <c r="M181" s="1"/>
      <c r="N181" s="1"/>
      <c r="O181" s="1"/>
      <c r="P181" s="1"/>
      <c r="Q181" s="1"/>
      <c r="R181" s="1"/>
      <c r="S181" s="61" t="s">
        <v>503</v>
      </c>
      <c r="T181" s="1" t="s">
        <v>450</v>
      </c>
      <c r="U181" s="39"/>
      <c r="V181" s="39"/>
      <c r="W181" s="39"/>
      <c r="X181" s="39"/>
      <c r="Y181" s="1"/>
      <c r="Z181" s="1"/>
      <c r="AA181" s="1"/>
      <c r="AB181" s="1"/>
      <c r="AC181" s="1"/>
      <c r="AD181" s="1"/>
      <c r="AE181" s="39"/>
      <c r="AF181" s="3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39"/>
      <c r="AW181" s="39"/>
      <c r="AX181" s="1"/>
      <c r="AY181" s="1"/>
      <c r="AZ181" s="1"/>
    </row>
    <row r="182" spans="1:52" x14ac:dyDescent="0.3">
      <c r="A182" s="17" t="s">
        <v>355</v>
      </c>
      <c r="B182" s="18" t="s">
        <v>356</v>
      </c>
      <c r="C182" s="53" t="s">
        <v>764</v>
      </c>
      <c r="D182" s="53" t="s">
        <v>450</v>
      </c>
      <c r="E182" s="53"/>
      <c r="F182" s="53" t="s">
        <v>965</v>
      </c>
      <c r="G182" s="53" t="s">
        <v>998</v>
      </c>
      <c r="H182" s="39" t="s">
        <v>450</v>
      </c>
      <c r="I182" s="39"/>
      <c r="J182" s="39"/>
      <c r="K182" s="1"/>
      <c r="L182" s="1"/>
      <c r="M182" s="1"/>
      <c r="N182" s="1"/>
      <c r="O182" s="1"/>
      <c r="P182" s="1"/>
      <c r="Q182" s="1"/>
      <c r="R182" s="1"/>
      <c r="S182" s="1" t="s">
        <v>992</v>
      </c>
      <c r="T182" s="1" t="s">
        <v>450</v>
      </c>
      <c r="U182" s="39"/>
      <c r="V182" s="39"/>
      <c r="W182" s="39"/>
      <c r="X182" s="39"/>
      <c r="Y182" s="1"/>
      <c r="Z182" s="1"/>
      <c r="AA182" s="1"/>
      <c r="AB182" s="1"/>
      <c r="AC182" s="1"/>
      <c r="AD182" s="1"/>
      <c r="AE182" s="39"/>
      <c r="AF182" s="3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39"/>
      <c r="AW182" s="39"/>
      <c r="AX182" s="1"/>
      <c r="AY182" s="1"/>
      <c r="AZ182" s="1"/>
    </row>
    <row r="183" spans="1:52" x14ac:dyDescent="0.3">
      <c r="A183" s="2" t="s">
        <v>357</v>
      </c>
      <c r="B183" s="3" t="s">
        <v>358</v>
      </c>
      <c r="C183" s="53" t="s">
        <v>765</v>
      </c>
      <c r="D183" s="53" t="s">
        <v>450</v>
      </c>
      <c r="E183" s="53"/>
      <c r="F183" s="53" t="s">
        <v>966</v>
      </c>
      <c r="G183" s="53" t="s">
        <v>998</v>
      </c>
      <c r="H183" s="39" t="s">
        <v>450</v>
      </c>
      <c r="I183" s="39"/>
      <c r="J183" s="3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9"/>
      <c r="V183" s="39"/>
      <c r="W183" s="39"/>
      <c r="X183" s="39"/>
      <c r="Y183" s="1"/>
      <c r="Z183" s="1"/>
      <c r="AA183" s="1"/>
      <c r="AB183" s="1"/>
      <c r="AC183" s="1"/>
      <c r="AD183" s="1"/>
      <c r="AE183" s="39"/>
      <c r="AF183" s="3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39"/>
      <c r="AW183" s="39"/>
      <c r="AX183" s="1"/>
      <c r="AY183" s="1"/>
      <c r="AZ183" s="1"/>
    </row>
    <row r="184" spans="1:52" x14ac:dyDescent="0.3">
      <c r="A184" s="2" t="s">
        <v>359</v>
      </c>
      <c r="B184" s="3" t="s">
        <v>360</v>
      </c>
      <c r="C184" s="53" t="s">
        <v>766</v>
      </c>
      <c r="D184" s="53" t="s">
        <v>450</v>
      </c>
      <c r="E184" s="53"/>
      <c r="F184" s="53" t="s">
        <v>967</v>
      </c>
      <c r="G184" s="53" t="s">
        <v>998</v>
      </c>
      <c r="H184" s="39" t="s">
        <v>450</v>
      </c>
      <c r="I184" s="39"/>
      <c r="J184" s="3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9"/>
      <c r="V184" s="39"/>
      <c r="W184" s="39"/>
      <c r="X184" s="39"/>
      <c r="Y184" s="1"/>
      <c r="Z184" s="1"/>
      <c r="AA184" s="1"/>
      <c r="AB184" s="1"/>
      <c r="AC184" s="1"/>
      <c r="AD184" s="1"/>
      <c r="AE184" s="39"/>
      <c r="AF184" s="3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39"/>
      <c r="AW184" s="39"/>
      <c r="AX184" s="1"/>
      <c r="AY184" s="1"/>
      <c r="AZ184" s="1"/>
    </row>
    <row r="185" spans="1:52" x14ac:dyDescent="0.3">
      <c r="A185" s="22" t="s">
        <v>361</v>
      </c>
      <c r="B185" s="23" t="s">
        <v>362</v>
      </c>
      <c r="C185" s="53" t="s">
        <v>767</v>
      </c>
      <c r="D185" s="53" t="s">
        <v>450</v>
      </c>
      <c r="E185" s="53"/>
      <c r="F185" s="53" t="s">
        <v>968</v>
      </c>
      <c r="G185" s="53" t="s">
        <v>998</v>
      </c>
      <c r="H185" s="39" t="s">
        <v>450</v>
      </c>
      <c r="I185" s="39"/>
      <c r="J185" s="3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9"/>
      <c r="V185" s="39"/>
      <c r="W185" s="39"/>
      <c r="X185" s="39"/>
      <c r="Y185" s="1"/>
      <c r="Z185" s="1"/>
      <c r="AA185" s="1"/>
      <c r="AB185" s="1"/>
      <c r="AC185" s="1"/>
      <c r="AD185" s="1"/>
      <c r="AE185" s="39"/>
      <c r="AF185" s="3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39"/>
      <c r="AW185" s="39"/>
      <c r="AX185" s="1"/>
      <c r="AY185" s="1"/>
      <c r="AZ185" s="1"/>
    </row>
    <row r="186" spans="1:52" x14ac:dyDescent="0.3">
      <c r="A186" s="4" t="s">
        <v>363</v>
      </c>
      <c r="B186" s="5" t="s">
        <v>364</v>
      </c>
      <c r="C186" s="53" t="s">
        <v>768</v>
      </c>
      <c r="D186" s="53" t="s">
        <v>450</v>
      </c>
      <c r="E186" s="53"/>
      <c r="F186" s="53" t="s">
        <v>969</v>
      </c>
      <c r="G186" s="53" t="s">
        <v>998</v>
      </c>
      <c r="H186" s="39" t="s">
        <v>450</v>
      </c>
      <c r="I186" s="39"/>
      <c r="J186" s="3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9"/>
      <c r="V186" s="39"/>
      <c r="W186" s="39"/>
      <c r="X186" s="39"/>
      <c r="Y186" s="1"/>
      <c r="Z186" s="1"/>
      <c r="AA186" s="1"/>
      <c r="AB186" s="1"/>
      <c r="AC186" s="1"/>
      <c r="AD186" s="1"/>
      <c r="AE186" s="39"/>
      <c r="AF186" s="3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39"/>
      <c r="AW186" s="39"/>
      <c r="AX186" s="1"/>
      <c r="AY186" s="1"/>
      <c r="AZ186" s="1"/>
    </row>
    <row r="187" spans="1:52" x14ac:dyDescent="0.3">
      <c r="A187" s="13" t="s">
        <v>365</v>
      </c>
      <c r="B187" s="14" t="s">
        <v>366</v>
      </c>
      <c r="C187" s="53" t="s">
        <v>769</v>
      </c>
      <c r="D187" s="53" t="s">
        <v>450</v>
      </c>
      <c r="E187" s="53"/>
      <c r="F187" s="53" t="s">
        <v>970</v>
      </c>
      <c r="G187" s="53" t="s">
        <v>998</v>
      </c>
      <c r="H187" s="39" t="s">
        <v>544</v>
      </c>
      <c r="I187" s="39" t="s">
        <v>450</v>
      </c>
      <c r="J187" s="39"/>
      <c r="K187" s="1"/>
      <c r="L187" s="1"/>
      <c r="M187" s="1"/>
      <c r="N187" s="1"/>
      <c r="O187" s="1"/>
      <c r="P187" s="1"/>
      <c r="Q187" s="1"/>
      <c r="R187" s="1"/>
      <c r="S187" s="61" t="s">
        <v>485</v>
      </c>
      <c r="T187" s="1" t="s">
        <v>450</v>
      </c>
      <c r="U187" s="39"/>
      <c r="V187" s="39"/>
      <c r="W187" s="39"/>
      <c r="X187" s="39"/>
      <c r="Y187" s="1"/>
      <c r="Z187" s="1"/>
      <c r="AA187" s="1"/>
      <c r="AB187" s="1"/>
      <c r="AC187" s="1"/>
      <c r="AD187" s="1"/>
      <c r="AE187" s="39"/>
      <c r="AF187" s="3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39"/>
      <c r="AW187" s="39"/>
      <c r="AX187" s="1"/>
      <c r="AY187" s="1"/>
      <c r="AZ187" s="1"/>
    </row>
    <row r="188" spans="1:52" x14ac:dyDescent="0.3">
      <c r="A188" s="24" t="s">
        <v>367</v>
      </c>
      <c r="B188" s="23" t="s">
        <v>368</v>
      </c>
      <c r="C188" s="53" t="s">
        <v>770</v>
      </c>
      <c r="D188" s="53" t="s">
        <v>450</v>
      </c>
      <c r="E188" s="53"/>
      <c r="F188" s="53" t="s">
        <v>971</v>
      </c>
      <c r="G188" s="53" t="s">
        <v>998</v>
      </c>
      <c r="H188" s="39" t="s">
        <v>450</v>
      </c>
      <c r="I188" s="39"/>
      <c r="J188" s="39"/>
      <c r="K188" s="1"/>
      <c r="L188" s="1"/>
      <c r="M188" s="1"/>
      <c r="N188" s="1"/>
      <c r="O188" s="1"/>
      <c r="P188" s="1"/>
      <c r="Q188" s="1"/>
      <c r="R188" s="1"/>
      <c r="S188" s="61" t="s">
        <v>491</v>
      </c>
      <c r="T188" s="1" t="s">
        <v>450</v>
      </c>
      <c r="U188" s="39"/>
      <c r="V188" s="39"/>
      <c r="W188" s="39"/>
      <c r="X188" s="39"/>
      <c r="Y188" s="1"/>
      <c r="Z188" s="1"/>
      <c r="AA188" s="1"/>
      <c r="AB188" s="1"/>
      <c r="AC188" s="1"/>
      <c r="AD188" s="1"/>
      <c r="AE188" s="39"/>
      <c r="AF188" s="3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39"/>
      <c r="AW188" s="39"/>
      <c r="AX188" s="1"/>
      <c r="AY188" s="1"/>
      <c r="AZ188" s="1"/>
    </row>
    <row r="189" spans="1:52" x14ac:dyDescent="0.3">
      <c r="A189" s="4" t="s">
        <v>369</v>
      </c>
      <c r="B189" s="5" t="s">
        <v>370</v>
      </c>
      <c r="C189" s="53" t="s">
        <v>771</v>
      </c>
      <c r="D189" s="53" t="s">
        <v>450</v>
      </c>
      <c r="E189" s="53"/>
      <c r="F189" s="53" t="s">
        <v>972</v>
      </c>
      <c r="G189" s="53" t="s">
        <v>998</v>
      </c>
      <c r="H189" s="39" t="s">
        <v>450</v>
      </c>
      <c r="I189" s="39"/>
      <c r="J189" s="3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9"/>
      <c r="V189" s="39"/>
      <c r="W189" s="39"/>
      <c r="X189" s="39"/>
      <c r="Y189" s="1"/>
      <c r="Z189" s="1"/>
      <c r="AA189" s="1"/>
      <c r="AB189" s="1"/>
      <c r="AC189" s="1"/>
      <c r="AD189" s="1"/>
      <c r="AE189" s="39"/>
      <c r="AF189" s="3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39"/>
      <c r="AW189" s="39"/>
      <c r="AX189" s="1"/>
      <c r="AY189" s="1"/>
      <c r="AZ189" s="1"/>
    </row>
    <row r="190" spans="1:52" x14ac:dyDescent="0.3">
      <c r="A190" s="2" t="s">
        <v>371</v>
      </c>
      <c r="B190" s="3" t="s">
        <v>372</v>
      </c>
      <c r="C190" s="53" t="s">
        <v>772</v>
      </c>
      <c r="D190" s="53" t="s">
        <v>450</v>
      </c>
      <c r="E190" s="53"/>
      <c r="F190" s="53" t="s">
        <v>973</v>
      </c>
      <c r="G190" s="53" t="s">
        <v>998</v>
      </c>
      <c r="H190" s="39" t="s">
        <v>450</v>
      </c>
      <c r="I190" s="39"/>
      <c r="J190" s="3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9"/>
      <c r="V190" s="39"/>
      <c r="W190" s="39"/>
      <c r="X190" s="39"/>
      <c r="Y190" s="1"/>
      <c r="Z190" s="1"/>
      <c r="AA190" s="1"/>
      <c r="AB190" s="1"/>
      <c r="AC190" s="1"/>
      <c r="AD190" s="1"/>
      <c r="AE190" s="39"/>
      <c r="AF190" s="3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39"/>
      <c r="AW190" s="39"/>
      <c r="AX190" s="1"/>
      <c r="AY190" s="1"/>
      <c r="AZ190" s="1"/>
    </row>
    <row r="191" spans="1:52" x14ac:dyDescent="0.3">
      <c r="A191" s="2" t="s">
        <v>373</v>
      </c>
      <c r="B191" s="3" t="s">
        <v>374</v>
      </c>
      <c r="C191" s="53" t="s">
        <v>773</v>
      </c>
      <c r="D191" s="53" t="s">
        <v>450</v>
      </c>
      <c r="E191" s="53"/>
      <c r="F191" s="53" t="s">
        <v>974</v>
      </c>
      <c r="G191" s="53" t="s">
        <v>998</v>
      </c>
      <c r="H191" s="39" t="s">
        <v>450</v>
      </c>
      <c r="I191" s="39"/>
      <c r="J191" s="3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9"/>
      <c r="V191" s="39"/>
      <c r="W191" s="39"/>
      <c r="X191" s="39"/>
      <c r="Y191" s="1"/>
      <c r="Z191" s="1"/>
      <c r="AA191" s="1"/>
      <c r="AB191" s="1"/>
      <c r="AC191" s="1"/>
      <c r="AD191" s="1"/>
      <c r="AE191" s="39"/>
      <c r="AF191" s="3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39"/>
      <c r="AW191" s="39"/>
      <c r="AX191" s="1"/>
      <c r="AY191" s="1"/>
      <c r="AZ191" s="1"/>
    </row>
    <row r="192" spans="1:52" x14ac:dyDescent="0.3">
      <c r="A192" s="2" t="s">
        <v>375</v>
      </c>
      <c r="B192" s="3" t="s">
        <v>376</v>
      </c>
      <c r="C192" s="53" t="s">
        <v>774</v>
      </c>
      <c r="D192" s="53" t="s">
        <v>450</v>
      </c>
      <c r="E192" s="53"/>
      <c r="F192" s="53" t="s">
        <v>975</v>
      </c>
      <c r="G192" s="53" t="s">
        <v>998</v>
      </c>
      <c r="H192" s="39" t="s">
        <v>450</v>
      </c>
      <c r="I192" s="39"/>
      <c r="J192" s="3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9"/>
      <c r="V192" s="39"/>
      <c r="W192" s="39"/>
      <c r="X192" s="39"/>
      <c r="Y192" s="1"/>
      <c r="Z192" s="1"/>
      <c r="AA192" s="1"/>
      <c r="AB192" s="1"/>
      <c r="AC192" s="1"/>
      <c r="AD192" s="1"/>
      <c r="AE192" s="39"/>
      <c r="AF192" s="3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9"/>
      <c r="AW192" s="39"/>
      <c r="AX192" s="1"/>
      <c r="AY192" s="1"/>
      <c r="AZ192" s="1"/>
    </row>
    <row r="193" spans="1:53" x14ac:dyDescent="0.3">
      <c r="A193" s="17" t="s">
        <v>377</v>
      </c>
      <c r="B193" s="18" t="s">
        <v>378</v>
      </c>
      <c r="C193" s="53" t="s">
        <v>775</v>
      </c>
      <c r="D193" s="53" t="s">
        <v>450</v>
      </c>
      <c r="E193" s="53"/>
      <c r="F193" s="53" t="s">
        <v>976</v>
      </c>
      <c r="G193" s="53" t="s">
        <v>998</v>
      </c>
      <c r="H193" s="39" t="s">
        <v>450</v>
      </c>
      <c r="I193" s="39"/>
      <c r="J193" s="3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9"/>
      <c r="V193" s="39"/>
      <c r="W193" s="39"/>
      <c r="X193" s="39"/>
      <c r="Y193" s="1"/>
      <c r="Z193" s="1"/>
      <c r="AA193" s="1"/>
      <c r="AB193" s="1"/>
      <c r="AC193" s="1"/>
      <c r="AD193" s="1"/>
      <c r="AE193" s="39"/>
      <c r="AF193" s="3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39"/>
      <c r="AW193" s="39"/>
      <c r="AX193" s="1"/>
      <c r="AY193" s="1"/>
      <c r="AZ193" s="1"/>
    </row>
    <row r="194" spans="1:53" x14ac:dyDescent="0.3">
      <c r="A194" s="9" t="s">
        <v>379</v>
      </c>
      <c r="B194" s="10" t="s">
        <v>380</v>
      </c>
      <c r="C194" s="53" t="s">
        <v>776</v>
      </c>
      <c r="D194" s="53" t="s">
        <v>450</v>
      </c>
      <c r="E194" s="53"/>
      <c r="F194" s="53" t="s">
        <v>977</v>
      </c>
      <c r="G194" s="53" t="s">
        <v>998</v>
      </c>
      <c r="H194" s="39" t="s">
        <v>450</v>
      </c>
      <c r="I194" s="39"/>
      <c r="J194" s="39"/>
      <c r="K194" s="1"/>
      <c r="L194" s="1"/>
      <c r="M194" s="1"/>
      <c r="N194" s="1"/>
      <c r="O194" s="1"/>
      <c r="P194" s="1"/>
      <c r="Q194" s="1"/>
      <c r="R194" s="1"/>
      <c r="S194" s="61" t="s">
        <v>582</v>
      </c>
      <c r="T194" s="1" t="s">
        <v>450</v>
      </c>
      <c r="U194" s="39"/>
      <c r="V194" s="39"/>
      <c r="W194" s="57" t="s">
        <v>548</v>
      </c>
      <c r="X194" s="39" t="s">
        <v>548</v>
      </c>
      <c r="Y194" s="39" t="s">
        <v>548</v>
      </c>
      <c r="Z194" s="39" t="s">
        <v>548</v>
      </c>
      <c r="AA194" s="1" t="s">
        <v>450</v>
      </c>
      <c r="AB194" s="1"/>
      <c r="AC194" s="1"/>
      <c r="AD194" s="1"/>
      <c r="AE194" s="39"/>
      <c r="AF194" s="3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9"/>
      <c r="AW194" s="39"/>
      <c r="AX194" s="1"/>
      <c r="AY194" s="1"/>
      <c r="AZ194" s="1"/>
    </row>
    <row r="195" spans="1:53" x14ac:dyDescent="0.3">
      <c r="A195" s="9" t="s">
        <v>381</v>
      </c>
      <c r="B195" s="10" t="s">
        <v>382</v>
      </c>
      <c r="C195" s="53" t="s">
        <v>777</v>
      </c>
      <c r="D195" s="53" t="s">
        <v>450</v>
      </c>
      <c r="E195" s="53"/>
      <c r="F195" s="53" t="s">
        <v>978</v>
      </c>
      <c r="G195" s="53" t="s">
        <v>998</v>
      </c>
      <c r="H195" s="39" t="s">
        <v>450</v>
      </c>
      <c r="I195" s="39"/>
      <c r="J195" s="39"/>
      <c r="K195" s="1"/>
      <c r="L195" s="1"/>
      <c r="M195" s="1"/>
      <c r="N195" s="1"/>
      <c r="O195" s="1"/>
      <c r="P195" s="1"/>
      <c r="Q195" s="1"/>
      <c r="R195" s="1"/>
      <c r="S195" s="61" t="s">
        <v>469</v>
      </c>
      <c r="T195" s="1" t="s">
        <v>450</v>
      </c>
      <c r="U195" s="39"/>
      <c r="V195" s="39"/>
      <c r="W195" s="39"/>
      <c r="X195" s="39"/>
      <c r="Y195" s="1"/>
      <c r="Z195" s="1"/>
      <c r="AA195" s="1"/>
      <c r="AB195" s="1"/>
      <c r="AC195" s="1"/>
      <c r="AD195" s="1"/>
      <c r="AE195" s="39"/>
      <c r="AF195" s="3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9"/>
      <c r="AW195" s="39"/>
      <c r="AX195" s="1"/>
      <c r="AY195" s="1"/>
      <c r="AZ195" s="1"/>
    </row>
    <row r="196" spans="1:53" x14ac:dyDescent="0.3">
      <c r="A196" s="21" t="s">
        <v>383</v>
      </c>
      <c r="B196" s="18" t="s">
        <v>384</v>
      </c>
      <c r="C196" s="53" t="s">
        <v>778</v>
      </c>
      <c r="D196" s="53" t="s">
        <v>450</v>
      </c>
      <c r="E196" s="53"/>
      <c r="F196" s="53" t="s">
        <v>979</v>
      </c>
      <c r="G196" s="53" t="s">
        <v>998</v>
      </c>
      <c r="H196" s="39" t="s">
        <v>450</v>
      </c>
      <c r="I196" s="39"/>
      <c r="J196" s="3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9"/>
      <c r="V196" s="39"/>
      <c r="W196" s="39"/>
      <c r="X196" s="39"/>
      <c r="Y196" s="1"/>
      <c r="Z196" s="1"/>
      <c r="AA196" s="1"/>
      <c r="AB196" s="1"/>
      <c r="AC196" s="1"/>
      <c r="AD196" s="1"/>
      <c r="AE196" s="39"/>
      <c r="AF196" s="3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9"/>
      <c r="AW196" s="39"/>
      <c r="AX196" s="1"/>
      <c r="AY196" s="1"/>
      <c r="AZ196" s="1"/>
    </row>
    <row r="197" spans="1:53" x14ac:dyDescent="0.3">
      <c r="A197" s="2" t="s">
        <v>385</v>
      </c>
      <c r="B197" s="3" t="s">
        <v>386</v>
      </c>
      <c r="C197" s="53" t="s">
        <v>779</v>
      </c>
      <c r="D197" s="53" t="s">
        <v>450</v>
      </c>
      <c r="E197" s="53"/>
      <c r="F197" s="53" t="s">
        <v>980</v>
      </c>
      <c r="G197" s="53" t="s">
        <v>998</v>
      </c>
      <c r="H197" s="39" t="s">
        <v>450</v>
      </c>
      <c r="I197" s="39"/>
      <c r="J197" s="3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9"/>
      <c r="V197" s="39"/>
      <c r="W197" s="39"/>
      <c r="X197" s="39"/>
      <c r="Y197" s="1"/>
      <c r="Z197" s="1"/>
      <c r="AA197" s="1"/>
      <c r="AB197" s="1"/>
      <c r="AC197" s="1"/>
      <c r="AD197" s="1"/>
      <c r="AE197" s="39"/>
      <c r="AF197" s="3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39"/>
      <c r="AW197" s="39"/>
      <c r="AX197" s="1"/>
      <c r="AY197" s="1"/>
      <c r="AZ197" s="1"/>
    </row>
    <row r="198" spans="1:53" x14ac:dyDescent="0.3">
      <c r="A198" s="6" t="s">
        <v>387</v>
      </c>
      <c r="B198" s="3" t="s">
        <v>388</v>
      </c>
      <c r="C198" s="53" t="s">
        <v>780</v>
      </c>
      <c r="D198" s="53" t="s">
        <v>450</v>
      </c>
      <c r="E198" s="53"/>
      <c r="F198" s="53" t="s">
        <v>981</v>
      </c>
      <c r="G198" s="53" t="s">
        <v>998</v>
      </c>
      <c r="H198" s="39" t="s">
        <v>450</v>
      </c>
      <c r="I198" s="39"/>
      <c r="J198" s="3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9"/>
      <c r="V198" s="39"/>
      <c r="W198" s="39"/>
      <c r="X198" s="39"/>
      <c r="Y198" s="1"/>
      <c r="Z198" s="1"/>
      <c r="AA198" s="1"/>
      <c r="AB198" s="1"/>
      <c r="AC198" s="1"/>
      <c r="AD198" s="1"/>
      <c r="AE198" s="39"/>
      <c r="AF198" s="3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39"/>
      <c r="AW198" s="39"/>
      <c r="AX198" s="1"/>
      <c r="AY198" s="1"/>
      <c r="AZ198" s="1"/>
    </row>
    <row r="199" spans="1:53" x14ac:dyDescent="0.3">
      <c r="A199" s="6" t="s">
        <v>389</v>
      </c>
      <c r="B199" s="5" t="s">
        <v>390</v>
      </c>
      <c r="C199" s="53" t="s">
        <v>781</v>
      </c>
      <c r="D199" s="53" t="s">
        <v>450</v>
      </c>
      <c r="E199" s="53"/>
      <c r="F199" s="53" t="s">
        <v>982</v>
      </c>
      <c r="G199" s="53" t="s">
        <v>998</v>
      </c>
      <c r="H199" s="39" t="s">
        <v>544</v>
      </c>
      <c r="I199" s="39" t="s">
        <v>450</v>
      </c>
      <c r="J199" s="39"/>
      <c r="K199" s="1"/>
      <c r="L199" s="1"/>
      <c r="M199" s="1"/>
      <c r="N199" s="1"/>
      <c r="O199" s="1"/>
      <c r="P199" s="1"/>
      <c r="Q199" s="1"/>
      <c r="R199" s="1"/>
      <c r="S199" s="61" t="s">
        <v>477</v>
      </c>
      <c r="T199" s="1" t="s">
        <v>450</v>
      </c>
      <c r="U199" s="39"/>
      <c r="V199" s="39"/>
      <c r="W199" s="39"/>
      <c r="X199" s="39"/>
      <c r="Y199" s="1"/>
      <c r="Z199" s="1"/>
      <c r="AA199" s="1"/>
      <c r="AB199" s="1"/>
      <c r="AC199" s="1"/>
      <c r="AD199" s="1"/>
      <c r="AE199" s="39"/>
      <c r="AF199" s="3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39"/>
      <c r="AW199" s="39"/>
      <c r="AX199" s="1"/>
      <c r="AY199" s="1"/>
      <c r="AZ199" s="1"/>
    </row>
    <row r="200" spans="1:53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3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9"/>
      <c r="V200" s="39"/>
      <c r="W200" s="39"/>
      <c r="X200" s="39"/>
      <c r="Y200" s="1"/>
      <c r="Z200" s="1"/>
      <c r="AA200" s="1"/>
      <c r="AB200" s="1"/>
      <c r="AC200" s="1"/>
      <c r="AD200" s="1"/>
      <c r="AE200" s="39"/>
      <c r="AF200" s="3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39"/>
      <c r="AW200" s="39"/>
      <c r="AX200" s="1"/>
      <c r="AY200" s="1"/>
      <c r="AZ200" s="1"/>
      <c r="BA200" t="s">
        <v>401</v>
      </c>
    </row>
  </sheetData>
  <mergeCells count="3">
    <mergeCell ref="K1:R1"/>
    <mergeCell ref="Y1:AD1"/>
    <mergeCell ref="AG1:AU1"/>
  </mergeCells>
  <phoneticPr fontId="5" type="noConversion"/>
  <hyperlinks>
    <hyperlink ref="I40" r:id="rId1" xr:uid="{CA49529C-FD58-4F4E-B701-8EF3386F963C}"/>
    <hyperlink ref="K40" r:id="rId2" xr:uid="{6DBC38FB-2A36-4B20-9DB2-95FEF03EEC4C}"/>
    <hyperlink ref="L40" r:id="rId3" xr:uid="{2BAFE3F4-BBE7-4F24-8259-8A6E3DE8B030}"/>
    <hyperlink ref="M40" r:id="rId4" xr:uid="{7C878E6F-5183-4265-87A0-329DE9FF4401}"/>
    <hyperlink ref="N40" r:id="rId5" xr:uid="{B09221C1-B3D3-4EBB-A792-70A924CF7C18}"/>
    <hyperlink ref="Q40" r:id="rId6" xr:uid="{C3463590-11A0-495E-AAD6-7F7AE4FBA8B1}"/>
    <hyperlink ref="R40" r:id="rId7" xr:uid="{663A3676-7EA1-479C-896F-52358BCB289E}"/>
    <hyperlink ref="W40" r:id="rId8" xr:uid="{9E02658A-474E-44AC-9EAA-6AC735CDE42A}"/>
    <hyperlink ref="AA40" r:id="rId9" xr:uid="{61FF1517-C468-4DE5-AAEA-F8E2FF3E4406}"/>
    <hyperlink ref="AC40" r:id="rId10" xr:uid="{A2334A5C-0421-4A6D-87F3-479A9CCCFC0F}"/>
    <hyperlink ref="AL40" r:id="rId11" xr:uid="{F8B469AF-0286-4FF1-9397-F9F18A8EA3C0}"/>
    <hyperlink ref="AN40" r:id="rId12" xr:uid="{9A11C1B5-2A75-404F-9993-6677658D7AF4}"/>
    <hyperlink ref="AQ40" r:id="rId13" xr:uid="{9D1271D4-1922-4CD6-B7F7-FBFBDE83F5F3}"/>
    <hyperlink ref="S40" r:id="rId14" xr:uid="{D0AB6C37-6B9D-47EC-8D0A-77806CA20D0C}"/>
    <hyperlink ref="T40" r:id="rId15" xr:uid="{F4A25D38-9B54-4891-ADD7-5847F47D292F}"/>
    <hyperlink ref="AV126" r:id="rId16" xr:uid="{FBCEB35F-B6E2-4F67-B8B4-5877D396DE7C}"/>
    <hyperlink ref="H141" r:id="rId17" xr:uid="{8E21AC4D-2B55-4322-8500-18EF0AAA4945}"/>
    <hyperlink ref="S141" r:id="rId18" xr:uid="{6FAC770E-6808-49C7-B999-A64960D57FE6}"/>
    <hyperlink ref="S124" r:id="rId19" xr:uid="{E64D55B8-B9A9-49AC-918A-07C211BBC2C1}"/>
    <hyperlink ref="J47" r:id="rId20" xr:uid="{FA1E6221-E2E3-4FBD-BA1C-BD42AACF12E5}"/>
    <hyperlink ref="S112" r:id="rId21" xr:uid="{1F8D5255-B22D-4414-A8D8-3B049B87A6F8}"/>
    <hyperlink ref="H75" r:id="rId22" xr:uid="{93C8BDD5-3394-4E5A-A379-8D9965881980}"/>
    <hyperlink ref="J52" r:id="rId23" xr:uid="{8EC29D7F-FE80-4AEC-A920-38C5AD31E5A3}"/>
    <hyperlink ref="V77" r:id="rId24" xr:uid="{94158C5D-2AE5-4838-89A5-F5994A0947B5}"/>
    <hyperlink ref="W194" r:id="rId25" xr:uid="{E49C2CCB-EEEF-41E3-8970-33985B86D0C1}"/>
    <hyperlink ref="H71" r:id="rId26" xr:uid="{320E8A5D-8635-4291-8E2A-79B511236ADF}"/>
    <hyperlink ref="S91" r:id="rId27" xr:uid="{3E298329-6DE1-4A7D-A8F1-9DF0921CD912}"/>
    <hyperlink ref="J91" r:id="rId28" xr:uid="{DF06A26B-7E2B-448F-A798-ED6966439855}"/>
    <hyperlink ref="AI67" r:id="rId29" xr:uid="{8804E34A-94DB-42CD-A85B-D25C97850F42}"/>
    <hyperlink ref="Y50" r:id="rId30" xr:uid="{480D6AED-7AEB-475C-9289-DDE2247F5777}"/>
    <hyperlink ref="AI17" r:id="rId31" xr:uid="{E4E9BB60-7D60-45B7-8D0E-BB0BA2D1A3C3}"/>
    <hyperlink ref="AI40" r:id="rId32" xr:uid="{5F6AC823-BFEA-42B8-BA13-099D0DA27D13}"/>
    <hyperlink ref="S71" r:id="rId33" xr:uid="{EA728196-FE1C-42E5-9C82-FD250C1835A3}"/>
    <hyperlink ref="H4" r:id="rId34" xr:uid="{31DF433D-CB5A-42E0-A987-7A40725262C0}"/>
    <hyperlink ref="J8" r:id="rId35" xr:uid="{1FE67250-21AF-4F1A-AF04-E9FD1CBFD1C6}"/>
    <hyperlink ref="S7" r:id="rId36" xr:uid="{FE799200-77EA-4C67-BC4F-B8500F7C3CE3}"/>
    <hyperlink ref="J7" r:id="rId37" xr:uid="{1CF8E90C-596E-415D-A0EF-01C85118CCC8}"/>
    <hyperlink ref="H9" r:id="rId38" xr:uid="{A1CDDF3D-4D08-44B3-9373-70AC9E29ACF8}"/>
    <hyperlink ref="S10" r:id="rId39" xr:uid="{886C616C-C655-40BD-B991-3C037C076855}"/>
    <hyperlink ref="J13" r:id="rId40" xr:uid="{4EF2A8BD-E9D9-4AA8-B44D-88B7538951B6}"/>
    <hyperlink ref="H14" r:id="rId41" xr:uid="{61A33352-CDCE-4586-A702-7BDC8375D716}"/>
    <hyperlink ref="T14" r:id="rId42" xr:uid="{13729220-372D-454B-90AE-08C5F3D0299A}"/>
    <hyperlink ref="H15" r:id="rId43" xr:uid="{C5BF788C-3174-4458-A7CB-A20FA51F23E5}"/>
    <hyperlink ref="AV15" r:id="rId44" xr:uid="{4A5FD3AC-960D-47C9-BBFD-D00722160A69}"/>
    <hyperlink ref="S16" r:id="rId45" xr:uid="{11DE76DE-9025-4E50-B374-F1980CA7A383}"/>
    <hyperlink ref="S17" r:id="rId46" xr:uid="{F4BFB341-F958-4CE6-B04C-EEEA25FD2D24}"/>
    <hyperlink ref="U17" r:id="rId47" xr:uid="{7CB09F53-32DA-4979-B080-57DD08C337E2}"/>
    <hyperlink ref="H18" r:id="rId48" xr:uid="{C2AB6AE9-1414-4668-8F91-5684DDD98221}"/>
    <hyperlink ref="J18" r:id="rId49" xr:uid="{12DB9781-D6F5-40AC-90B8-C662B8ECBF28}"/>
    <hyperlink ref="S19" r:id="rId50" xr:uid="{E54FE318-12B6-4CCE-A0C8-7127EB4203D1}"/>
    <hyperlink ref="S18" r:id="rId51" xr:uid="{0204FA94-47F2-4701-AF02-6279704D4679}"/>
    <hyperlink ref="H22" r:id="rId52" location="panel-11" xr:uid="{58FC13E0-1CDE-4F7C-AE58-9969256E8C11}"/>
    <hyperlink ref="K23" r:id="rId53" xr:uid="{C8515039-302B-4BF4-B06A-E35F7D46954D}"/>
    <hyperlink ref="S27" r:id="rId54" xr:uid="{E03A4965-93E6-4233-AFA7-0A38E07B8B32}"/>
    <hyperlink ref="J30" r:id="rId55" xr:uid="{6D55235C-13BC-438D-856E-2B0C08582A78}"/>
    <hyperlink ref="S31" r:id="rId56" xr:uid="{52E29D2E-A5FF-440D-A8DD-9260EC6C7825}"/>
    <hyperlink ref="S32" r:id="rId57" xr:uid="{9F9F0AFE-26ED-410B-B6EA-89A4056ED188}"/>
    <hyperlink ref="S34" r:id="rId58" xr:uid="{66E29756-F941-48E8-B9A5-02122B728BE2}"/>
    <hyperlink ref="J36" r:id="rId59" xr:uid="{9F1061AC-3CEF-4696-84A6-7283AF10BDCC}"/>
    <hyperlink ref="J37" r:id="rId60" xr:uid="{3E42D593-FDEC-44BC-BE9A-85F481852D6D}"/>
    <hyperlink ref="J39" r:id="rId61" xr:uid="{9A7CD856-3E1A-4507-B3F8-B700F31C6DEF}"/>
    <hyperlink ref="S39" r:id="rId62" xr:uid="{AA8090A2-F13B-4653-9EB6-FA7363E59CFB}"/>
    <hyperlink ref="U40" r:id="rId63" xr:uid="{3DD74096-1C0F-4804-9D5B-4BB29142B7BC}"/>
    <hyperlink ref="S44" r:id="rId64" xr:uid="{1971B456-C2F8-4E07-ADF5-DA1BB3C20AAD}"/>
    <hyperlink ref="J34" r:id="rId65" xr:uid="{DA2277A5-2221-4CC6-AA6C-CE1297E64A67}"/>
    <hyperlink ref="H47" r:id="rId66" xr:uid="{561C168C-4A09-434D-ADD7-65E14A64D2B4}"/>
    <hyperlink ref="J48" r:id="rId67" xr:uid="{F43C270C-040D-487C-AFE7-CB8FB82C8F7D}"/>
    <hyperlink ref="K50" r:id="rId68" xr:uid="{5D09E5C5-B4FB-4091-AFDE-4F8B1E52CA58}"/>
    <hyperlink ref="J51" r:id="rId69" xr:uid="{8A53D3F2-C3BC-4FA8-BF56-E858EC502448}"/>
    <hyperlink ref="S53" r:id="rId70" xr:uid="{8A43C60E-0F5B-4FA4-9D69-F26167768156}"/>
    <hyperlink ref="H54" r:id="rId71" xr:uid="{28EC551B-0BEA-41AE-BC90-6C13AAB206ED}"/>
    <hyperlink ref="S55" r:id="rId72" xr:uid="{7BE04A44-F041-4160-B4CF-A8404DF30378}"/>
    <hyperlink ref="J57" r:id="rId73" xr:uid="{4C94BBBD-C40A-4B14-A873-D7DFE83A2766}"/>
    <hyperlink ref="J60" r:id="rId74" xr:uid="{865F8B28-C7D6-4A52-AEEA-7B166B4A4620}"/>
    <hyperlink ref="J61" r:id="rId75" xr:uid="{EEB715CA-71DE-4982-8463-A12F49FF8D27}"/>
    <hyperlink ref="J62" r:id="rId76" xr:uid="{7BD4EF34-53CF-4AE0-9E9A-1AE9C5D5896F}"/>
    <hyperlink ref="J64" r:id="rId77" xr:uid="{55A04A7D-172D-466A-A190-DE8106E637AD}"/>
    <hyperlink ref="S67" r:id="rId78" xr:uid="{1694953C-CFBC-4E70-BE7B-0388E30E6469}"/>
    <hyperlink ref="H67" r:id="rId79" xr:uid="{6EFF25FD-977D-4FBA-873A-CC6021526215}"/>
    <hyperlink ref="J67" r:id="rId80" xr:uid="{8B9A39CE-E92A-4B8F-A586-E8B67F9A529A}"/>
    <hyperlink ref="AA67" r:id="rId81" xr:uid="{BD471B38-3983-41E7-8F85-FF1A0B1E53B1}"/>
    <hyperlink ref="J68" r:id="rId82" xr:uid="{EBAAD3C2-BF58-4075-9F93-2FFF26D50E6A}"/>
    <hyperlink ref="J70" r:id="rId83" xr:uid="{41FBFA1F-E81E-45E2-A717-A42C137FC6AA}"/>
    <hyperlink ref="K72" r:id="rId84" xr:uid="{72B2527F-DCDC-4092-B2B4-76A8D8A7F871}"/>
    <hyperlink ref="O72" r:id="rId85" xr:uid="{E9A79025-EDA9-4D8E-83A9-E09664F27ABB}"/>
    <hyperlink ref="Q72" r:id="rId86" xr:uid="{7533986E-DA74-42F7-9264-16D16E2B9CC0}"/>
    <hyperlink ref="S72" r:id="rId87" xr:uid="{A166FB5F-E258-443F-8C8D-C4768C5AF45F}"/>
    <hyperlink ref="J74" r:id="rId88" xr:uid="{DB58FDC0-161B-4E17-9D63-03A352090096}"/>
    <hyperlink ref="J77" r:id="rId89" xr:uid="{1E95053F-278F-479F-9C9B-356E72EC7DEC}"/>
    <hyperlink ref="S77" r:id="rId90" xr:uid="{1B535740-5342-4293-9914-1A7008100A8F}"/>
    <hyperlink ref="S84" r:id="rId91" xr:uid="{EBC91328-0318-4985-93A0-4DD7940D27EA}"/>
    <hyperlink ref="J90" r:id="rId92" xr:uid="{8854A7A3-ED11-4F36-B4BF-3993436BA2BC}"/>
    <hyperlink ref="J95" r:id="rId93" xr:uid="{A77D67B6-52BD-45AD-92C4-54F8FF0C659F}"/>
    <hyperlink ref="S95" r:id="rId94" xr:uid="{345C467C-4013-4658-B967-653A54A3D917}"/>
    <hyperlink ref="S100" r:id="rId95" xr:uid="{056879DF-1F2E-401F-8B27-D2206A94762F}"/>
    <hyperlink ref="AC104" r:id="rId96" xr:uid="{3091733F-DB8A-48C5-AB9E-7977C5C3B152}"/>
    <hyperlink ref="S103" r:id="rId97" xr:uid="{5E9B6723-86D8-41B1-8901-C19DB2F455DB}"/>
    <hyperlink ref="S105" r:id="rId98" xr:uid="{FDA30698-4301-4320-BC2A-5FE3FB19FA2C}"/>
    <hyperlink ref="J107" r:id="rId99" xr:uid="{FE4078EA-4DB9-4706-AF5E-6D39ED7253CF}"/>
    <hyperlink ref="H111" r:id="rId100" xr:uid="{AE356AA0-6962-4FE0-AAA4-DA038F47D4DE}"/>
    <hyperlink ref="S113" r:id="rId101" location="general_results" xr:uid="{F741A07C-D513-49A9-88DB-A9DF03985A0F}"/>
    <hyperlink ref="J115" r:id="rId102" xr:uid="{22668A3D-61F3-4356-BAAB-1E167E3D46E0}"/>
    <hyperlink ref="S118" r:id="rId103" xr:uid="{4EFDF193-FFE7-4292-AC10-3361C80567FD}"/>
    <hyperlink ref="J124" r:id="rId104" xr:uid="{4D65C9F0-1095-476A-AC9A-42CAE93F42D3}"/>
    <hyperlink ref="H126" r:id="rId105" xr:uid="{846FB2F5-0BAC-4F75-8D6C-6B1E1E3A8F81}"/>
    <hyperlink ref="U126" r:id="rId106" xr:uid="{3FD970E1-6421-49A6-8DC8-6B869531ADCE}"/>
    <hyperlink ref="Y126" r:id="rId107" xr:uid="{D7967735-FF40-4B9A-A01B-EF5304A2722D}"/>
    <hyperlink ref="H130" r:id="rId108" xr:uid="{444FEB98-BB6B-4C40-ABA2-79FEE9C408BD}"/>
    <hyperlink ref="H132" r:id="rId109" xr:uid="{DADEF251-3620-4B1B-9752-0C297E11DD27}"/>
    <hyperlink ref="S137" r:id="rId110" xr:uid="{2ECBD80C-D6D2-424E-B9A7-027EC0359274}"/>
    <hyperlink ref="J138" r:id="rId111" xr:uid="{16A9DED6-65EC-4F6B-A722-5EAA613DD192}"/>
    <hyperlink ref="S140" r:id="rId112" xr:uid="{4AB70B84-EBED-4971-B948-16CAE1A1888D}"/>
    <hyperlink ref="J143" r:id="rId113" xr:uid="{505A7C4B-21FD-4143-A67D-9D3B126703B4}"/>
    <hyperlink ref="H152" r:id="rId114" xr:uid="{EF37FA26-1500-49EC-AA3F-38E6973936F9}"/>
    <hyperlink ref="K152" r:id="rId115" xr:uid="{346CF625-CD5A-44EB-B531-EA0D1A13E351}"/>
    <hyperlink ref="S152" r:id="rId116" xr:uid="{10E58B49-D9EF-4095-B54B-6E64E0E39549}"/>
    <hyperlink ref="J154" r:id="rId117" xr:uid="{AEA2B003-76ED-4FC4-9562-B9B8AF3C6D38}"/>
    <hyperlink ref="S154" r:id="rId118" xr:uid="{E4763948-9A9C-4E34-9707-ADAACC9C698C}"/>
    <hyperlink ref="S158" r:id="rId119" xr:uid="{73E04902-B704-4367-8140-8BA6948C15B7}"/>
    <hyperlink ref="AD158" r:id="rId120" xr:uid="{EA816720-81ED-4463-BCF4-9F8EE7F2268E}"/>
    <hyperlink ref="H159" r:id="rId121" xr:uid="{69C199FF-E203-49BF-9909-F622A7018426}"/>
    <hyperlink ref="S160" r:id="rId122" xr:uid="{B62D6ED0-D4B3-4567-9771-860B0CD5D3D8}"/>
    <hyperlink ref="J160" r:id="rId123" xr:uid="{28F2AB74-D93B-43BD-B2B2-B252BDA98132}"/>
    <hyperlink ref="S162" r:id="rId124" xr:uid="{931E0D0D-9E15-406D-95E7-55E24FC38977}"/>
    <hyperlink ref="S194" r:id="rId125" xr:uid="{FBBD2C01-21F4-4AD3-969F-271FF25A02F0}"/>
    <hyperlink ref="H173" r:id="rId126" xr:uid="{8AAF3E12-607A-4A54-97A2-ACF1F72AE96C}"/>
    <hyperlink ref="J180" r:id="rId127" xr:uid="{5E20DB05-AAAC-4A14-9DCB-F2F89B07C372}"/>
    <hyperlink ref="S181" r:id="rId128" xr:uid="{5C9E407B-C2BF-40A0-AAEC-9492C6B870C5}"/>
    <hyperlink ref="S187" r:id="rId129" xr:uid="{9E622850-678E-4F26-8103-76F87D400701}"/>
    <hyperlink ref="S188" r:id="rId130" xr:uid="{5AB5C072-A5F5-44B2-A03C-23913BA5E576}"/>
    <hyperlink ref="S195" r:id="rId131" xr:uid="{3BE2BE54-F090-4CBF-BAD6-BC2CDA3456F9}"/>
    <hyperlink ref="S199" r:id="rId132" xr:uid="{3D79D8CA-0642-4C56-B7C3-ABB02CEE570E}"/>
    <hyperlink ref="F36" r:id="rId133" xr:uid="{848DA4FE-4E42-44D1-9269-249BB6DB3133}"/>
    <hyperlink ref="F12" r:id="rId134" xr:uid="{AC2A8B17-36D2-4912-9FDB-B65071D89C54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topLeftCell="AK1"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89" t="s">
        <v>408</v>
      </c>
      <c r="G1" s="90"/>
      <c r="H1" s="90"/>
      <c r="I1" s="90"/>
      <c r="J1" s="90"/>
      <c r="K1" s="90"/>
      <c r="L1" s="90"/>
      <c r="M1" s="91"/>
      <c r="N1" s="37"/>
      <c r="O1" s="37"/>
      <c r="P1" s="42" t="s">
        <v>442</v>
      </c>
      <c r="Q1" s="42" t="s">
        <v>443</v>
      </c>
      <c r="R1" s="42"/>
      <c r="S1" s="41"/>
      <c r="T1" s="89" t="s">
        <v>409</v>
      </c>
      <c r="U1" s="90"/>
      <c r="V1" s="90"/>
      <c r="W1" s="90"/>
      <c r="X1" s="90"/>
      <c r="Y1" s="91"/>
      <c r="Z1" s="38"/>
      <c r="AA1" s="38"/>
      <c r="AB1" s="89" t="s">
        <v>410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Props1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2025-11-20T15:04:25Z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